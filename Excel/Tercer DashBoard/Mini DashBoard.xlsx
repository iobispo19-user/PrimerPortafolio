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Imanol\Desktop\Excel\Proyectos-Dasboards\"/>
    </mc:Choice>
  </mc:AlternateContent>
  <xr:revisionPtr revIDLastSave="0" documentId="13_ncr:1_{C0664E60-352D-4638-B967-C041A480A3B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definedNames>
    <definedName name="SegmentaciónDeDatos_Prod_\_Mes">#N/A</definedName>
  </definedNames>
  <calcPr calcId="181029"/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2"/>
      </x15:slicerCaches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1" i="1" l="1"/>
  <c r="E11" i="1"/>
  <c r="F11" i="1"/>
  <c r="G11" i="1"/>
</calcChain>
</file>

<file path=xl/sharedStrings.xml><?xml version="1.0" encoding="utf-8"?>
<sst xmlns="http://schemas.openxmlformats.org/spreadsheetml/2006/main" count="20" uniqueCount="16">
  <si>
    <t>Prod \ Mes</t>
  </si>
  <si>
    <t>Enero</t>
  </si>
  <si>
    <t>Febrero</t>
  </si>
  <si>
    <t>Marzo</t>
  </si>
  <si>
    <t>Abrl</t>
  </si>
  <si>
    <t>Prod. 1</t>
  </si>
  <si>
    <t>Prod. 2</t>
  </si>
  <si>
    <t>Prod. 3</t>
  </si>
  <si>
    <t>Prod. 4</t>
  </si>
  <si>
    <t>Prod. 5</t>
  </si>
  <si>
    <t>Suma</t>
  </si>
  <si>
    <t>Promedio</t>
  </si>
  <si>
    <t>Total</t>
  </si>
  <si>
    <t>Recuento</t>
  </si>
  <si>
    <t>% Total</t>
  </si>
  <si>
    <t>Columna1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</si>
</sst>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4"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microsoft.com/office/2007/relationships/slicerCache" Target="slicerCaches/slicerCach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Hoja1!$D$5</c:f>
              <c:strCache>
                <c:ptCount val="1"/>
                <c:pt idx="0">
                  <c:v>Enero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Hoja1!$C$6:$C$10</c:f>
              <c:strCache>
                <c:ptCount val="5"/>
                <c:pt idx="0">
                  <c:v>Prod. 1</c:v>
                </c:pt>
                <c:pt idx="1">
                  <c:v>Prod. 2</c:v>
                </c:pt>
                <c:pt idx="2">
                  <c:v>Prod. 3</c:v>
                </c:pt>
                <c:pt idx="3">
                  <c:v>Prod. 4</c:v>
                </c:pt>
                <c:pt idx="4">
                  <c:v>Prod. 5</c:v>
                </c:pt>
              </c:strCache>
            </c:strRef>
          </c:cat>
          <c:val>
            <c:numRef>
              <c:f>Hoja1!$D$6:$D$10</c:f>
              <c:numCache>
                <c:formatCode>General</c:formatCode>
                <c:ptCount val="5"/>
                <c:pt idx="0">
                  <c:v>3819</c:v>
                </c:pt>
                <c:pt idx="1">
                  <c:v>6362</c:v>
                </c:pt>
                <c:pt idx="2">
                  <c:v>3326</c:v>
                </c:pt>
                <c:pt idx="3">
                  <c:v>3286</c:v>
                </c:pt>
                <c:pt idx="4">
                  <c:v>8558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99-4620-AEA9-571E32022922}"/>
            </c:ext>
          </c:extLst>
        </c:ser>
        <c:ser>
          <c:idx val="1"/>
          <c:order val="1"/>
          <c:tx>
            <c:strRef>
              <c:f>Hoja1!$E$5</c:f>
              <c:strCache>
                <c:ptCount val="1"/>
                <c:pt idx="0">
                  <c:v>Febrero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Hoja1!$C$6:$C$10</c:f>
              <c:strCache>
                <c:ptCount val="5"/>
                <c:pt idx="0">
                  <c:v>Prod. 1</c:v>
                </c:pt>
                <c:pt idx="1">
                  <c:v>Prod. 2</c:v>
                </c:pt>
                <c:pt idx="2">
                  <c:v>Prod. 3</c:v>
                </c:pt>
                <c:pt idx="3">
                  <c:v>Prod. 4</c:v>
                </c:pt>
                <c:pt idx="4">
                  <c:v>Prod. 5</c:v>
                </c:pt>
              </c:strCache>
            </c:strRef>
          </c:cat>
          <c:val>
            <c:numRef>
              <c:f>Hoja1!$E$6:$E$10</c:f>
              <c:numCache>
                <c:formatCode>General</c:formatCode>
                <c:ptCount val="5"/>
                <c:pt idx="0">
                  <c:v>1501</c:v>
                </c:pt>
                <c:pt idx="1">
                  <c:v>7257</c:v>
                </c:pt>
                <c:pt idx="2">
                  <c:v>1113</c:v>
                </c:pt>
                <c:pt idx="3">
                  <c:v>1964</c:v>
                </c:pt>
                <c:pt idx="4">
                  <c:v>8090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A99-4620-AEA9-571E32022922}"/>
            </c:ext>
          </c:extLst>
        </c:ser>
        <c:ser>
          <c:idx val="2"/>
          <c:order val="2"/>
          <c:tx>
            <c:strRef>
              <c:f>Hoja1!$F$5</c:f>
              <c:strCache>
                <c:ptCount val="1"/>
                <c:pt idx="0">
                  <c:v>Marzo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Hoja1!$C$6:$C$10</c:f>
              <c:strCache>
                <c:ptCount val="5"/>
                <c:pt idx="0">
                  <c:v>Prod. 1</c:v>
                </c:pt>
                <c:pt idx="1">
                  <c:v>Prod. 2</c:v>
                </c:pt>
                <c:pt idx="2">
                  <c:v>Prod. 3</c:v>
                </c:pt>
                <c:pt idx="3">
                  <c:v>Prod. 4</c:v>
                </c:pt>
                <c:pt idx="4">
                  <c:v>Prod. 5</c:v>
                </c:pt>
              </c:strCache>
            </c:strRef>
          </c:cat>
          <c:val>
            <c:numRef>
              <c:f>Hoja1!$F$6:$F$10</c:f>
              <c:numCache>
                <c:formatCode>General</c:formatCode>
                <c:ptCount val="5"/>
                <c:pt idx="0">
                  <c:v>4632</c:v>
                </c:pt>
                <c:pt idx="1">
                  <c:v>6470</c:v>
                </c:pt>
                <c:pt idx="2">
                  <c:v>7572</c:v>
                </c:pt>
                <c:pt idx="3">
                  <c:v>9240</c:v>
                </c:pt>
                <c:pt idx="4">
                  <c:v>5664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A99-4620-AEA9-571E32022922}"/>
            </c:ext>
          </c:extLst>
        </c:ser>
        <c:ser>
          <c:idx val="3"/>
          <c:order val="3"/>
          <c:tx>
            <c:strRef>
              <c:f>Hoja1!$G$5</c:f>
              <c:strCache>
                <c:ptCount val="1"/>
                <c:pt idx="0">
                  <c:v>Abrl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Hoja1!$C$6:$C$10</c:f>
              <c:strCache>
                <c:ptCount val="5"/>
                <c:pt idx="0">
                  <c:v>Prod. 1</c:v>
                </c:pt>
                <c:pt idx="1">
                  <c:v>Prod. 2</c:v>
                </c:pt>
                <c:pt idx="2">
                  <c:v>Prod. 3</c:v>
                </c:pt>
                <c:pt idx="3">
                  <c:v>Prod. 4</c:v>
                </c:pt>
                <c:pt idx="4">
                  <c:v>Prod. 5</c:v>
                </c:pt>
              </c:strCache>
            </c:strRef>
          </c:cat>
          <c:val>
            <c:numRef>
              <c:f>Hoja1!$G$6:$G$10</c:f>
              <c:numCache>
                <c:formatCode>General</c:formatCode>
                <c:ptCount val="5"/>
                <c:pt idx="0">
                  <c:v>5692</c:v>
                </c:pt>
                <c:pt idx="1">
                  <c:v>6935</c:v>
                </c:pt>
                <c:pt idx="2">
                  <c:v>2714</c:v>
                </c:pt>
                <c:pt idx="3">
                  <c:v>6031</c:v>
                </c:pt>
                <c:pt idx="4">
                  <c:v>8240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A99-4620-AEA9-571E320229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99534719"/>
        <c:axId val="1499534239"/>
      </c:barChart>
      <c:catAx>
        <c:axId val="1499534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499534239"/>
        <c:crosses val="autoZero"/>
        <c:auto val="1"/>
        <c:lblAlgn val="ctr"/>
        <c:lblOffset val="100"/>
        <c:noMultiLvlLbl val="0"/>
      </c:catAx>
      <c:valAx>
        <c:axId val="1499534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499534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cat>
            <c:strRef>
              <c:f>Hoja1!$D$5:$G$5</c:f>
              <c:strCache>
                <c:ptCount val="4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Abrl</c:v>
                </c:pt>
              </c:strCache>
            </c:strRef>
          </c:cat>
          <c:val>
            <c:numRef>
              <c:f>Hoja1!$D$11:$G$11</c:f>
              <c:numCache>
                <c:formatCode>0.00%</c:formatCode>
                <c:ptCount val="4"/>
                <c:pt idx="0">
                  <c:v>0.23372300997547618</c:v>
                </c:pt>
                <c:pt idx="1">
                  <c:v>0.18369811738240555</c:v>
                </c:pt>
                <c:pt idx="2">
                  <c:v>0.3095716630096067</c:v>
                </c:pt>
                <c:pt idx="3">
                  <c:v>0.27300720963251157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B6-470E-AFC6-763EB02047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590550</xdr:colOff>
      <xdr:row>0</xdr:row>
      <xdr:rowOff>123826</xdr:rowOff>
    </xdr:from>
    <xdr:to>
      <xdr:col>7</xdr:col>
      <xdr:colOff>9525</xdr:colOff>
      <xdr:row>3</xdr:row>
      <xdr:rowOff>180976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2" name="Prod \ Mes">
              <a:extLst>
                <a:ext uri="{FF2B5EF4-FFF2-40B4-BE49-F238E27FC236}">
                  <a16:creationId xmlns:a16="http://schemas.microsoft.com/office/drawing/2014/main" id="{E19441A5-1051-9534-6E9E-5DD74E9AA0B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 \ Mes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00150" y="123826"/>
              <a:ext cx="3390900" cy="6286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  <xdr:twoCellAnchor>
    <xdr:from>
      <xdr:col>1</xdr:col>
      <xdr:colOff>600075</xdr:colOff>
      <xdr:row>11</xdr:row>
      <xdr:rowOff>4762</xdr:rowOff>
    </xdr:from>
    <xdr:to>
      <xdr:col>7</xdr:col>
      <xdr:colOff>0</xdr:colOff>
      <xdr:row>20</xdr:row>
      <xdr:rowOff>19050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E255B8A-4266-2743-7196-90CE7AF04E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600075</xdr:colOff>
      <xdr:row>20</xdr:row>
      <xdr:rowOff>14286</xdr:rowOff>
    </xdr:from>
    <xdr:to>
      <xdr:col>7</xdr:col>
      <xdr:colOff>0</xdr:colOff>
      <xdr:row>30</xdr:row>
      <xdr:rowOff>171449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38B17EE2-9B54-DCC3-CEEE-350DEE1332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Prod_\_Mes" xr10:uid="{587A6283-4438-4805-A44B-E22DBBB5DD31}" sourceName="Prod \ Mes">
  <extLst>
    <x:ext xmlns:x15="http://schemas.microsoft.com/office/spreadsheetml/2010/11/main" uri="{2F2917AC-EB37-4324-AD4E-5DD8C200BD13}">
      <x15:tableSlicerCache tableId="1" column="1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rod \ Mes" xr10:uid="{D0F47D36-5B63-4E2C-B538-5625D2448361}" cache="SegmentaciónDeDatos_Prod_\_Mes" caption="Prod \ Mes" columnCount="5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C3E467-28F2-4628-8775-2FE30682758A}" name="Tabla1" displayName="Tabla1" ref="C5:G11" totalsRowCount="1">
  <autoFilter ref="C5:G10" xr:uid="{CFC3E467-28F2-4628-8775-2FE30682758A}"/>
  <tableColumns count="5">
    <tableColumn id="1" xr3:uid="{F6E9683B-EB2B-44D7-8258-CC7C2515F691}" name="Prod \ Mes" totalsRowLabel="% Total"/>
    <tableColumn id="2" xr3:uid="{2F32AD2F-671A-4800-B05E-90CA7FE7B346}" name="Enero" totalsRowFunction="custom" totalsRowDxfId="3">
      <totalsRowFormula>SUBTOTAL(109,Tabla1[Enero])/SUBTOTAL(109,Tabla1[[Enero]:[Abrl]])</totalsRowFormula>
    </tableColumn>
    <tableColumn id="3" xr3:uid="{8779D63C-F87E-44BA-978C-134AE7AEF8FA}" name="Febrero" totalsRowFunction="custom" totalsRowDxfId="2">
      <totalsRowFormula>SUBTOTAL(109,Tabla1[Febrero])/SUBTOTAL(109,Tabla1[[Enero]:[Abrl]])</totalsRowFormula>
    </tableColumn>
    <tableColumn id="4" xr3:uid="{39D01791-31A8-4CF6-AA3B-0572614E6422}" name="Marzo" totalsRowFunction="custom" totalsRowDxfId="1">
      <totalsRowFormula>SUBTOTAL(109,Tabla1[Marzo])/SUBTOTAL(109,Tabla1[[Enero]:[Abrl]])</totalsRowFormula>
    </tableColumn>
    <tableColumn id="5" xr3:uid="{46898A4B-45BF-4E4B-9E45-0E0AD633BC84}" name="Abrl" totalsRowFunction="custom" totalsRowDxfId="0">
      <totalsRowFormula>SUBTOTAL(109,Tabla1[Abrl])/SUBTOTAL(109,Tabla1[[Enero]:[Abrl]])</totalsRow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5:G11"/>
  <sheetViews>
    <sheetView tabSelected="1" workbookViewId="0">
      <selection activeCell="K21" sqref="K21"/>
    </sheetView>
  </sheetViews>
  <sheetFormatPr baseColWidth="10" defaultColWidth="9.140625" defaultRowHeight="15" x14ac:dyDescent="0.25"/>
  <cols>
    <col min="3" max="3" width="12.85546875" customWidth="1"/>
    <col min="5" max="5" width="10.140625" customWidth="1"/>
  </cols>
  <sheetData>
    <row r="5" spans="3:7" x14ac:dyDescent="0.25">
      <c r="C5" t="s">
        <v>0</v>
      </c>
      <c r="D5" t="s">
        <v>1</v>
      </c>
      <c r="E5" t="s">
        <v>2</v>
      </c>
      <c r="F5" t="s">
        <v>3</v>
      </c>
      <c r="G5" t="s">
        <v>4</v>
      </c>
    </row>
    <row r="6" spans="3:7" x14ac:dyDescent="0.25">
      <c r="C6" t="s">
        <v>5</v>
      </c>
      <c r="D6">
        <v>3819</v>
      </c>
      <c r="E6">
        <v>1501</v>
      </c>
      <c r="F6">
        <v>4632</v>
      </c>
      <c r="G6">
        <v>5692</v>
      </c>
    </row>
    <row r="7" spans="3:7" x14ac:dyDescent="0.25">
      <c r="C7" t="s">
        <v>6</v>
      </c>
      <c r="D7">
        <v>6362</v>
      </c>
      <c r="E7">
        <v>7257</v>
      </c>
      <c r="F7">
        <v>6470</v>
      </c>
      <c r="G7">
        <v>6935</v>
      </c>
    </row>
    <row r="8" spans="3:7" x14ac:dyDescent="0.25">
      <c r="C8" t="s">
        <v>7</v>
      </c>
      <c r="D8">
        <v>3326</v>
      </c>
      <c r="E8">
        <v>1113</v>
      </c>
      <c r="F8">
        <v>7572</v>
      </c>
      <c r="G8">
        <v>2714</v>
      </c>
    </row>
    <row r="9" spans="3:7" x14ac:dyDescent="0.25">
      <c r="C9" t="s">
        <v>8</v>
      </c>
      <c r="D9">
        <v>3286</v>
      </c>
      <c r="E9">
        <v>1964</v>
      </c>
      <c r="F9">
        <v>9240</v>
      </c>
      <c r="G9">
        <v>6031</v>
      </c>
    </row>
    <row r="10" spans="3:7" x14ac:dyDescent="0.25">
      <c r="C10" t="s">
        <v>9</v>
      </c>
      <c r="D10">
        <v>8558</v>
      </c>
      <c r="E10">
        <v>8090</v>
      </c>
      <c r="F10">
        <v>5664</v>
      </c>
      <c r="G10">
        <v>8240</v>
      </c>
    </row>
    <row r="11" spans="3:7" x14ac:dyDescent="0.25">
      <c r="C11" t="s">
        <v>14</v>
      </c>
      <c r="D11" s="1">
        <f>SUBTOTAL(109,Tabla1[Enero])/SUBTOTAL(109,Tabla1[[Enero]:[Abrl]])</f>
        <v>0.23372300997547618</v>
      </c>
      <c r="E11" s="1">
        <f>SUBTOTAL(109,Tabla1[Febrero])/SUBTOTAL(109,Tabla1[[Enero]:[Abrl]])</f>
        <v>0.18369811738240555</v>
      </c>
      <c r="F11" s="1">
        <f>SUBTOTAL(109,Tabla1[Marzo])/SUBTOTAL(109,Tabla1[[Enero]:[Abrl]])</f>
        <v>0.3095716630096067</v>
      </c>
      <c r="G11" s="1">
        <f>SUBTOTAL(109,Tabla1[Abrl])/SUBTOTAL(109,Tabla1[[Enero]:[Abrl]])</f>
        <v>0.27300720963251157</v>
      </c>
    </row>
  </sheetData>
  <phoneticPr fontId="1" type="noConversion"/>
  <conditionalFormatting sqref="D6:G10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span" xr2:uid="{386E89CD-5849-44BC-B6A8-76558CEC829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Hoja1!D6:G6</xm:f>
              <xm:sqref>H6</xm:sqref>
            </x14:sparkline>
            <x14:sparkline>
              <xm:f>Hoja1!D7:G7</xm:f>
              <xm:sqref>H7</xm:sqref>
            </x14:sparkline>
            <x14:sparkline>
              <xm:f>Hoja1!D8:G8</xm:f>
              <xm:sqref>H8</xm:sqref>
            </x14:sparkline>
            <x14:sparkline>
              <xm:f>Hoja1!D9:G9</xm:f>
              <xm:sqref>H9</xm:sqref>
            </x14:sparkline>
            <x14:sparkline>
              <xm:f>Hoja1!D10:G10</xm:f>
              <xm:sqref>H10</xm:sqref>
            </x14:sparkline>
          </x14:sparklines>
        </x14:sparklineGroup>
      </x14:sparklineGroups>
    </ext>
    <ext xmlns:x15="http://schemas.microsoft.com/office/spreadsheetml/2010/11/main" uri="{3A4CF648-6AED-40f4-86FF-DC5316D8AED3}">
      <x14:slicerList xmlns:x14="http://schemas.microsoft.com/office/spreadsheetml/2009/9/main"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Imanol</dc:creator>
  <cp:lastModifiedBy>Imanol Obispo</cp:lastModifiedBy>
  <dcterms:created xsi:type="dcterms:W3CDTF">2015-06-05T18:19:34Z</dcterms:created>
  <dcterms:modified xsi:type="dcterms:W3CDTF">2026-01-04T22:24:03Z</dcterms:modified>
</cp:coreProperties>
</file>