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manol\Desktop\Excel\Proyectos-Dasboards\"/>
    </mc:Choice>
  </mc:AlternateContent>
  <xr:revisionPtr revIDLastSave="0" documentId="13_ncr:1_{D179F267-AEA2-4B44-B917-E78E9472C3B5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BD" sheetId="1" r:id="rId1"/>
    <sheet name="TD" sheetId="2" r:id="rId2"/>
    <sheet name="DASHBOARD" sheetId="3" r:id="rId3"/>
  </sheets>
  <definedNames>
    <definedName name="_xlchart.v5.0" hidden="1">TD!$D$1</definedName>
    <definedName name="_xlchart.v5.1" hidden="1">TD!$D$2:$D$11</definedName>
    <definedName name="_xlchart.v5.10" hidden="1">TD!$D$2:$D$11</definedName>
    <definedName name="_xlchart.v5.11" hidden="1">TD!$E$2:$E$11</definedName>
    <definedName name="_xlchart.v5.2" hidden="1">TD!$E$2:$E$11</definedName>
    <definedName name="_xlchart.v5.3" hidden="1">TD!$D$1</definedName>
    <definedName name="_xlchart.v5.4" hidden="1">TD!$D$2:$D$11</definedName>
    <definedName name="_xlchart.v5.5" hidden="1">TD!$E$2:$E$11</definedName>
    <definedName name="_xlchart.v5.6" hidden="1">TD!$D$1</definedName>
    <definedName name="_xlchart.v5.7" hidden="1">TD!$D$2:$D$11</definedName>
    <definedName name="_xlchart.v5.8" hidden="1">TD!$E$2:$E$11</definedName>
    <definedName name="_xlchart.v5.9" hidden="1">TD!$D$1</definedName>
    <definedName name="SegmentaciónDeDatos_Estado">#N/A</definedName>
    <definedName name="SegmentaciónDeDatos_Meses__Fecha">#N/A</definedName>
    <definedName name="SegmentaciónDeDatos_Transportista">#N/A</definedName>
  </definedNames>
  <calcPr calcId="191029"/>
  <pivotCaches>
    <pivotCache cacheId="8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E26" i="2"/>
  <c r="F43" i="2"/>
  <c r="E66" i="2"/>
</calcChain>
</file>

<file path=xl/sharedStrings.xml><?xml version="1.0" encoding="utf-8"?>
<sst xmlns="http://schemas.openxmlformats.org/spreadsheetml/2006/main" count="1073" uniqueCount="254">
  <si>
    <t>ID_Orden</t>
  </si>
  <si>
    <t>Fecha</t>
  </si>
  <si>
    <t>Departamento</t>
  </si>
  <si>
    <t>Ciudad</t>
  </si>
  <si>
    <t>Transportista</t>
  </si>
  <si>
    <t>Costo_Envío</t>
  </si>
  <si>
    <t>Dias_Entrega</t>
  </si>
  <si>
    <t>Estado</t>
  </si>
  <si>
    <t>Arequipa</t>
  </si>
  <si>
    <t>Cusco</t>
  </si>
  <si>
    <t>Piura</t>
  </si>
  <si>
    <t>Loreto</t>
  </si>
  <si>
    <t>La Libertad</t>
  </si>
  <si>
    <t>Junín</t>
  </si>
  <si>
    <t>Puno</t>
  </si>
  <si>
    <t>Áncash</t>
  </si>
  <si>
    <t>Tacna</t>
  </si>
  <si>
    <t>Lima</t>
  </si>
  <si>
    <t>Iquitos</t>
  </si>
  <si>
    <t>Trujillo</t>
  </si>
  <si>
    <t>Huancayo</t>
  </si>
  <si>
    <t>Huaraz</t>
  </si>
  <si>
    <t>Transportista 4</t>
  </si>
  <si>
    <t>Transportista 2</t>
  </si>
  <si>
    <t>Transportista 5</t>
  </si>
  <si>
    <t>Transportista 3</t>
  </si>
  <si>
    <t>Transportista 1</t>
  </si>
  <si>
    <t>Retrasado</t>
  </si>
  <si>
    <t>A tiempo</t>
  </si>
  <si>
    <t>Suma de Costo_Envío</t>
  </si>
  <si>
    <t>Etiquetas de fila</t>
  </si>
  <si>
    <t>Total general</t>
  </si>
  <si>
    <t>Promedio de Costo_Envío</t>
  </si>
  <si>
    <t>Etiquetas de columna</t>
  </si>
  <si>
    <t>Promedio de Dias_Entrega</t>
  </si>
  <si>
    <t>Cuenta de ID_Orden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</si>
  <si>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</si>
  <si>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</si>
  <si>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</si>
  <si>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</si>
  <si>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</si>
  <si>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</si>
  <si>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</si>
  <si>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</si>
  <si>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</si>
  <si>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</si>
  <si>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</si>
  <si>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</si>
  <si>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</si>
  <si>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</si>
  <si>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</si>
  <si>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</si>
  <si>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</si>
  <si>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</si>
  <si>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</si>
  <si>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</si>
  <si>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</si>
  <si>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</si>
  <si>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</si>
  <si>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</si>
  <si>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</si>
  <si>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</si>
  <si>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</si>
  <si>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</si>
  <si>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</si>
  <si>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</si>
  <si>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</si>
  <si>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</si>
  <si>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</si>
  <si>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</si>
  <si>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</si>
  <si>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</si>
  <si>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</si>
  <si>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</si>
  <si>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</si>
  <si>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</si>
  <si>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</si>
  <si>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</si>
  <si>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</si>
  <si>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</si>
  <si>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</si>
  <si>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</si>
  <si>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</si>
  <si>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</si>
  <si>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</si>
  <si>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</si>
  <si>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</si>
  <si>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</si>
  <si>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</si>
  <si>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</si>
  <si>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</si>
  <si>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</si>
  <si>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</si>
  <si>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</si>
  <si>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</si>
  <si>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</si>
  <si>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</si>
  <si>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</si>
  <si>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</si>
  <si>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</si>
  <si>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</si>
  <si>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</si>
  <si>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</si>
  <si>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</si>
  <si>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</si>
  <si>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</si>
  <si>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</si>
  <si>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</si>
  <si>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</si>
  <si>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</si>
  <si>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</si>
  <si>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</si>
  <si>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</si>
  <si>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</si>
  <si>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</si>
  <si>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</si>
  <si>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</si>
  <si>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</si>
  <si>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</si>
  <si>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</si>
  <si>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</si>
  <si>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</si>
  <si>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</si>
  <si>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</si>
  <si>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</si>
  <si>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</si>
  <si>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</si>
  <si>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</si>
  <si>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</si>
  <si>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</si>
  <si>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</si>
  <si>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</si>
  <si>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</si>
  <si>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</si>
  <si>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</si>
  <si>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</si>
  <si>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</si>
  <si>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</si>
  <si>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</si>
  <si>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</si>
  <si>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</si>
  <si>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</si>
  <si>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</si>
  <si>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</si>
  <si>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</si>
  <si>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</si>
  <si>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</si>
  <si>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</si>
  <si>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</si>
  <si>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</si>
  <si>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</si>
  <si>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ORD-216</t>
  </si>
  <si>
    <t>ORD-217</t>
  </si>
  <si>
    <t>ORD-218</t>
  </si>
  <si>
    <t>ORD-219</t>
  </si>
  <si>
    <t>ORD-220</t>
  </si>
  <si>
    <t>ORD-221</t>
  </si>
  <si>
    <t>ORD-222</t>
  </si>
  <si>
    <t>ORD-223</t>
  </si>
  <si>
    <t>ORD-224</t>
  </si>
  <si>
    <t>ORD-225</t>
  </si>
  <si>
    <t>ORD-226</t>
  </si>
  <si>
    <t>ORD-227</t>
  </si>
  <si>
    <t>ORD-228</t>
  </si>
  <si>
    <t>ORD-229</t>
  </si>
  <si>
    <t>ORD-230</t>
  </si>
  <si>
    <t>ORD-231</t>
  </si>
  <si>
    <t>ORD-232</t>
  </si>
  <si>
    <t>ORD-233</t>
  </si>
  <si>
    <t>ORD-234</t>
  </si>
  <si>
    <t>ORD-235</t>
  </si>
  <si>
    <t>ORD-236</t>
  </si>
  <si>
    <t>ORD-237</t>
  </si>
  <si>
    <t>ORD-238</t>
  </si>
  <si>
    <t>ORD-239</t>
  </si>
  <si>
    <t>ORD-240</t>
  </si>
  <si>
    <t>ORD-241</t>
  </si>
  <si>
    <t>ORD-242</t>
  </si>
  <si>
    <t>ORD-243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</si>
  <si>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</si>
  <si>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</si>
  <si>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</si>
  <si>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</si>
  <si>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</si>
  <si>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</si>
  <si>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</si>
  <si>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</si>
  <si>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</si>
  <si>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</si>
  <si>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</si>
  <si>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</si>
  <si>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</si>
  <si>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ORD-257</t>
  </si>
  <si>
    <t>ORD-258</t>
  </si>
  <si>
    <t>ORD-259</t>
  </si>
  <si>
    <t>ORD-260</t>
  </si>
  <si>
    <t>ORD-261</t>
  </si>
  <si>
    <t>ORD-262</t>
  </si>
  <si>
    <t>ORD-263</t>
  </si>
  <si>
    <t>ORD-264</t>
  </si>
  <si>
    <t>ORD-265</t>
  </si>
  <si>
    <t>ORD-266</t>
  </si>
  <si>
    <t>ORD-267</t>
  </si>
  <si>
    <t>ORD-268</t>
  </si>
  <si>
    <t>ORD-269</t>
  </si>
  <si>
    <t>ORD-270</t>
  </si>
  <si>
    <t>ORD-271</t>
  </si>
  <si>
    <t>ORD-272</t>
  </si>
  <si>
    <t>ORD-273</t>
  </si>
  <si>
    <t>ORD-274</t>
  </si>
  <si>
    <t>ORD-275</t>
  </si>
  <si>
    <t>ORD-276</t>
  </si>
  <si>
    <t>ORD-277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</si>
  <si>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</si>
  <si>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</si>
  <si>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</si>
  <si>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</si>
  <si>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</si>
  <si>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</si>
  <si>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</si>
  <si>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</si>
  <si>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</si>
  <si>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</si>
  <si>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</si>
  <si>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ORD-289</t>
  </si>
  <si>
    <t>ORD-290</t>
  </si>
  <si>
    <t>ORD-291</t>
  </si>
  <si>
    <t>ORD-292</t>
  </si>
  <si>
    <t>ORD-293</t>
  </si>
  <si>
    <t>ORD-294</t>
  </si>
  <si>
    <t>ORD-295</t>
  </si>
  <si>
    <t>ORD-296</t>
  </si>
  <si>
    <t>ORD-297</t>
  </si>
  <si>
    <t>ORD-298</t>
  </si>
  <si>
    <t>ORD-299</t>
  </si>
  <si>
    <t>ORD-300</t>
  </si>
  <si>
    <t>2025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</si>
  <si>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</si>
  <si>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</si>
  <si>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</si>
  <si>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</si>
  <si>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</si>
  <si>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</si>
  <si>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</si>
  <si>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</si>
  <si>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</si>
  <si>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</si>
  <si>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</si>
  <si>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</si>
  <si>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Cuenta de Estado</t>
  </si>
  <si>
    <t>(Todas)</t>
  </si>
  <si>
    <t>Total Costo Envio</t>
  </si>
  <si>
    <t>Total de ordenes de pago</t>
  </si>
  <si>
    <t>Prom dias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</si>
</sst>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0" formatCode="&quot;S/&quot;\ #,##0.00"/>
    <numFmt numFmtId="171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7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0" fillId="2" borderId="0" xfId="0" applyFill="1"/>
  </cellXfs>
  <cellStyles count="1">
    <cellStyle name="Normal" xfId="0" builtinId="0"/>
  </cellStyles>
  <dxfs count="170"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numFmt numFmtId="171" formatCode="0.0"/>
    </dxf>
    <dxf>
      <numFmt numFmtId="171" formatCode="0.0"/>
    </dxf>
    <dxf>
      <numFmt numFmtId="184" formatCode="_-&quot;S/&quot;\ * #,##0_-;\-&quot;S/&quot;\ * #,##0_-;_-&quot;S/&quot;\ * &quot;-&quot;??_-;_-@_-"/>
    </dxf>
    <dxf>
      <numFmt numFmtId="34" formatCode="_-&quot;S/&quot;\ * #,##0.00_-;\-&quot;S/&quot;\ * #,##0.00_-;_-&quot;S/&quot;\ * &quot;-&quot;??_-;_-@_-"/>
    </dxf>
    <dxf>
      <numFmt numFmtId="170" formatCode="&quot;S/&quot;\ #,##0.00"/>
    </dxf>
    <dxf>
      <font>
        <color theme="0"/>
      </font>
      <border diagonalUp="0" diagonalDown="0">
        <left/>
        <right/>
        <top/>
        <bottom style="thin">
          <color theme="0"/>
        </bottom>
        <vertical/>
        <horizontal/>
      </border>
    </dxf>
    <dxf>
      <font>
        <color theme="1"/>
      </font>
      <fill>
        <patternFill patternType="solid"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numFmt numFmtId="171" formatCode="0.0"/>
    </dxf>
    <dxf>
      <numFmt numFmtId="170" formatCode="&quot;S/&quot;\ #,##0.00"/>
    </dxf>
    <dxf>
      <numFmt numFmtId="34" formatCode="_-&quot;S/&quot;\ * #,##0.00_-;\-&quot;S/&quot;\ * #,##0.00_-;_-&quot;S/&quot;\ * &quot;-&quot;??_-;_-@_-"/>
    </dxf>
    <dxf>
      <numFmt numFmtId="184" formatCode="_-&quot;S/&quot;\ * #,##0_-;\-&quot;S/&quot;\ * #,##0_-;_-&quot;S/&quot;\ * &quot;-&quot;??_-;_-@_-"/>
    </dxf>
    <dxf>
      <numFmt numFmtId="171" formatCode="0.0"/>
    </dxf>
    <dxf>
      <numFmt numFmtId="30" formatCode="@"/>
    </dxf>
    <dxf>
      <numFmt numFmtId="30" formatCode="@"/>
    </dxf>
    <dxf>
      <numFmt numFmtId="30" formatCode="@"/>
    </dxf>
    <dxf>
      <numFmt numFmtId="170" formatCode="&quot;S/&quot;\ #,##0.00"/>
    </dxf>
    <dxf>
      <numFmt numFmtId="30" formatCode="@"/>
    </dxf>
    <dxf>
      <numFmt numFmtId="30" formatCode="@"/>
    </dxf>
    <dxf>
      <numFmt numFmtId="30" formatCode="@"/>
    </dxf>
    <dxf>
      <numFmt numFmtId="19" formatCode="d/mm/yyyy"/>
    </dxf>
  </dxfs>
  <tableStyles count="1" defaultTableStyle="TableStyleMedium2" defaultPivotStyle="PivotStyleLight16">
    <tableStyle name="SlicerStyleDark5 2" pivot="0" table="0" count="10" xr9:uid="{B4B5817B-1D7C-4255-961A-6B8A5DD1561F}">
      <tableStyleElement type="wholeTable" dxfId="156"/>
      <tableStyleElement type="headerRow" dxfId="155"/>
    </tableStyle>
  </tableStyles>
  <extLst>
    <ext xmlns:x14="http://schemas.microsoft.com/office/spreadsheetml/2009/9/main" uri="{46F421CA-312F-682f-3DD2-61675219B42D}">
      <x14:dxfs count="1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>
              <bgColor rgb="FF00B0F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002060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002060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002060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TD!$B$29:$B$30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TD!$A$31:$A$43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TD!$B$31:$B$43</c:f>
              <c:numCache>
                <c:formatCode>General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22</c:v>
                </c:pt>
                <c:pt idx="3">
                  <c:v>20</c:v>
                </c:pt>
                <c:pt idx="4">
                  <c:v>14</c:v>
                </c:pt>
                <c:pt idx="5">
                  <c:v>20</c:v>
                </c:pt>
                <c:pt idx="6">
                  <c:v>20</c:v>
                </c:pt>
                <c:pt idx="7">
                  <c:v>11</c:v>
                </c:pt>
                <c:pt idx="8">
                  <c:v>20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7-48EA-9DBC-74FEDF82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815216"/>
        <c:axId val="1586818096"/>
      </c:lineChart>
      <c:catAx>
        <c:axId val="15868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6818096"/>
        <c:crosses val="autoZero"/>
        <c:auto val="1"/>
        <c:lblAlgn val="ctr"/>
        <c:lblOffset val="100"/>
        <c:noMultiLvlLbl val="0"/>
      </c:catAx>
      <c:valAx>
        <c:axId val="15868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681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TD!$B$46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TD!$A$47:$A$52</c:f>
              <c:strCache>
                <c:ptCount val="5"/>
                <c:pt idx="0">
                  <c:v>Transportista 4</c:v>
                </c:pt>
                <c:pt idx="1">
                  <c:v>Transportista 3</c:v>
                </c:pt>
                <c:pt idx="2">
                  <c:v>Transportista 1</c:v>
                </c:pt>
                <c:pt idx="3">
                  <c:v>Transportista 2</c:v>
                </c:pt>
                <c:pt idx="4">
                  <c:v>Transportista 5</c:v>
                </c:pt>
              </c:strCache>
            </c:strRef>
          </c:cat>
          <c:val>
            <c:numRef>
              <c:f>TD!$B$47:$B$52</c:f>
              <c:numCache>
                <c:formatCode>General</c:formatCode>
                <c:ptCount val="5"/>
                <c:pt idx="0">
                  <c:v>34</c:v>
                </c:pt>
                <c:pt idx="1">
                  <c:v>36</c:v>
                </c:pt>
                <c:pt idx="2">
                  <c:v>40</c:v>
                </c:pt>
                <c:pt idx="3">
                  <c:v>44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5-45E8-8967-EF96F6EB6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6870016"/>
        <c:axId val="1476869056"/>
      </c:barChart>
      <c:catAx>
        <c:axId val="147687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6869056"/>
        <c:crosses val="autoZero"/>
        <c:auto val="1"/>
        <c:lblAlgn val="ctr"/>
        <c:lblOffset val="100"/>
        <c:noMultiLvlLbl val="0"/>
      </c:catAx>
      <c:valAx>
        <c:axId val="14768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68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TD!$A$56:$A$61</c:f>
              <c:strCache>
                <c:ptCount val="5"/>
                <c:pt idx="0">
                  <c:v>Lima</c:v>
                </c:pt>
                <c:pt idx="1">
                  <c:v>Cusco</c:v>
                </c:pt>
                <c:pt idx="2">
                  <c:v>Piura</c:v>
                </c:pt>
                <c:pt idx="3">
                  <c:v>La Libertad</c:v>
                </c:pt>
                <c:pt idx="4">
                  <c:v>Tacna</c:v>
                </c:pt>
              </c:strCache>
            </c:strRef>
          </c:cat>
          <c:val>
            <c:numRef>
              <c:f>TD!$B$56:$B$61</c:f>
              <c:numCache>
                <c:formatCode>0.0</c:formatCode>
                <c:ptCount val="5"/>
                <c:pt idx="0">
                  <c:v>1.5</c:v>
                </c:pt>
                <c:pt idx="1">
                  <c:v>4.3809523809523814</c:v>
                </c:pt>
                <c:pt idx="2">
                  <c:v>4.666666666666667</c:v>
                </c:pt>
                <c:pt idx="3">
                  <c:v>4.9047619047619051</c:v>
                </c:pt>
                <c:pt idx="4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E-4899-A720-6578EB60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524288"/>
        <c:axId val="1359701376"/>
      </c:barChart>
      <c:catAx>
        <c:axId val="17385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9701376"/>
        <c:crosses val="autoZero"/>
        <c:auto val="1"/>
        <c:lblAlgn val="ctr"/>
        <c:lblOffset val="100"/>
        <c:noMultiLvlLbl val="0"/>
      </c:catAx>
      <c:valAx>
        <c:axId val="13597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3852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chemeClr val="bg1"/>
                </a:solidFill>
              </a:rPr>
              <a:t>TOP</a:t>
            </a:r>
            <a:r>
              <a:rPr lang="es-PE" sz="1200" b="1" baseline="0">
                <a:solidFill>
                  <a:schemeClr val="bg1"/>
                </a:solidFill>
              </a:rPr>
              <a:t> 5 Promedio</a:t>
            </a:r>
            <a:r>
              <a:rPr lang="es-PE" sz="1200" b="1">
                <a:solidFill>
                  <a:schemeClr val="bg1"/>
                </a:solidFill>
              </a:rPr>
              <a:t> Dias Entrega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TD!$A$56:$A$61</c:f>
              <c:strCache>
                <c:ptCount val="5"/>
                <c:pt idx="0">
                  <c:v>Lima</c:v>
                </c:pt>
                <c:pt idx="1">
                  <c:v>Cusco</c:v>
                </c:pt>
                <c:pt idx="2">
                  <c:v>Piura</c:v>
                </c:pt>
                <c:pt idx="3">
                  <c:v>La Libertad</c:v>
                </c:pt>
                <c:pt idx="4">
                  <c:v>Tacna</c:v>
                </c:pt>
              </c:strCache>
            </c:strRef>
          </c:cat>
          <c:val>
            <c:numRef>
              <c:f>TD!$B$56:$B$61</c:f>
              <c:numCache>
                <c:formatCode>0.0</c:formatCode>
                <c:ptCount val="5"/>
                <c:pt idx="0">
                  <c:v>1.5</c:v>
                </c:pt>
                <c:pt idx="1">
                  <c:v>4.3809523809523814</c:v>
                </c:pt>
                <c:pt idx="2">
                  <c:v>4.666666666666667</c:v>
                </c:pt>
                <c:pt idx="3">
                  <c:v>4.9047619047619051</c:v>
                </c:pt>
                <c:pt idx="4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F-4625-BD02-0AE68F2A1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20"/>
        <c:axId val="1738524288"/>
        <c:axId val="1359701376"/>
      </c:barChart>
      <c:catAx>
        <c:axId val="17385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9701376"/>
        <c:crosses val="autoZero"/>
        <c:auto val="1"/>
        <c:lblAlgn val="ctr"/>
        <c:lblOffset val="100"/>
        <c:noMultiLvlLbl val="0"/>
      </c:catAx>
      <c:valAx>
        <c:axId val="13597013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385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254000"/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Pedidos por Transportista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TD!$B$46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TD!$A$47:$A$52</c:f>
              <c:strCache>
                <c:ptCount val="5"/>
                <c:pt idx="0">
                  <c:v>Transportista 4</c:v>
                </c:pt>
                <c:pt idx="1">
                  <c:v>Transportista 3</c:v>
                </c:pt>
                <c:pt idx="2">
                  <c:v>Transportista 1</c:v>
                </c:pt>
                <c:pt idx="3">
                  <c:v>Transportista 2</c:v>
                </c:pt>
                <c:pt idx="4">
                  <c:v>Transportista 5</c:v>
                </c:pt>
              </c:strCache>
            </c:strRef>
          </c:cat>
          <c:val>
            <c:numRef>
              <c:f>TD!$B$47:$B$52</c:f>
              <c:numCache>
                <c:formatCode>General</c:formatCode>
                <c:ptCount val="5"/>
                <c:pt idx="0">
                  <c:v>34</c:v>
                </c:pt>
                <c:pt idx="1">
                  <c:v>36</c:v>
                </c:pt>
                <c:pt idx="2">
                  <c:v>40</c:v>
                </c:pt>
                <c:pt idx="3">
                  <c:v>44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A-4D77-9CF2-0DBC319B4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6870016"/>
        <c:axId val="1476869056"/>
      </c:barChart>
      <c:catAx>
        <c:axId val="147687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6869056"/>
        <c:crosses val="autoZero"/>
        <c:auto val="1"/>
        <c:lblAlgn val="ctr"/>
        <c:lblOffset val="100"/>
        <c:noMultiLvlLbl val="0"/>
      </c:catAx>
      <c:valAx>
        <c:axId val="1476869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68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[Primer Dashboard.xlsx]TD!INDICADOR_3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Ordenes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rgbClr val="00206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TD!$B$29:$B$30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TD!$A$31:$A$43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TD!$B$31:$B$43</c:f>
              <c:numCache>
                <c:formatCode>General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22</c:v>
                </c:pt>
                <c:pt idx="3">
                  <c:v>20</c:v>
                </c:pt>
                <c:pt idx="4">
                  <c:v>14</c:v>
                </c:pt>
                <c:pt idx="5">
                  <c:v>20</c:v>
                </c:pt>
                <c:pt idx="6">
                  <c:v>20</c:v>
                </c:pt>
                <c:pt idx="7">
                  <c:v>11</c:v>
                </c:pt>
                <c:pt idx="8">
                  <c:v>20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E-4A38-A840-5D0D780B23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6815216"/>
        <c:axId val="1586818096"/>
      </c:lineChart>
      <c:catAx>
        <c:axId val="15868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6818096"/>
        <c:crosses val="autoZero"/>
        <c:auto val="1"/>
        <c:lblAlgn val="ctr"/>
        <c:lblOffset val="100"/>
        <c:noMultiLvlLbl val="0"/>
      </c:catAx>
      <c:valAx>
        <c:axId val="1586818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815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/>
    <cx:plotArea>
      <cx:plotAreaRegion>
        <cx:series layoutId="regionMap" uniqueId="{BC9C1087-CD55-41FE-BFB5-6E6615B36041}">
          <cx:dataId val="0"/>
          <cx:layoutPr>
            <cx:geography cultureLanguage="es-ES" cultureRegion="ES" attribution="Con tecnología de Bing">
              <cx:geoCache provider="{E9337A44-BEBE-4D9F-B70C-5C5E7DAFC167}">
                <cx:binary>1JvZkt028qdfReHroYyVADvaHTEgzzm1qhaV1htGqVQiuAEgwA28+z/QvMDc9otNliS7VdVqqx3h
mAifG7m4JZkJJDK/H/z3u/Vvd939rX+29p0Jf7tbf/lJj6P7288/hzt939+G5319522wn8bnd7b/
2X76VN/d//zR3y61qX4mCLOf7/StH+/Xn/7xd3hadW/P7N3tWFtzNd37eH0fpm4Mv3Puu6ee3dnJ
jA+3V/CkX366vPf//L8/Pbs3Yz3Gm+juf/np0RU/Pfv56XP+zeazDl5rnD7CvUn6XKZZlmaSoS8/
9tOzzprq1/OCP0eMS05Snn3+wfkvxl/c9vCAH77P57e5/fjR34fw7Ou/v9326NV/O1oHm3/56tw+
vOTl7vNX/fzYq//4+5MD8J1Pjnzj+KdO+dEpeNW+NkUdRl/fjfiXn/75P+buNuhfv/6L6x9d9Edd
nz3nT3wtngs49K17/wur33fwbzc+esVvPuMv5Pr/7e+HqXa3v7rmT/A9Tp+4njwnT1z/31j9vu//
decT5//rxF/I+2e3z87qD/d+vP34JwZAPvG/fJgM34784t5BNoUcY0b77OM95Kz/6jW+H5HffdiT
IP3utX+huOVTuLO/+vTPmDLk3/LV5yPfBu2HNr8fnq+3PQnE16N/IZefTOaf/8f8mT7H/+bzJ9Pk
xya/7/Jf73vi818P/4Wcfmb9/fhnDnTw8OMK6NeAfql4nuaHH9v/fgT+03OeROQ/XfYXitDlZP7M
+OCnAUKPA/Qjc98Px5e7njj/y8G/kKvP6v5PLZOgLEIIo4w9Xa/T50RyxAWC7uHhRx/H4Efv8f0Y
fLnrSQy+HPwLxeCynvyfGYQnw12i5/Thx6X80rGJx67/ofnv+/7rbU+c//XoX8j7N7d35s/0PhbP
04efyJ52xj+Iww9f5Ptx+Hrbkzh8Pfr/Mw7/uZf+DSgUt+Pt7jOJ+Kad/v2znz8a2MiTW7+W/t8t
U78UmMcff/kpS1kqOP6m0X54zO+2DY9X50cPub8N4wMByZ5nDNMUMUFTSiQmPz1b7j+fEuK5JEgi
yTBKGeMUTBvrRw23IeAiKZaQ+gRlnKAME7gx2OnzWflc4BTTTGSUZkBOUvwbFbq0Xays+c1NX/9+
Zqb+0tZmDL/8lFJoT92X6x5eOaWcSDAmBBcc/ptJSMfu7vYa0BNcjv+XGftRb02odwSVZj3q1rpe
85ZHVO0WEfr+eKI0ZAWlaWZzM21Jf4ponJfD1tauehHcOrwKLmvS42q0bZtHM3TLeV3NPKo5rRf9
im+Uu8KiYUlPudioy6m1zazaOGwveJlW8sxSxLfjkU7lcGEati5vhbdrfVuTcujvVjvzNOe9jFyN
kx2q046E3uVMLIwXUUfbX4QRO1+MZnDuQ8NRoj/IVXbIqrLO6pOp6iN9IdralGcZR7pWMSyU7dAQ
NpTPSdXects2Vo1IduGozHDbqHFeGD7qR4bKfKWZdUdCb8Mr6lD5ImWI52VPhvkwh0ruwe/8atFx
qo+7kqU5m9PtxZw5ca2naWlUnExWX0100VneGpt82kQ9vcIGZ9URHQQtVZ813jZqIiU7N4kY87SR
6UvWl9kxrsbuHNPIipqPMShv2Hamg3EFK8e+PGJ0rsUxWZdJZcJhUozBdW/wuBmy6+3aFl1Jaqc8
pgM+wf2yXbh14cpnsR6O4+ZmfxZSyc6BWnbHseKlu8rKdn7dRN3mUrvQHFVrf9IM7fkykY2cdYvR
osAjWk9qYuynhoUtn1rasb2W61Tla4ucOV3XdsVvsBAzLaLVY6kQC31SzMLaWek1lHdUOmaOGzGz
sGfJYA8lx4QekjIk1THHQ7xKKzYitXgS6oKsnjWKDlJUuV2q8cPiygGrhA6rUVUb59dLR/iVpBZX
qiHDsquZ9ucsssHmXrj51cACNfkwh/5cZh3ShUxq+jJJkq4/JJmZTgc9aP92MWXd5l0rfKVG1/pS
VVtFp0NPx+p+5O34obVcDMpVXOhjKeusUS2qZqmMrqLfyY4PIW8T3Fxta9O/n7zcklzINva5tmTO
1KCRsSdxJDrmPo6tyUuPSa+2oSOnBKddleu2FCcSnveejXxtFBvWlu9WN3byoDUbZjUbOiPVtS5h
yhJmi7T3cS9dK89LniKiqgSbXcprftPCnDvfps69HaMXbxCb/GuL4Oxo5vF4oAi9jeNiLzLfRqow
rezZKhF8kF4adkPbrt7LaYMpZhun36Glqe2+n0qj32FWu0ZVFR9f9ckgVtU3Ub6lydJjxbsGNQfk
hZRHozdTIabad7mron5j2FBb1cXFX2a+ITjferkMhc10cIrYpjkvh1E2RYlXoYus2kijZD28mhDx
LN/GNhjFtRyup1oQkZflZrddT2CkqnQ2jc8pePuVkZxq5dzcd6oTjTe5Gy0TipfRdIrMSUty7KZ4
Vro1yXZlgyeeOyuNVojOtMsT3WCjfLPCY7JIl165ukokBFDA7NB+2RjEofMfZr2FV2nJk3Q3Dr08
96yLw4HVdsGHtWe25jlFHQpC1ZUz6w6HKVtbJW3A8QTjdoK0uyVDe9BbS2rVoXbeqkVVSwvflWQN
K3dDZwhTWUBuy5MQyZBPaZDL3lmYR3ljSD3nW9vA5+l6AbOwJvAZhte0+Z0v667Zw6IizdHWjdQf
hjKuMMrmoNl+QEjfy3radJ4sfKvywGOiVbOIjeTOUxZzli4VvLpEpUp5w/ocNz1pr61cqNu1QzKT
QrK0Ww4M8jgq4hZGq7Zo4npIa+7TwzxO9bBDSdNmCsIUjTJba+5001ShWGOp40GWoTKqcb25kSPq
7+c26L5w/dxoFbMoiTJOxvRFE6tU75NaoLkINJ27ApIW8a/X1C7NgbTDet5VdpCKEus/sqHC/X7F
03TmzTq+qKxrp8uELhFDol6amPetHnVOYh9a1UgcwVF4kPGE9GZzp4gNiy5EMklTeIqyF0JEnFyk
duzro0F6V+cjjLLkMthmm4+Qk6FS5WLL9jC4KsBb1GPzqjVC3Mwy2xaVUlFdV5Sw9jabWgKDvl1m
s5OULZ0aJjO3RWw2GlXLO1iTh3KkB2qNUY6ak34lfDk3qSzRzg+O0BOhw1DnIbWuz/ulCTOsIo6/
ZA11+njxYcptPWZEeZ1liYIFOIXsSPu03PmqbWA5bkX10lVkvZyt6IdC2rl/qWVbz0Xrfej23jVb
+7avknK+CG40q0IL7+t8GnDS7FoZZ6dkmkIqrsUkbT7VskqULLd+UrRLJ5ovW7few3iuXb5FiZdj
mqE+zSvdL1NBZiybs6Zc5Evk9CQOm+AyyeMCCVO1JIYhp7iqNHiWZ3rXhzLA8lz7rYdMVc6jyDGM
P5K3E9evMe0EUq7TGc992raXccVtr4YmiHPNevKB8o5cCzdu2ZEelqrdpTa2kOBl7JzCdTcs+Wxt
crvVzkbl/Vw1+0HU5bnH3L1eTeiF6ro0vElrMty7MhXvA0+y60mkJitITzGMJFgKYXgvPcfXbZKU
8CpuFHux1IGcpFMQVVE2GT1bq9ndyri4k3TGC87FOCbi5UA3Sq4yk/aw1kO2cjvPm3p55c28iBfc
jM1wpGWNs4IHYZLdgpP+LV+n3RAmXhdbo5N118es7s/HZO7URvwOrdWE1Qx5ZCy61NT+PO3L+TJW
sn8dEZUayp0JQQlm26PACbXKrXS5tNwtezvJss3nuh+6fCLJ4HKdTeZ1OSBxy5owUMXSCXsViGzS
YuYDfJ4h88pOa0ETeox8I5k5n2jir8ZVoC3Xce0Tfs2bXq7vsNwwSV+kA2ppLhe+UOIUqtv1SAzD
hiALEbuekpDU6ExiHjuFfVY1b+2GcX2SdLp6KdZ0PNGrI/Wbse/7WtnY98mRabtk3lXG4zG3kDv1
+7Sqk0uBszp918vyE49i62FqZemYs6ZNlxMRGj3e23Qg5ihmg2xepC7lkGd7sy8n3amZb2hXBh9z
XdK5zMvIXThMIml61UBlDMlxDScjWmzeJ3rValjY0BarhimuKoH1Aeva+zNnhqw8GmhM1cTqSump
M/1FFqt1KGqUbPN11eDursMSf1j6LX4SU5mkhxUlC1KwApju0HdjeqpxAll8ZdN7opMXG3QdUDel
Ub60mk46h3Iu3W7YSmSd62nGH5usFVcVX/ezcVVBJhvUWDs3KAu5ll5AVUaDah6KAN5iVN2lkFFo
QVvzGmMk0tNtMd26k8k6dOeup7x66bEnvBjGAR0Zsc2qF8Gbl8vEDc8lSYjbJxmvut1Ujy5Rkesh
7CIR4PLN4qk7b0JKbc4ZX7Oix1vT3mo8S0i4k3BCxaTbpgtT9dbkYjbjvp02tLwEI3OvIBXCYiKz
ReMLKuJmipaV8UVpcEdgIG7zO2Z5HAqaNe71grMTPUzkQ9+v2SWD7iE57xrSvAhJIHk5lQcrwkXZ
Z3jLN5Dwb8jSr2euhOBsgtYHusIyGvqmU4xiSNTrEOTBdzW7CWUvp52MkEIUH6eEFG5pr6t5Ynso
bZOjVPrDOLTsxjFwASy2Sb1ekJnFT8Fuc6pIwsN2ClPVfIJ5rUkxrJ1WScJXn6jVUHcC9YwwpwSF
DJ/4OumWV1zWkLpd79MhF10fj0zUaI/5uq27KhKX7vtmohsMgNWanajIoFUYW1EfVl+9HxnmBat5
We7KLTAEldSGSyUy7Kpjk0GiXZRd2izuvxXQHzWgd9ZFX1f6686E3/78x/mv2x0+i+r/Ov6wt+Ff
f13MIAxO/v7Z+a0Lz/aT+fh5x8PTex5Ywm83/Uunf+jefxPtnxCBL/sl/gMu+N2Tj1jCI2LyKyh7
6Kmhm/49jvBoX8Nv1/+KDOTzlONMwhSVDBjoAxf4igwkfg4MgULHz2ESU/ygKn+LDBikLUAGwAUY
IAc4+SsxwPI55QgRIAoYmCrB2R8hBsCmHvECxmGWMwZ8QsBDZQpo4lteoHlZJZVvqt2ANiisLd8O
KW7L829c8h0u8UAdvqUSn61khDzUo4zCJz224t1C7NBW1S56d5008uCy+lav4pxZnRV1O0P5Zj/9
vk2I0r/ZfMAgIpUyFZhkj20a6YzxOiTFAjkd6tQyua7kVJ7B3Lxd55mer4aQ/PdtQlj+zaakFKJN
MfzoE5vL2FbRhjkpXFK/wZkeT7pQbSrjtPsy877sXPkvPSppCjCKSAaD6IEDfcN5sOW1qOSYFHEN
y2trUFLQCnUvlmrGKpoSH1G0jPvYm+74D34j2CMAsgRJoThG6Ekss62hvGVk2M2NnFFh2Yhf9pZz
VLQl0dMPPPpv4xPmDscUYf7A3BB68p08DL4KmPmdAOaVuzrM+x4LffT73/RdK2BJIImpSBEIRd96
c4widl2T+t3UreW5NJ0uEk3c7o9Z4Rw6VyZgpgGZowI/sUKNo4HVpd91o4mX2UySPaAB8wOPPR2D
D1YkzDWZMsIh8Tyx4rBmwXRV2E3jRpXt8fLS0jI9cQMuD3/4gwSYwUDHUmCi2RPY2FI+8qQ3sP7H
LM2zCsrMpZ+F+sNWJOEZgQDD/jLgeY+D4+PaTbJ2YecWLIoETaNa4lb98eBIkiHYn0cJxaBYPbbS
+WBb4qCWWRKZKqgLqOqh+fmDViAxQK6HFPgAfHGGniSICJ320AN92A1D1hw1QCnwoRyTgf0gPTxM
i28TbipTCrIPJAeCmBRAlR8NaAiCn6dsQDuBAjQPaA1HJEHtu4rJslayZeby94OEH574yGIGo0Aw
kJpgzKJMPl1IoKCb5lmiXR0AvHaAoIoJJ+0+Jag5Yam7rVifHbZR413UPJwS1tVnYqm+liT/MTFi
RB8GxLevAuQfxgusjogzYO/yiZMDg7JVzP28WyrCRA57NWevknkT5tg1vXNtwR3OKBRMDSP7pfVZ
/7p0XSWvxnKq4gHqseo+AtzsTkg3rOF8WJdle8sJ5LpLC2tpf5KFRDuraO8hvU/LIuq8WYi/Tta2
AbDpAa7kvWWbP+qaxV0GDO3C3izOnyHoxoMC/LRKlRHX3lCYX/2RToMgh7oCqJKvsYZ6ee5TMu6a
cUpFAX20DrthrjNchGWJH0Ppm203j+XG3lZ4CKtTOu3rU1QNrL1eOOCk09BW6+nU8CVTSIz9nFdG
L77Q0W3xBW432yanhLajPBMstryoqmQ6s7XdEtVlRg4AjZB9JWVWh7xGwe0yw8tp17CmPm1M9E3R
Vm17s9RCNmopK4BuI0Xuo5E99NQSNuqFXdrWosm7ufQo3yZsw553GqiM7caeqHFNE7KjyyTeBOGZ
KwgZvdwl6YqAgGJNpeIs8MuWdanNhU/YKYOVDgjMNrVNgfjI9jYJusoN4Bdd9NkAvInWhE8qsMTy
wmACBTQJq7hGvTCjClCDs1PUrtLvEvjuT8nmM10gVhuhZkARd804LFte93qqdhz67Pcah+xaUkff
J3oRRuEmzrNaWdtNqmELWg6oJdipusHLehWcW96Fyq2fNmZgZZ5Y9XYamL+tEbJl0ddLSfPSVlPI
Q7mmbxng1UoNZcZ07lgQZ6nPshZ6CJlcIOD/d+3sqD5qEDTa+zH1scutS8WwI00TTiqvq0GNIoXB
WEJ3j5VoddjT+MAnZ8KtSiqBXvgh9a+DAcnoQOe0mpXxtUP52pTZYXY6pQoRYO9FCSsFB1Qw120x
jxogetuI9yNwnrdJH9M3wAbXrr+UM6gZ9ipDZdjOpwzbadqNgphDXdaAPaDlya4hZIQVlC9JvWuh
LFqUydbsddpObtn1SZg3VS8raU5lMs7dwYt0M/vWt1Oq6lEOJictH3BRTsHIfAEwf8HaklHVeVYn
isVItrNKQ1N9PnvcjuW7Vm7+oqoeZJOVVenHjXTuxo0rh0ZpG1f00FeuiQJOPb9PoJ1NdsZhcRUB
8jWq9KJmqpwX81IvduiULkt3YS0ZoSgeoXFWRFemyTHW842YmrRWXjbZTauXjh+vdGpfaN+zGUQk
Rod91xlQV+gi2Tto/YdS4XHF6DQDgtDkiU8J3ZXJ2KQ5NL+QiLTR/Jz0Pb4XtdtkMTFRniwpIV2e
aRHjnmM/JvmS2S7Nk9anoTofGoyTXNbbtAE1w2LZEyvLIqlJnanUGABFo050yFHN6aloIV/tghTZ
sMt0Aji8SR70tx6ZCNjZJOOnha0AFSIkmWaHDM/mE83FfDbPfgBymmUWBuWS+BWkCV99jJkcFr/D
HrFz7pz+YGEpi8qMUq8ABVZ+P7G5f009C9XBT4S9i5Lp9y1H9esNj/Rdt62DOJSV4xia2j5tCqer
9WWXATkDvJd0x2gLFh9kbKC2QDUAnx2PVcJVFIK96xYaPyxxsNdSt01TUFSOA/S4qwAsozde50OY
O7ajlpQ3iGY1ObNJFufc6TYrgdEIdGdZGIYdiIkweTqYFYsqK85Bb6hD+gmAQsdz4+ehOypZ1ABC
eCWGYz5P9GjuBJQ5c6+HN10QQLOFALiQR8fsva+n5HRrO4kVjRl+xzexve19u2Z5AxWGU21Cujaf
qnqxkD8izEZBWwa6k5vZAcayYPmcDestcJGA846MJigepzmcThTFa2la+SkDZZRBKoYqIO90vSVF
NXfuA4cc8BGIfBIUZUl6RYaRV/nCWlA7KqDFjZphDdoRSsK0q+2sL0Gt9kaVq9g8ICPbZGqZqf4w
jcDncgZKWA1zAzTPXdJk2O9siduXJYx5IOINSeYD6D+VUxO1U3/qMGsv2pnU/DDS1Mo86m7qdqX2
wyegZHQuOKvsXoyAX1W71gO5RELyK9CTlxedQf3duM7uskk8gGLhgL+A4ODhf6wwyNdqmZrkZlm3
+HbV0zjmQ0lg6PfE0Y8VrEHxuEMRgdpQ9m5WLvaR7yNz2OeGIjMpPI2QL9tqY16JUTeXgGdalANV
wVdoc9qpNM2SYU8lGZccPOGu7QpsSxGkOctBTO8+ZcOWRdUFy0yuZRLPwkRnsSfQ9F2RcW5BgQKt
WYPIlkZ+lDLt3sh6tYtaPe5XNSRj/Rp2FJI2z4QVArgpjZ9Y8JQXk5msP2OmL8lRknZZpdzGaVak
HtWzSq1oh9MAncu17DRM7ehTcYLXJHVK6Ggu8NiORvWx764yOoG83o8dTc+HjopElRtqQPMe8Xza
T1kyQlx0ebXCEjdCrp3QuRcCMzW0ZXgFOaelChb27EWzQOmVIzGn9wMiy6FzPtyndMs8yHxdEw+V
LaeX89RtIFB1o27PRQa8UVlf2uxBkU/ee9ZvbyckNpdHNoXrktbsgn0WPrfVw8oiNUjU2wzrlEkx
SWCOYf8+phFNRboykJhJObI3KbHkbkOlPZo6NoHm1xLy2kaT1vkG+OwCyH4alKipvmdQwl9AGYA+
MApSjOrh2Rp0IxgOhSsZ+oADw5euHod7qO3Y+EXpTErQ4tRUonBOKhf8bpQgdxTDPG6gNWyMXuGx
TG6SHvf4OCOLO5u82ACfL3r+8EXonMgCkyzQ2B5/ETpXMULh10qQuMcxG1uoifF0bKqZgHBOyvYa
GsxtU2nj2MukW1P/VfNcPGqhfEqTuAGZJNwUX+TOjIICrtIla46D1wjEmQB8Q8m1gfEqSikvOwEZ
LocqK3W7jWXtTYM5vGSLWfehJ7gf1VoGfKmXAdTrdqMlyMGfBU/ZNHWjCI0GFdsSwqtvFM8hGcpu
x/qAh5tpK0nImx6V01ECdUO9g1CFqGBbw5wWZRsIhTUUED4Usg+aKJszgPejlhqBnh/qvuA2ZNuO
sWTiOz+lTiturK5UNnoG+vuayDFfdVhfVxQ0HbKqFHaM6LwlbT8rmy0gdW3U8Hcj6IkX42azoOTS
QCEWJw8TALyffEDIDUwl69K/mnyfXXUjxsCWB2xCgVIyX4q+wuWOA3Z60Nxbu/9WUjUA+e0etVsF
YtcAWjx0nEDO1ZLN9hwU0ZUUVGJ/N3hNIWeQoW8eqauJz2rosFzWfxzEPG357Bj7aOtqS/NhwFyq
LxJrSBchVCqS2Srg+S3efyu00qpxcd8Og7iGem5CeTmY+tUXydXKQI+Z7cv1W93VB9j3kXCU2aLh
wgO5Tq2+T5fVXMzWh7eI+vXVZxV2qN1A8qopN6eY0O7DFrS/rrKyTPNSa6iD685k760FaKdC9IEr
E2n2ArofNOZZao0ulrohcy7jKqIibO1DUdIR4aJBwbya59jfIAHcTWVoEK8Bp3cf15L0oI3YajjO
ZglJuKUj744rHlNIm90C+nENuemcTB5xxXQrXrpBa6xcMtBZ8aTutpzWpXmPPVu2optWUK6Y56lU
AXfZhw4hOuVZN4OmbptpfQXzC4H+m5j1k+5mKH3bbAu3Ke0WmVPo3iDFtjNshBiGpTmjXvSQKds1
gjSdNPHWTYuc1bI107sNROG3Qvu2VdtG4sdqRW7MtZH43OAWnSaUxBveuIUpxFtiT0H2a8TOzJX8
KNuhP6Fs2wKsRmR6P/FoOGS1qjxLQttdVJHTG5a55UKn6ZTmWDTDpa5GWOAoSSjU1dCHHmnG+09Z
lawhT+ZgS8VhP9UbbbOSqtpsbFGeGj0pNwd6N8FIgG6kJhIpgUh1W1dtcpHYbv74RTIeJwMF7dw3
ELBQNXzXj3UPtdvil5toJpC1m4eZ2TeJ/vRZPAatvdMnIVagQC3VwqB1yeRYF3G0PSki7o1XJonm
qmGoL3dC2gcNq1qWBgRsmx2boTQfvtWVGw4iLWyxiT4q7Oz/Y+/MliTHzWT9RGwjuIG45RJr7nvm
Da0qK4skCAIkAJIg32me4rzY8VCrW9Wa0djo7tjYkclkkrVlVWREEPh/989dBPSYrCQ8OI/Kz7ib
OpIHiU4xMSWgkvJ+qjGHxHDpvlUUKEnmpTUDk9Jqg4tzWyM4qj0FytEFET7EdmCn391m3rbbOUnl
3GZhVaWfi6h8nY2CaOzrRPineNDWL2i1qrdYAPg68wEByAy35BSU3cxmsCKws3EDwyfn2ZCm5HnY
RHLPFYc7xPGaukLp0Hsf6GK+2AiTLqOqm25xo7hhh4O6v21Gvb5vhvXPNISTmQW9a39WetRDOTtp
P0MLDGmaXWfwNmzSFrDb2y5jyTL+XPGWNtk8J1Th/oI5bXUQPS4Ea02upaoPvzvUKV3nD5qw5nXy
IwF+R9dQ2Y1kDcn91CYBTh1WtbtfzGorI6gWvxvVHti9FZdXyJaTHcjgwInVFNdDG2NG+NW6TnC5
r2WX9A1WMaUIlgIxUV0ERjpa6NXMj9A5+ZSBJcD1vDiCJS4cB6OyuTIxHmR8GbqDTvt62VFnxPbS
eTWIkS3pfZEDj6EWG0ZKvyg2nHuftu7L8wZuchG7BRxNRzaD73ztgyoSkduy343scU4insd64x//
wsj2MfiHeQ36RJQqBBcG3mHReFnUir4I+Vivw1XLTAgrfaieIwAMMnyyZKyS4JnW1t+KZZqZntps
cmmTPm02bvU9NIgmLBiHjV9S/NNXCpP72HRNXePm0OP3rYscKRjMvvpqbg0uxLQXY5y3orUHXy2D
g5tMXJPPawppc9AqcqeID0lbJon1bCbrJsDTSB3/TAIuBC7gJF3zduOSZW0j8Z9spkDmWOv8a0+t
44vnjz4u9GFVL77bokdu+jTOLVxvnfmual9d12gGXVCtVzPX7mfAvOCH5RIXXbAK7EBR6ozOBoNV
PwPSI2B503iSmSALn/OAjxPL+6Rb7mzY3FmPRJi5+0bfiTVMuqyeJtbs+5REb27y4g68AhU1vjBQ
i/Ma102MPX5tohLHAMM928ItP9ZUJOMb4VPqX7FNxm2pon7FCWjgXpUrJfikskALmejL/brh7IgC
v/V3UE0WICsi8XiInbACfdJzWc262NJ+To+z38x6yuK0r6J9OjXOrbiywRZmFYCJn1Lg1suVCpXF
4tmkp2VYmH5ybTOpGy5DlRaxcAKqpu/Vxp6qLY2nJ90sbpAQ8gAEFlsHBTAbmI2me+nYVp0HUG72
qln7WbeFL+gU3zABMBc76jAnVZWxIRq8F23pZu5DO8jlIzVJIm7qYbFztVuCKqT7qEkY2Cu/DvzT
QONhGuEfd3Xq4Qlo2KqzRMitvR+MTf09EZay3UThZoN8XRmDD2WrxuGC9KLBH/srMmwzSAdENSo3
F8HIDJCYZLYMykZgIGiJbJhWmtZ57ENX+HQTyAx/B6tJ483ym8WEuzTaBoEFOnQM2F3n6WbHgOgo
XDVCfHkuNdczYGRJsHEtXvzZBDza9uukMC06VakOV0IIMTJuI4qNG7+AhELTju1qge4Cb42fcQZy
IKHeFoGk3NtuauYQxA0OUIL3u4v7H+kCRBZi5yqhENpY9V89aCScItDOZHwmkjJx9oOR2z4ztYJf
xA3eg8+WGhLm0p9bYLUOZ8sILLIel6d4VnEyQUKD7o+sT+RTCGWBiKtcEVKHBFwf96YuW7xIto+4
rEz3guh8AkqpSbamiGQ88ufVYwGYVxCt47nTcdw+OO5WvBOJCxk28qlKz06tm8MSOU2mB15dQfsv
pPRVADgJzGcSFhNmOFll42gJPYQqAXLTwVoJgEyzPnjrK109wOJRYVA6EzLR7utY884dV2Ic2Uo7
J65O9+1EgAvVmWnrEFpxF+qpgoaMLYkKoIvG+mO2LglO2MwNg9BXC9UhbuLZi8ekK2t8/c1WJrSH
C/27RfX3IMDf3cvfufVfzfxfvf3/LdjAX+IXf8EGkIaCJwan8c+ehf+UQfgze/+P5AL588f+jhDQ
5Dc4rZjVAhJEfhBG+BP/SB1c6IKLnw4cPQjhdMDo+AMhSJE6YBTi4cUzTcP4Ekr5kyDwf6MphXmL
lETiw/2P/x2C4L/yG+Gb4W8IIZoB5/6r1fQPv9G6Cl9yyCJPdc3D/4nfGNPLH/artRMnJI7gOgdJ
AmeLhv/0lyHb4JM+bqey2Rg8GyBcBYCsoZRmkDccB+uBeIu6xsrXQiSZQpuDGz/3TFXltjYF5KCD
4nGa07jvytCy6qmL5u2oeEfzRKjlMHczaHCvWgrLQX/NDXnCYLJABE6CoobC9aUrL8pXpYrORkWT
Lhc3Eg5J6ubHoBbXnjHzyfQXw20azYsmLrryfDpet976fU1nL5fecgbxOpZ1X0F4hJm+H3pBQKbP
ELzSqC88JiJAePy7FyxJBvSt2+Pk9Hcu8bejrjHfCUwGh7EJ1K5RXnz050p9xGMb9RkOSfzm+FJk
rDMbkhFRbyHwcp1tLNWPMCq+WW7f7EaS0gz60VsjfTBEp9jT16tkEj+rLXjhA51OXTck13MFGD6a
gjuh2AGvesuUc00ZwCcwkJTyWLV9JnBCLiHQRKw4+eBc/7nR6NjMNT2quPu+Qtoto6Cx30FPm13g
Wfo2m0WOpaw69onrPb0DUphet5HfHu04TxAqWTQ0+7oKj5gYQYmBFOsonKOl6jtA8v6o98bXyXCY
3Qb5aFNuOfLN+Dsgvnw3RSzcbVTraxXb+Ym3o/4mYzG8c1WtpwSiMIb3aovJDpvaXO8m3y5HE+jh
pyZrmJvFikfwat/qxZdzFhmT3hi4ubvU8PG9SqR5mZc5+M4bJ33w7yJ8HA0GIuuZg9eP8o7Z0V4v
GkSwhFqEu3P0w7KO6gg3hbE/tzYYiq31xhjLuuhvx3VMTR7Wi0KgIAgbht9nre4nQfAFZzp+TRAK
CvcN9o3wGool5NeeUfKY2nR6rQMpdxqoPm6ppMVE7EGozkN8HBOmZbufXJ2UJF6SUgYy2WF5dW/Q
8bEbY6zR2GNnoOHBCHk+q5jzutyT/bPbqAWOm9bBdVon3rtv4ukGuYrAy6eUQbGZY+bqTPcfm4qw
PAUQKDGc1WtZJxu0qbpOi7qL7hNMNsAAtaO7LkwwUvKoTvGxD/WrGeKyolIdxyjo7qaghx0RSOw9
YAShK9tvdhu8U9Ut9yTsMOpE3gERh2cA2lvGSfq0JtVLB9QarwXuHST3QO9bkcA5XYUqRS1+sNFL
iyCMo1NiENWoWOofO6A7X123gPRcGVRmPDvhI49HCKl8bq4VbKOsrjZ+8rgcD34YYRBh4h3jByT0
dniKg3jctfKSXEkZemHSNBMV807IVcjDuEFSWlL9vkgmz51xSPOMc67C/jrxx2PvYeODcQLny76N
vmJXSYVHZe2rn0Mo9J1frfayF5z6Lfic4+YeIrHJpiF4DahcSmaRdPIYviNLWvF9g70JHnt6FM1W
IpAS5bax7lBrLGgYqIOMRu0bkqGHyLk0d0bpHI6bzWwc3Q9LW/qmhVcWNkqMRR15UK+9aTqS1dw0
sToTESE4QdgnVVGU1c58E6z1XxsWHlLX2ixWER78EHmJryDFIIfZWGe9XSEuxzGc94us48dm3vfg
CgsKKRIOxPykVAebuI0z4nMY09FGbzWNy3DFIz8M8V0Yq6Ojy1WkRNFKVaSmfVj7IduIKmMV3/mC
y6KK2PO2kQ3HAP9sqNqwqARnf+5ZknkD9pDciu0B2mxACrHpDoRyp/EJL423QV+U6bbtakZojpyS
2zVSKz9rgnhtM4LSJwJmH5BqXne9eR+ET5JsTcjww4aVD1jNYrXJhkpIXozOWzUcJWV3g+by1lxE
EcFUnZPRbQX11xiq8rS6A4hq7wxludcZdIhgD9NJ5SwyUS7WBMtHb+l1EFn+Ndk1gLk8VKDxUgep
GTtOQMsAFudXw1eEMraggx7wGWH51zmvyfxzhr9a4O7rv9k55TDXh8H8qLTHd3bYYFzBkaQhIOC2
gXKvR3HuKh3fVivBd2Dw4iuJMMnjkmz2YIHN52s390c69OkxsNzHL8W7U0CHBWajbA8i1RXQgonk
00T7MpREPk1qu3g1EWSnLvRUXnFYm1xGpqy1vzyZfvLLZjUgHgi22B9JrZqXUDQ86zdklDCHt++N
HcxdT2Z4D77rbgAEdTkMVSx8yaieCV7wty0IhyKUbnWwUIfqBm9VlWTI3IE8S6foCsKegRbrVPrq
BwBuK5ynMH+QSiJw6n4OMRZ8gAfx9DjNk3kED4lBWDsxPjViMwVPIjni4TUhzVko2O3AFCkTWTV9
phKtd+EkU6Di0r4nclBAn7GwZgjaTHfelpgjoADOCi676mpmHHFCT0EhZUIgg9NEl81eYTFVy4yH
ePDNyMqIbUNhBUF4UgwiLmnjHavQeyaWKVoElMUZVEXobmSXjPqpbnUFcRLe8z4dOWIZ/TnhyZop
u+xdQq8WXDIPuqu/MFadFFTmcvLrO552XzTU82tquydEVF+wR/n4GURMuNd/Ce0/4RyA/L/Fw56J
5tb5VkDZg7ALnL/e9+C/oPdg8wQhs2eVH7nC2+62aSpAdbzLOvgRzk05LetxNoJ9jJMPSbUbosOM
7rBzj6XxFBno31nHYjilw2T0R0d78Mou9QqgcOOpaZrkdY4CUVRr2190WgIFS7qc1Ho9wax7rAje
zDlE2G9bg+7R+tMTH0cYl5YHMI2aV1pXxxSPhWivFxKe8cf8ULHAiTf30wUa0NGpUZU+u1ZBMmXj
Idri6Qj81cvGWX9UcojuFrjxx1puiMf20VSSBtCKqMx34ATNY7otXr4lW/vW9OJDsireD6rZVS5c
fzSBDne9S+Od4Ox7GGuGrWsTZSuU2Idhj/tivZnn6dZfXdFOLMoBbL56CeCCWYzplfVr91GPzXcE
0g6Q1Mt1E2s510F7xbcPIwAvBJPx9z5icz/+tnD8W6vY7fAlH63++rKAs/+ZyP7L0vb/PMX9L9cx
ELIBuun+u23sH6Vb/1jH/vyxP7Yx/7fUjwnwV+xcFGg4tqE/tjEU4IHZBpELPvb3f/LHMkai3wCv
0oRhW0tiEMm/BMBRG3ApyMCmhvA4wFCsPH+w7H9ZpBGF//v//jUAHtN/xp6B4LEIMw1YVkLwV/3T
hkQi4mPt0XMJ09wF2YTr+L6vEJjcDe1knmXgb1BASJ288ZCsQZ5WcrujLXeFZHVftAjWX112oi8A
WuM+Zr06wfSL4Fg7WYY4Ea7xEDw1pI8gnvfwU8w4/bCiJZnR2Fqabgx3bbf4t8GiHSSz+RITX5f2
va4v2j7oJxiqUpWQYqK7WW9Hovx2K2CPAZwT1cJvQcilZRxWw1Nok2HKt9ZZwGkbsg2DGo6UaFp2
lLKpXIJoPTR8mHMJRTWLab+dJtN2uqzIHL0kMG9uhLX62jVh/QIeaRlzAU7/ep5r+PMIzb3JanT7
yJ+Tb7Tzl6+5mrojxXG905K7o4Wm+JAuwVRMbWueI39bTkk8w5Hf6oAdA4YLLtpKBxHlZvVGCMEX
cl9lSOnYo4lGj2Vxq9ZbJ0Ei4Die5SM01+GdTsszgi/iXnbOXUu+uDNdx/qm9Wr4nN5ST898qusd
V1aXrZ2jRz3VwocEB85ntiO5bmm7PjRzMxcw1jCC0P7ed+1wj1GGP4UzJvXd6klxVQdgQ9bNbJ/W
LG4qus0siF1qiJbatctLtc3kDroSuUU4kg84t1KcSsa0gc7go8R+5sG3rrC0UnmKyEquEGnzDiSW
8naq5fw+hDZ6p/aStscM2u9xByQwUMhAS0IMO+Fom3eN1yM9utIQpqg3I1qlWzY9uzTob9aOs5ve
8zF8IYqAKRC3LhK6YALW70jPs+Owht864AxlWGPTyVzNr5PRzXtRS/K6AgGL8r6eo9PQNvYes/JY
IEq+rz3k2B29SgPAttTEqljZwO4REFRH5O76XI4Q7Ly2qu/ZNHhPBnMfIq2ewWSobJDjHeivOmPW
+36z3hF/LM+tuoTlOMCG50ELGIUVDmYyuyuTKjxTbc/P02LbUx2DEMyiIZggA1cbAnuTup8CYR9h
NsO5dM4hiOzFy1LoCuZ8yRGQFxkbSXDDdB+kWZ306WkEflllyGBFLNOwh24A3AT7fuv1WZugOUbp
5QObkT7ccEdeXgpctZ2YuUvyma502JmKwm4wNhKHCSvmOZ2W6rqRoHSQP7LPFrQppIR4as569DXW
eHAhTx0i9HMWIMr+lizk8m5W5NvqeWFdhiMLXiXCHDc0RsijEGbo6nwbDJJaK4K0fhPeT7YbP2vY
HNeslx3CUO0WPdfaU1EGiBZm+dIy94B42VbgF/avolHLQowMadjKDU9z3M6vpqqh68bBS8WGNQ8v
YSp8uvkQyOk6HOOwJH3b9zuRYl08Kq3G22Fqb0Sj5Ydv8NjWKmBXEifZ10DFcjt4kz0TCDg/F7Ol
19jy1ylrYs/tvZq0DZQeH+HxQWqdJ0P4aJB6TOPmzQh+UWHgG0fiVFGqdxJb2Ag7ZGS5npm7WUPk
sZN4guwVe3InYYTfT+hSeLFr7+PlKcTn2RTZh4oJr4IEqyg+mqb5qKjf3WpAXofUCJKnY6MOEJeS
IwlnmcMaEUMZUbRGWG9ZSm2cd/RgMF7HnNGojJQng53qbPCoEFh7Sfy0K20KnikfpkswLEoWAIq2
kt19vFZfXrXiTOZyQGjP0TBfNWY4I/rcX0d4CATY0JoBOvLOuhLj90CIbeeUmF7mWcz7oMYHMXV0
mDIcEeQhwpECoBGot59pcEGvsQ+EIUlcEcBgu+ubVORND99r8t0VuJtvKZRurL6Ib9RhfEy5P+0R
Ww3uG9DrZY+w335F+PfMQo942RLT2s+JqEmpFj+6w/vTYPHGFP9YG2SIwG/a6NGFwp4vJ2vuu0va
l8YVv2KJVM8rEHuebxXizAvYvZ1MpH+fdBi9c4aM7dMY6xptE/AUij6O1Q7jeK6FL29F1JAjxLA4
B00wwnMeu5jDe/PbhzgkVO9xIWlEsScKQxO8S3WL9EN7lFuIb3YPb/M0EV2/s3apdxoDws+lIvUO
LAvf2yls9kHQjnWpEQXL/KqOjgBkkNO3tENWqKOHKBihFcxpv/P5tBYJJ8kZWc34nsxxfda4Vt+6
sPVXnIJMfUnURuwIbqJzGnXbFXwvjvtXDSCLPMB0kP5APcogXB6kTCr85g1QciciDPC8b18noVZE
K1t9txmEbDN4WAHyijOoO2bJDU+69cmkvftirIlAK9ulPWLLlcdGUwa0YGHyKKs4PtbVBOqyBlH6
HV0B0zNls9mvuAae1yZcc2Wr+gRgG7SH8bbl2I6yh2cEyBAdIriKVYLQJwRX2NNQ4SD6BF29HBaU
JwCN5/tLiAKful3fvba+ov5wNyRrhIgTH/d+1bRPaCMTbzNJppdQmWOil/rKNO57iGPjodrQPZK5
ddsKPA3hjlYD90D+EbtmVNjto0UZAjl5laRB3urGnQisuiOW8GA8Ni7GCwFf1I3fWW/GbteJpX9Q
rFtEUXt49fkyr8GD5YrlPpiWz1YC2ibBulzRWjxtohGIzIoOImll+DvbVBsUHLlv/0Nq4JRZOvrN
dYcUwzMOleQGeWKH0Dpv50M4BHw7pNatj03M6viDy8ubDJEOy4nz4xL8+XZNlmX6joh687gCp9OF
M6Qt2nVM5LEKWH+jvTCc3sHAyYdJuXGn6KABMY0iKdBaUywxUJnBu6/C9AlTXG7mH+n4Y0p1t0OD
QrCbuPEPK5y1gmqWHMYaeYWCo3znLoCr96ST6X4Ei3veSM+XkgagqRkHlZkhEobt0a+2W6giqDhY
vY3/rDHBTUOG/PYyQKRSvndGVKy1T2YxDIF0EBUPq/SAqzSej+FsjE02Y5pBCQL6HVRopxU7m7NH
nIb8COLTw9yFwwWidpCm9950ndKiRRcPGb3w7C9kLqN6JY+Lgi0ddRbnE7yEZD/2oy2oaNNcL4s6
ROCx8QhGDR7dxiCg29FvZuRLHg4E8UQc+5lXMTyzCS697ivWodpBCVhukXbyzkQDc4LnuyXrHbe2
9W4kXBoY9b0w80GlafMCh7NZvyWJ8p8QQrG3SRT6Z57a9f7fX+L+l8Rw/+UC9zdjDPPmf7vBDZP+
P//Rf/v8T0bc337wjx0u+M2Pgwj/inFH0b/0eIW/pRGFoYaN7JI1C5Fo+3OJC3/DTgVLDekmJHrD
+NclLsLPIRHJQJtFoBr+PUctvOylf7G5EkYYvrlY5IKLiRdclrxf0p1JswSiFcyWXtjHJ25EiGej
B9BXcMK5wswv1QXpQUGMXrfm9lJT+jksIz9ipljQbFMZNNu00PTf8askOxEE7mkkSj/z1fnfBLp6
XnXQJMUWGr+UvUBFvWyXR4ChSPyHIGDvUNPRvRld4RkbwqD9Ntbt+JqMPlgojJL0hQEbuOHYxeCg
OFCNaG/QR9LDREc3DiAo4fYDWV5Tgt6rvN+G2ish0tmHAdakg9Rr/Z29jEr9ZWjC+SF3KE/AINW3
VT6uEiccuyAmf5u4EJPWu85Hcoy01771QqhD7GPuUjRDXKa2WENoyShI0KaoL3MdVHGMeC1QMZAe
fDAIA4At3nq/KZcwIbT0+yE9xQwOE287OBcV3/oooyNVD0Ewxld6SacPWgETRLEVwvdx2oxJBkb9
MCUDa5B13FZUrPWLyaJFj7cwatpvKUbbEkplAJmxnbo88ONqPqA+JoFf+OhsN38ZfDGbEmUY9LAN
CPRwNDn8WCNH956vph2Tsr2GCLo+cz/14Hoh6ZEP2xQpjFrcvxrrkeK/aeXloybNQ9tP3nG2g3cW
FqYcdv1oyxCeqq8b62nUQo2IrbVeWjrYqkd8pWQe9T5OrZnjnKwNLpdx7A+gRKfjpODtLCHYiD1P
tUY6DkesAZlYkHWrXA46YL3p2w7MOOaF27Zp0xsZgWEwdrBzptFZtHOe4sdwVPSmQj/cvvfa6LSY
UV5jU78MkbM8hGgxQiopHXoUqgHGLhDroT+NJv6BmiV5WbymP3iBXgqOlOyxC+V6bmzETzDC+Q4O
37abWIypzaWE7msu2DuISsry1dj+CDk322yFFg6EE9C/ZnXtdZkTzuJ9GZ3dYwCTx47O248IGaKD
qwhBPQj1bnXTihP20OamQUFJeUmflfDOyWNL43kPcdRezWpUx3kcWzQxtaor2mFqHgb83gUxKjpP
QIJJblCGVvbbyA4s2Maycxg1Ya22H2ICf28JF4i0UA7eVss9hhHYEiCV27vWreGRMhR2oWLERpkF
mRHtR5T1XaVrN10nUd0+V6uwxwYlaXs7rBwtI+j0OmALewxUInepN6efxINkzJHq+7GQVQEzGu4o
VvgS8Ca+5ikfn6tk8XaN8DDaUIo8G/fU8nMj2NVU8gz2PMAvoXsDscdl6Cjo8BwxFPRUSXK/Lai9
41NM1oJtfZzsJ2o+DCpG9txhyESV3YDmKi+K+ocwpU25eeF20410KnqDTxT9XAb9aMbTByypP1tj
/hY7NLPNZp/PP83QotsHkT39OeEutVlkSfchadOM2IQ0Np1GfrVai1dU3/mPdVslRw9o+gsmINDf
E1PQXqakWpLC8fjTUh/RmRbNOGgx2/oNJThSsTsacPPMw4vmnaIY7KqaI9ClfLEhBSglxvMa1/E+
ma1+Zgv6+bZpUWfOPXvDRj1dLZYFN+gwSF7B1M9nGU9eChd8Ie9zOkDxQqlPDu+u2etUPbTBdOiY
O03WFZFGnE3CsXcTPhcPf6WY8hYtahV5sfCbQkQ/6exyznDqLKl/s238EID1Gl3zXYI41ktky0CJ
790S5kE1HyWNb70V7pBMyjWK9rAsd8QhJ2Tx7zCC7MzWOw13tBiTFdaInguh+UMskbytUFfXrdvP
Tq7D05aOY/H/Z5LL/8PHr6MFujsiGoCs+deIT/5ruf7vraJ//5k/phG0w2LkSEkMwxGDx6+Kcvgb
HOnLmJKgFggdlBgT/pxGyG8EBWJIkYOGAQpzaRb5k++Jf8PPBCkjEToAQrRt/BuKchr/c3kHvSja
AHvwItEqgN7Tvw4jRiEyDasb/utK2Gm+KHsmRO9TBhRH7j3DwnLWEXmb00R9C1oPqomhvbutW5SL
Ik8t9yrt5HfRJvPnMC8rkO8mHg51v111gB0nEA+417NODNGJCQ27pgpGwABqRqVjlq52OiCzDNOq
WeC4FXGwblcj1IxrlViFw3Tu76sEz1Feb830No/9U2AQv5bgXA/1uoYg1M1K97wauxThu9CdfBLp
Y4Wl5HOJUwguccSXAyBQu8es8IwTPA9nFpwWj5KnbmXbToPu26GuchcHUl+FkQrffDD5ed8iGJn5
FlffyhuFvseUkncEsBjyqwT1C/Dv8siz4dXSDm4Xetpeq4lAMBpCZorQpfxIgRQCr2Dxp8a7XyR+
a8umUs1hZhPqzUzY3YckrI5Mu/SRIFF4aBjKCDPfpPVjOybLY63mDsuHaj8YhrgfsP4oEgNyK6WM
1hsPp/xX0C3eF0Yrve8GvYvUyjh6xuz2fdaAkwf8fg9jsPmnACmhKwwVzRGlUzgxWpTD1TiLPzfj
whILTvte1fSlRg2kV/XojasOQ43KDA5v9Gqm5HuztmFSREBEaW4d4l8IBBm5Qxnu9CEAKGYonYTo
6GMAuUE60N1Ga4sbmsxye+9dN9yFfrue0nlTEPnnLtmvVY8FEZ4p8jsITsTq08NqBcmlh3CQQdAz
VYGzuuW7lQzzuTcpaC3rcD2PskNjlePsW1P77mVuPZSm8vSOqG64tmJCjdI6mIMMmb6F2p4cKRpm
H1F7OiDEiBhXCCg7RfEftnF8LQE4oSgWFn57iIRsTxUz4zOSlexttMNJhVGVr1Apz96mvlezegJn
KbbChgLUPWahqC0l0lMIHWM9fwIdMeetGWBoT2kAlXf0JX81dlle8eVKjpuZ0DOI2BKUcM+IGgGp
zfxf9s5kuXEka7pPhDIgMG8JcBJFUbNS2sBSqUzMMxAB4On/A1Vnd1VWf2VW299611ZtklIUiYjr
1/14HBLFM5853dxDY/Zdv5nFgCdVcjkC5NucDHbZNx4IwNWhLrMrw2iRC6ycE2Ps4/zUVMI9d03S
GUGOvvegOVGfbpB4ljvd0eKrwZz1CaGhIouaPDS5vQDYaox9RwwuxLs/7ntTI6Q3+rK8nsZSJ34J
H2uDC6u5j0vfTE4k9dI3r/Caj7Jx6oeFwFHYEwfesCEaAq2BIpB0jc/riBtlqJdkV6gITR0gF5jU
DvdL7B3JpOznycLfrxHSFcVljBLtLe/zHckzcZZJq84K49jqnh3enMGXD0AbcbClmt+RHog07bvu
jAOSOnngsyqykisYxl0W727bHmNCgyf81e0HRFz5kAhCIVsSdP7RHZbuDkNBd4VFJGazDJzwxN9O
PZBWLHcWtJZVcdfMmwa/y1ZTItlNmbHwH7UM4orFJxypSC6BqEk2AkhZOWNyKiGnWd1tq6LuPTOT
Zd+OTb01ouilkJ65q/os5/I0duKQswm5G5TNghrP+Y3yMWnEttSjraxxh22yDhxEVufJS5ckxdZv
WXrUuj9+LxQ+YNnZxPyJdxK2X+mhDhAQzAFDnyNAWjn3jgncAEYzgZWtmsMqtbXQWpz2NBl+lRAl
TjD1VLNadtKAldQWuYOEbVnpJgZ/d1fJEXeKMgftNi9wEPgqdQjF5COxJJ4yngOohYy8aH7EbDfu
K9dKTyVxo+cpg8NI4GW5nnCIEjXK8yu2CdneirjIEGcy08vMmvHGdxNbhXqGGXyoq+ZmYOdq8FtH
jY06hLVxbBN5P/TYSbhD4QckQa4u8dD6j61o0sdoJM/uGamBZuo3z7UDKBO8tZqD1m5Zo1uFuu8M
GbNzIc3QDz2OIRdrpZ1N6SkZRb6zGj8Pl8gCVoUkBZItUdvZHqdTV3jRJuUdEaRTvL47vS5kLceH
V3TLpgdladjOQSUWJE3d0xGeIEf7CQGxajCXMFPFuHULchqqxQ2eV/ivdXdqt13X92E/Nk1QkhfY
Q+mIDrJO5VvLuxOCop9c2amOaN2C9Sss1zqpUTR3EfiKwJKac0gwym1dU+aHek3PFDj0D3VVF4eu
LefbCOYkj16s5x0c3I0/GemD0edsAISdBelQD4c+05c9iY+aeXRq0flj/CUbLW/Ma7lEMe83Rmib
tBlzsGOFTlswyag6WWfC9LoE/AO6OuEWTIQdkxz3YcLnZTBlIzMsmtt5EBEWWqwyYdRP9lY4BXPf
ouuEutQabPLH4bol5HkyTG0KWpVXL5rGh9ZlZ71LLNYVrqu5R6IPy2EAkofiaPpnOeTqKusMoqd6
BB7XXOSFcXYO0T2MTSV52OTkN7h8Wxw2EB52hdYsl8Wr2Fz40twvhTfuwHSQ6xuLghxOrqydbjD/
BUiu3h6LICAKIyEsEBEGYQZCp9iQ9cm2cpiGLYR0Z99ArD3W3jQ8590y7kVtZAdIa3o4OX71hspS
P2Vlrw6GbqmXwYV7aHpletW1Q/oIouWbY3DKZI5W3li4tU6pVRDNgN4HNaUbj2XWeSGs9guvtMWA
/9aUDF/EMmJsVmUU3ftVbG80lPXr3HOzrcWKjqCNbmC5atPK2y9WXIjdovfjSZVRn+waUL18Mjt1
sP1eHk22GoFquuZ7BtTn3cxm5BWAreWbbAlIYYtS1peWP+XJtDP5xR5TNFOyyVvJNrk1UnnSskU7
N3KSV6oThEVNrbCv0Yzqc1bWGkzeepzvU0fvqp2/KhSBLTDzYjcD4WxWLIuRo/JdMcgU4aqOxHWT
FeRMlpEdZ+21oIIKCx5z2+eBOfHg2ID4tZ8MLeENGFW++cYNwrtXXdccMmSz7LBMifZVQUg68WSU
r1E/Aj5otBWSwycs2poC6pInS/6g3Gjt75qtdTgf0HAeuKDn+6JOkzwcZ885dkNuWYepI4G2uj9L
IAMyuUHqMo1txeESuv1Sa1tX015kzETYqeiYEfbeZU2c3bRLLN9FPSx7c5QARCWBc8DgPIGbtmgE
AaquuK5nvq1WoEduUpswRyllc7aJBLq7mIz1F9yxOvzvrH2MMSIg+TRIRGVp3iemKE49foIHFbcD
JqKi3TBDfKkHI+wMpd2beRQ/JLATTk0cJVdETtgNCqfCYC6yBsx0PXJJX9aQUxVfFHCZ0Bjzeb9U
mtnh3sVrjP/gcVawNG2PML7pYDeOXAPGti2jg7dI/R4sP2+iGKSxkw1yy6oMU2BqtFdRZCMAZLEA
1tpZ9gHIvDrWSKvv0qi4s/k+dBON9bhnpzPIIZKdWw785KZdlZhq1WT8pRDfuSvNB9ZDyweQ5Oqo
VhWHPCrsB3vCrbwxPoUemeqLszE5vUg0lkcM8KRHyQz7r2rViYZPyUgSuN+5q47EYiq/ylZtqcq1
iZUJ6sT6hzg4qwbVrWoUr577A7gNEpVb6OWN+BSuIhOSLBFj8SxXXSuyMZZF7qT2YlW91Kp/aVXW
7rpPUaxc9bF2xj2erJpZsapnzqqj6Z+SmkduLDRXnQ0wTBfKT/FtWHW41LLHo+ZN5aHvHfutXvW6
ujVR7ty4CtSq5g2O5RHzR+GLV62PZWmMz2UVAPNVCxxXVTBZ9cFmVQrZ7yMaNqt+SDRQv66XVVT0
zAyBMV21RmzQ89M0+MnZTXjozhjK9+mEOlktw7JjPeUeQJSbCKirjjl798TQnUCst68DT2mAJgDL
MVGvGmhCbejX2onbS2QtsueMXtVSd/aSIHHng8E10MFSjK7K1hmxo1/V1kiL7WuqKOr7kbeGtck/
hdlBS5N93sbeVQ39xN0WnyJug5zbrbpuqjfpHMh1rQ/WQPwoWO2djNSVl3Jd/yuJfJbjPj+Sd6ze
alwCmH3bS/7pHJiYX8sdci+GAmMaz1mHc1jgNijlOAdDzl3KYWRcSiVf6tWc0MgYwt2gqtBbrQvg
TZYQJtd0Lz+dDVq7uhyM1fCQ2B56mipVup5S7TcA0y3waWbFT7NEksQ0AkjPs6ywsxxxQxZPvEyf
Jot4kMZXe3VelG6dfMk+7Rj56sxoP00ahBqynaXJr/2nfSNdnRwGQbkLpqLoPA5ue+pWx4fH3MUg
8GkEoVNDAdFZ/SHTMOibxWm0+Qp2PAYSRgjIBEI9KKF2XO+6U7r6TNrVcVJ+mk+aTyOKRmPHlfdp
T+G3FzdmTUgC+62wQbx8mlmSvFnpVKvHhezc8KCvvpcubr6kquxvNEhXQHQSgb09xSqDXTXdNcJ5
1otB+5qurpr+02Bj2CPIsNV1k/X4b7rViaNVeHLchk/9blidOiystcdode9kpNueytXRI1dvz7S6
fEwV1SHmGTwltmbvMQXdtVwW4aavFqEC6xqigWYG+WohGioV8Waq8f7G2RnGOTNXrTn2Rk3WeSyN
p3ZJOr4AP5L3aU0ih7/aZj4tS/ytvZsV2n83coe9az7NTU5eVR/xp+VpWd1P/xPW/iqsWcBN8Vb+
38Lar3V3/6X283e57V/f6afc5vy2almmCxXR9QWFxv8xcPq/kaaFR8jWzcSvuQpdP+U2vgoMn0Vi
DmunwYKQf9tPuc37jR2d50NChbbp6Fzy/4neBqPzl+WfDaTDdQn6IbyZFo+AP+ttykui3reoHQEx
vXSBTzdHxjJkjR1w7BXmtiwKW2KGbMlzVpEzi0vTxm4TdmUJtKRvF9AcSAfQOOsIvA8zCE59jGQl
uVM/la3cuXbFqdZ3DSydtOS6O7Vdf6ePsuBm1hRauk8wws+HZYBDgvumIQ9j6477VZ9wzi+iwc5u
VrX3Ooy9nYUStFa5I8EfJwHPe5IktVbrNc/SdLpaDWDxRjW+S0AIJXHhGVjA5Bapkx7MJLZNwAOW
DqdAFsaOlbweHyBRDOA5Glg/OHL4QM4qT9M9kSsjmPy4gS4hcoQ9miRync1/6cbHeTD7ox3H+Znr
GmI8lrU7SoTE96QRatqMQhUfg2W1t6mDo4BHYCTyvez10gL1XWM68ltu8kTd7G7vLSv8a+4Fdztz
SRx5FdFg89EnEZEfHkPNS504OHk8z2P2b7qZX2L03IVBYjLdpyKZCMw7algDF1Hn4IQRpf5ma7DM
wrzSknzjDAt0ohrsQMWNfI3/qdlS3E010MFsQVlVcpvp8mdnSHnMpuQ43jLEx8fMi/m/oGutvsZM
aQ8D0SZeX+4F0TEaouYcMW0kazrRuF8MPORhuWjpXS7HqguAXebavmx1pz2kBnU6BKpHgY7WqPiq
J/HosKtC/QoFEHVySknk/DA1a36EVKpzkLeg6rj1z64T2ih58UYzalpkGG3QqAadcSt0EofbQDe2
w2vjiwarHDd7AunMsPYmGdqG46ed5ifA/pXF5FFgQp5tm2gLZH8nIyTO9hs8jdv/yCNb6STe0UfC
JQF12eWpZlxXes58N6mMeVgOLs6UKfJsns7aTEQu17DIxll+azet/gUSqtmx9BTTm17ODcicNIdX
hWGDEd7udBkAtkv4IeYEJKzIk/IVYieEgUa46VXiJ2kc6irJ9HOWowReM2/wiQAN08YhsJj0rUUc
melgSOB+GdZsfzFaHwEPTsKeg5X8dd1W07eSooOvHMILhmCVuNp20vDv9HbXvi75nAIFXJYmP1ij
Bmo/KaEVaGM/v4gq66uDTgLwB9gj84vRKMBPIGaMbxEpTGPbll39OBHlsUNu5Mml5+ixIJQluFNl
BNwsSA3ZvgwkwJaQiHtVBw15+3STRgMEDV8RCwxI3fEOmgc8BMAnaQbB7Prm2BnkzhQGDJtTu5ZY
rOofBPO5qi9RbZpbUzW1wiZndE9lO5lvhW+yy5L2pL1DlMRXjLDSJs390gpGG5cHGq4uZ7FhejUL
TTlaVGBsHYp59HaCcpJlGzda4xDVi0dtk2csUzdZM3X1DYUa/BViz2/b66Hr4m1k0SQDfYBE2kmg
HX4UBOHVPc/7jkKSJlMnfGIErCr4DueV/bilPkfzj7nkqswUMyN7gvwKadtYeDAOPGBvYux08el3
rAGlRck1YjDW4nZZwWqgDZzvidC7symVHX/XJrB3QReN2u8g6v/FMf6yOWOl9PcH/M+G4T+GMf71
RT/PchMSPokJ+kwgD3Mws7n6GcZwfrOJDQvOZQ/UNkfsz5Pc0AnNmwCYuf/DBiZa/5+T3BC/kZVf
Qxzmmshwoar/g80Z89YvJznkeYpvbMH3FDZU7l+yGBk5OGDB3bD1Eh4hm8qu5F0U9e2F0iOodJCF
8OTJZsbNAc/dIZVe9Uhpdju/RJ05XVrbe7Japg7s2L71Pgi9Obll31wqrfQfCY4xjkiHXh/SKny5
sswOlx1piyvW7eKVBpSE966T1PvCKYdXspW48LQGhlvCsuRBk6q/a1wNHitFef6mGuf8qWzG5UOP
SSrnyoeHNKn6Fk0QtKrKOJM7RQtd2wqRbKnXcCCNEveKXYnjfqRKg9xvWYc05Zhh3DX93awII+4t
K3LfLSOu3yZH818SOG/sxzoLnbrUSkfbxEaR3ZDt975MzKnhNNiriEWmEpNPqoKYfRUGgMY8Uxez
AKpghCE9hpcaV/e16UbFW9n68q51hja0GyN+alXh7tKSPilrGMS3Pgf7ISM33+O8Tk7NAKUEdrEW
MOmMbWilxRDoY5HhDdCyZxjtdmiKLr0BcEuhEBeIrWNFaVCMaf3OAMeLOOLLsk3PP7MYRQgcY/ED
A20VVAzE32AfpddtZPD7aaZP1w5yzonmMKJ9de7zxo/KA98gAifWFq+aZ07PjSmXcS2Iyh6gTI4w
Wfs8P06LyL+zJkKpWmLb2BerfAXxGCWLfCeqVrUKXHWRWyezUkxRn/oXWZnmMK2imL/KY7QnopTJ
VTSjVBD9jEExx2KNqBbHen/yYs9Mjj5a7s6OKvPa5l+fbPJVlEsaD33Ow6hQgLobdjb9axaasc1K
D+1zvs8/FT7ya83ZWmW/2u4Gm0QdYqDr1xolSwiEa+6kWyVDHxbjzlplRMdAj6Sgx/qiPlVGttLl
GwMi2mO+ypDTKkhaqzRJPlIeu2VRBy4N1f30qWFWtjGeeBVLsWPFQX9eZsn1IT+YVGGtMqgGk/qu
qNRFWzXS/lMuNSZnDo36rRXsniQA2Y0wlBfCU3WuMkOvAifGIGHVXnKKWzBLvl5fc1RgsZNFjncE
VGq+wVEir+LS49NIgPDHPA0qCYzeHO/6zrMelUz2rCcH4GFQIMOs1SYQMgNFm6GsnPjCElK+k5Vk
UM/N8UOjJOjKz5LxAV+A4E7TS6sJ9LbGRm3VLDKl4Ga659bU37flAsnHFbp2w/lp3NaUpj31+kJS
EYqft411r3oHIrIEeo5vIZgnz5rBcMNOO4+EXy5aK5t801ctlWW+VJTdtHhHUoi5aH2NW29KtYbp
NVzHoYfD3uK+zb6mLOEHtQL0m+XJ6YNoq99iUSLe6OtpBgOTLOTWFfQXoY5f14PktC8cS31fZq/6
Ng2T951JynqTg5CsQoBcIaHnsI3SOp02ZmPxZpsa0dkB3Eef9R1B+m+9pCSwnmDHTWXLs2Bp3DTE
lZbsk6atv5tVr3D2dnH6uuCMecNeY98WWJgakmDwK/Dnefip53qtkptmvwitLNYuo+lsFxQRoNj1
SjtABQwQ8sXZII/7BYAdHw5av7x+0zKEfV2yWjssvR1dF0vsQieQqr1CPsm3zAjGlW1j5w7lMkHY
t7LM27aZX716k0hBPbHUqkfp3UWp1zzS5vrdTwGPYUNK53KrMUq+DrxFL2nmq2+roHDU86g6TLlp
fIyEbK+r1HO++TZSU2QaZ40mQSMocWMFa6/A7SRq+9zrvNJ6O7kPST8MYd0utKdGCyBT4Fbc/zCa
648z8+oNVjIo0yRf8R2k0iQhnixewTZDLBC9yCjtbEjyh7JpNeC4IsI72ZSZ82AZsHix+xfTGeDc
9Ia5lLMob1UfqMwfQwWpfQI3kRYvcJtf0hbrh6a158rexwOYjj3yoHVd0tw3bxtrMe8wOuYpzx9j
nrbTkribWJrLGWereCjxuDxNea2sDVVaDLlw9q/0dnRvXSyuR5jc5bbHqbYtOngF0mX9yRngiEOq
S5DjuRVnEBz0kHYyaFOWuCGcz/Kcdfp3w4qiIkBsXbwtfKpin1WexbMxFUfD0xoP5Uhq06aqa/12
KNR0HU29ppDn8KtuPrMplEBN4QwyfUBQS9S1tIz2zou7U4bT62ufuMlt2o13dTHdVJPdbh2ZQxFw
l5Zo2nsWD5QbTrH2uljOk3Lzb8LrjRsP/sQWsgUFBdDQ8cs2L3NS/xCGv8tad+VakXeI3NOQqbuI
h9JjwX8kr3NlF4zZ8+hs2YrexNI51VgxtkvHfR4tcuJ8iIa9RKsK2wZc98DYc4krIAjTVAf5CvBO
zSsT+iGeN8z6BhhTuFvE/qtk28t5PEyCpSbYg3xjkjMJClcLE30yvrP7OBA8vRiNfjM4BcdDZh0X
VVxT6nomluLsjLbXAstC8h9TiqzA/WKywESHhXSNRFvvba6/kJ8I+tFwz/RCznvPZl2RpKw8BL9v
OlF/MKYXQzxbPJTobkAb50ZyAejcbGyLP7Vf9HtVpzNPwUwegVIeXTapre5HgWYOGS87NMLyzk7L
e30E2TrofEs/T9liAhoD8+dvJx9oLbLsl6Tpr6lnZBFVvwzEqs4WIalN7i4Vsm0png2aJc/M4vap
GP0XnCLHSc7ySs6KRQcioOynO36BmzEd8PhqaIiuMKYvsSM+XHoTOGrpJd2AvK1fzJzYozTSBnOH
LW/1WKmeu1qm4NA0fI4542+mIiq+GVJr16KbaW9SWjvgu2KO6jaJhXMQADApoyerixBX50sdE/Ms
PcGG3MlBvg4jKAA51Hfe8jRCA7xAujPBDOCgiYuXcsnJLxl9tImI329r9FHsqelFoDawN7Saw8wd
4shrDBC3Rlry++WjNM3mRp/aR2CPzcodQUCuvzjwBr5rYK4PC3hTDCqnPqEeTlczyYyMxxAImy9e
QhsQGXnBZS2y3UDhI7sik2aF8FLYXsb6U6uP1hGP0fzN6ksFnMxCiq9BuLh2TXXSPAbUaUgYCXqN
gdUVR05iL0gaYJVG3AZQs2JAxvMPJKyrZrRZrtjDQw2LMmC/tmkyPii1LY+INdxHS4L2Go/9LoHW
7dBWIbgYbSbH5JkyA/pmHf1lErA6jMZEWBgvrqmeFgGegw8FCGTRkbEa1SFdqis6FsExwdng+8cu
gKR8sTD7+Mu1iHM+c5gtTqrw8V0uER2uHe0FrtqnufGuyVcLU8DEBa67pUSCfYr+YhfzcaF9d1Ok
C7ddmFLjpD5m1yJy1CfHRRP3baJpBDr7r2VRvhOtPriGKnnou9Ad0ToJTK2HHJG11OvdbUdvKAI2
VddxdbaaHglNwDJ+AGA6EYWda/NstKM4/k+a/i/SNNosqvH/LU1fp+XXP9tEMXiuX/JzbrV/gy2y
tnYRUGNVSIPbv+dW9zePEjYHxycDo3DQkv84uQqXU4/R1ddN2yFk8m8N2mAUFtZn5l+QT2G3/Y8m
17/MrSal9BSZYdJ26d76pcsnjrRpWRKLD6T5ShYXHSaN3rUxvl3bx//wyvwXYMFfki6eCcjEtGiP
ErwazjpC/yHp0sAEIpnKj0JDRhRjy07ZaWvjyQR98/c/yl3/2X+ExzHb/+ln/ZKq6VJT1+eYn2Vu
3rgDbaYQPvw23Tw+apvL8ft+93g+7tzN+e75y+Xxcny52h/5r9fO5ub66vAc3B2CbXD39Ru4tHDc
kdrdXAUPH6c4/Pj4uPPDHw8ff//v5V3w6z+Xjabh2rqHN8T3f+m9cmqLnbgl1FYFFIUe0z1wg11y
5R7//scYvxIjeFn+9HN+8fdCX5YFa221FW8+CMyzuaOIZ5t+pzn4KE9EJK/Go3dR19n+73+wEL8W
NeF2FvxJ3FWqsV3d+eUnZ+ZIJsLxp62P0MnlxoZ3ykpwLkSADjAScBjLvl+fm0XKndzx3ediBoHG
6OfWdwgZXF3yGRNqONaVQY8v3fZawGTXvDbMCu9K5j73YAvzU9DMjspCRWsLfSNpm79UUy9eKDoA
jJs0g1Gd2GcYr0Lg12o4nFdN3GJtaExv9tzHDu2mYkm2uptFUGtw5ACnnuCVmzk3jM1iWNnbNHHv
KHW/1R8a09UEsvNIc30hqmHclq1mv5cNhgSzGnpzY7LT5+KVLLMLsq6fzq6QdCF2VQ+DN43ofm5s
N3uocZg+TyWLj720SUGHOJPbesMCeVKhYpyYgj5OzWhP/1EXh17UGe+RH3dfdN4+xh5/ZtRusiom
S66rlI+zzJAv5srvrgkqaFcU11uMJUaKCuPAjdjRo0JcV8xud6VKf4D1PCTtsUBOIy0GR4QlFCaR
r65KkrCaCYSQplXji5NHxRTYkw9eJ3NGvcT4RRNBCHyUW0xne5V78EaUhZDUHccmQA7B20uzcRHP
/NWACk1Vc+Vl5Zzc5IMtDVLsjBfoEHQ80g8wyBMGr+EyeFp76yYFxkXCKBCs61HpX7mHw1nt7bht
gywaGebB72rRpuwiU+3zyl+wplBw/k62ZD3c4dJnYdcmKwulq5k6B26m7H1mMflBMmRY+xK7XR6l
riwB9HiKbvpZ1/xwoAAAFawf7PmgY/yDV4Ht93bIIu9jzEDckW9V/kXOy4q1r5f2uVOyRefWnOQC
5zXKQooje77nQB9TWGNrw9NoDFUaRoVyt2D9Ez1Uw0xvvUhL1PnIacrTzLLcDQAjiW8zC7w5oJPc
RuCWXAO3uDTIUdNWVxSEezGjB3HZM5njYxsejZqFGshfk1Qv0S+/DQzCS81eg9v40E0TTvm5SlA5
EuSRxxygDMXT2Vwe6hlRDteG51o7Gcn5xTFizQ9Mqj9osM68JQ3iYiiQ4bHl8ZKwJnv/I5FXV51Z
vMInW8l7jWlPQW6Z9RDCVNdef+f0unYCazhNOAwDw6QmGMKA4Zx5HDaQFzqA6fPcYezHJJqyrcfg
ZLAaK1AIl06VsMHsxsITTi3ZjeaNGCj6TFFDnI50W0WZFPEudXuUv76JuvEK7ojQnoTohlsQY1m3
ByWJX3Eax4IMcjrT3lTJZqKybpqLK0nNt02LtDdfuk6PjUPRDP2ViB0qHfwRH2AYm9oC1MVy4pGX
qXfe8ly36VJ20XRonPGGNxFTxrIlPZ+z8fv7h6exboF/Ocz+9NT+5YwuiTqhWvDUJkTUXedncYyO
w2HcOZfiubmxj93O+P08+ke7if/fU8Ys+A0sAH/4W/wF2nubjt2v17vfv+bn9c7/DZmNy5vnuI5r
EzD+9/Xu70p/LfBRviN8Nhac+mt65z/XO+c3thIeuWMou4bhMND9k+sdWeJf3jyWZ2N9sBwWHXgd
MDzw///h1hUn8LgrULCwhYgTcxjp0qdZy2sxZ++rfuwojoy8qtsxjwM5V3Hq0iEH3PuBmhBmF6Wi
CPJ/RRa+aWxz3JF0re7iyYSKSfcsw3Xp87CsS2vJtxXoomj1hEGxXxxjBHwbzS3A1859zi3lPsCZ
7c3tPKSQiTwxzHvHRvoL8lJkbBmgIUA+tFhamBPe5YPRdR3Eo1rq3rHycjbWnqa8icprHmBB7drq
1NMX4AeN2UT5jpRrjeW0wN5/mVQhkbM7Uogb5vH8Btqezh43rTFXCsqdttEgVg8Rt196EnX1moN2
/THZHIqryGqP+0ZbqEMDsw33VRAfScNpjKqC+0oGVqBw8ukFLTH1N5qQ5T0vgv+DBzoDPpAh673w
G/M2skAa0R0/sYxBYUTlEK0dY6GPrBpI0sTtf9NzTkUbvHSdGQwceWVQAv4jAtVJHJNRlKCyL15W
nTnIsHzb5TT+cMy5+ehQ24aAjauLSBlzXfdUbED57GbD2Pb+tEQIy/RCasDr221RaGoGvLPwXE4L
c21BF1xRNnYrAERVeabrLKUs2Hs6qQUcrEgaxsBYatORTkWglSc36Lrq5C4T3UEjVWewS13ilGhU
XKwqGU1W+Dt4PysLgTM+8hN9q2kwxd6F8sW+jkuEEcqBUH4nby+myv36FyL/kpaxs51Y7VxwhmjI
PTMl9MAl5ATER5vV3qZlQWwFHooLxP7y2s4X7brnf9LGCczqDPEVK4KD07Q88YaQHKamSRUqVw/2
/o6YgTnbhVO9mOMy3BNc0uJQTIs10UlilPQ2mqV+FqM2N9uhK7ioYZUhUyx88FubxMd/EMaGNV23
fiOfez818oOpKhznydQXB9eS6YfD0ZXleOZ7RnWMopQaTL4+9MGgd44VeAMcX1QRgrqc5VX/ZarT
4mKQbGP34MTVhSSU9zxGamW7FYWX7eM8LeJtKaBsVWOU1oFs2AQ9JdzbbFQzO3Zu28YcdjJt7WlX
4l8mlAxpX9skM58hnLJFYgUUIi7Ltp66bo+vp19V3UIdrZHwdjjU9pyg6hmJdsmXlsjcJlb+5G75
9GjJVccegsDu59P0f8fMv+rmPzvidYOH/bov/r9VhMP4tfr2VX4v0m9/Om5+B2GsX/vzvLF+E3Qv
c29ejWm/G8Z+rsFtcIVQLNgKsSU3/tgxbxiESy2+AjnWsoAP8g1/OtrgFdKXzvZc123XJ2b6T04b
rFq/nDa46nzW9Ji4UDbYkq2D7h9OG5cOqmLMuKrYXmEivrfui0HXyLPU5tnbVGXtLpTPjUydxAx2
BR+KU5F38oSfEywYean4UkXdyr1yl7XLdfnBJAP/giNFXWueak/Yb9TB6opXUUXRV9a5ybFiJhqd
pNwSz56vlsGUIzBht3mzu540G0jvLWK6dlmE4XIutQ6puULIdyIG/c6pB3fHOIhjmgGWajn8dW+Y
UWzaGdD2e5aMwgkQ0wAqFKuBDjJfOxyyphrOE+RceHmGP3wtbVTzeNamG4eGusMwm0wXNiFI7PjO
FVxqD8jvQicM2Z4iBV9u6S/O2MUv4HQbUkNomPjPif/os3trG1P7EXvY22F/C4N1nKnk2UmN+Naf
xoF5rpnZp0X5eCt5JtyNwt9zHf6RVIw3VV0iLCrJGQB86kkfuvqDnNNEQHJU/XNXyOa6aSychDhW
r7HUS7IR0Ny7LYON+yWeEp08p+RqC/Wa5uoBiw8qreU9x5FLzVM/WvO1743LjzH2unrTjnTRbBx/
SUhjSPFAPp8YbjtqD6kWsXWPqfeTYd4ur7Mx76VVh5Y/0WbHtGAznpmZfxAYGRVVZFP+RteLBo1e
DncCBFG6WdxevxODy8k5JrTOuuObBb3qyJ5dP9R1LJ+WUlqnpe0lqNk6Pvn6nNzqVcUyPPL41fQU
eHBIt9RT1qfBkFmPNKaydcCRfcFBbwR1EbdUN/fyJZ9t/d7grn3CiM96OnITbE8aLURPJXV7cKbk
d7P7MkNq+lbnevPUa0J/VXjPYD/1bdTSIBL3d/OQWN/ywTfftYqKNhEZ5nZRNj041gLVt4URFjh6
Pb+gMGe3tYiHgKwl3oSYdU7QroaFiHqnk1pNDPoIAABPgfgGRlGG3Wp2cD5tD0bdhqzP5B0NssWb
Wu0ReBMjAkH2pS3Hh9Ts9GMPqZNFmCbOWoWxojN8GZSr2cKvGoZbzhngzjE8Qav8f+ydV3br2Lmt
u3I7AI+FsBBeCYJBJJW30guGtANyxkLq02nF7dj9oAretc+x76hnnxcPl8sSRRJY+MOc33RfRtI6
r1EUSoRTn4qNvKbW8+dVyBENc/kmV3EHHGd0Hlg7u7slBoNZ510etAAhNxP5teNmHAoydVeZyJgs
9tYLWd+v8pE55UoOmlVUgnQafYm+pO1NsopORC3mE6EuYAY/JSkkHZ8jvSt2BWMxj0wVOQZLnHcr
v7F+CFdVS7oYPcAWx+peO8vmwvgUwCiGOK88yMar6VMgY2hubPsVy9wtzcCTQqlOqhDyl9CJXtCj
eI/mGNc3alXbGKOyPiIYDzS4iHEMINZw39DnaC6pX9uGfB1I1+S9+XGig5+vJwC+bjHsvU+Fj6qS
5qZYZT9Zo7GgNNaZ+7JO35vPQbyy3fBBjzIAVU7jxPvOBgeiuIC2XcfcgYXdaybHmkeycZVY40nD
J7LR84Uk1Wg8tJM9HFNrUj6kOOj+mV5cMn5L1kC/7kLLarcjQdpgM9kONvO2x8uLAUvfU0x/t7CA
nYtijY0uN7FggezqEZpTb3mHbVL4thbfuIv7ppOxsyWGSB0GriFCKfqv6BevwczZ/rQwwnLdrnlY
eMIErgufD9b/bckej+UfOVDobw9lT51lhfUxk26y9QzzsHj6j0LFlJ/L2bXgKkOqe19Y/Y0oF6/r
ggUgvDHnQcaVc4P3ynuLACW9t/BA0VM6lsbl19hXcyrxCBEpuIOpj/iIfSK4y7wlf9ZcQlewyOuL
gzTy+hKlFYijZtKp53Qc3ptU2aR9FeWACjT2UisQqdUU28jr5bZpcYZwePU1Azq8PRDuumx4cysS
6xfMvBf45aiLTK8/GqgriZ3sgDMjRol2MvIY3HUWuGuCquvdqnR9A39W7Ont3b0Veda+Kgr1LW0r
QqDMVlrKV63y9rOwbfiNGRO3AdjQd1OaWVBrlJY+Qdjl7WKmMTTrWBBPMKNxZQKEE41FQfQAqNy7
JwEFbxOmgyNCnOQZuNtwXfd1ttMXi9aOiZd2MxqE2/m5bismaCsxAUbhijvT0VFI1bsMLIr2e5yF
FWntVRyfUpRMAGAH7wDLrSUzIcmLObDpffdeEoUHolTsO6ZJie7bmeN9Z19t3SpzTo8TgRZ0RQiV
/rc6/HXF9DvqjDLqX1eHhFBVP++Y/vkzv1eFtvsPAPFsVCwpMDFS/P05hXBgh+iOi++NJZT4LVLo
T3mk+Q+MDNRopOw4eBpMirU/y0JQ1RRyrCIQtv1WaP4NeSQOiV/qwnX4b4AxhaHCYhcx5l/rwh4X
RuL0pPe0ZbQg6a/IiFg6F9eSHBZxV6UFJKNR00DqLOM5DFMXdRiEMhIcaVYT32htppdFZS0tz+qx
vq1KN3ojSktLmepm86kxySxFYjwyq4zHMrylbkwYMlIRbrXS1exNU2qRQbBiaaiAHg5UEyUz7j2h
Q7TFpQ5jeiAzfQOMqAsAtNrxgYB0j9xMLOXfMinjS23GxrVlyFOXlu2PSLlAHzNjqEHYm7O762bT
etJN5BJsYE3nXo85IWBWOi9sdq19RAz4a6zIGdpkZESQosDg+N0uLYwCGfnaqgACT35DvsXUp4Jh
GUk/UV1vBxF2yCtPFdmHwb9Cm58S2OINnrw4mU2eG13bj3Y1RVr0sT7AgflQ5FoWwDkt966HxHA2
NPvcElJ7a7QeWQ3NqO0hnsm7gT6eLIil3mERmHZaOaJ2zogy3qM9gSFEAlkwlsUPjYDcneywp7SQ
41aQFPitZJEIihzMofs4HhRbEj2+Miaz85l9SVYnrvUeZm52rplU0LGn6AUN+Y5anczTfmZ3sJva
Zrw2+6TbOVNenGeecY+G5tRIsFzCdPIIXq05Wu0F86A86Dm8ArR8GR8eJd5VUUUhdulI3ZKIF93F
xppnp8Lw0nUIQJi0NOifNJzRRmEAKy2ca4W79WylmnleXe138AKcGz5DJOZjoUOBEE75yMaH6yUp
yezh6dO3B7M02lvGL0t0XGo7HQ6IZA0mLVHT7SdNxUdDudG61NJJCcgZ56d9TsfPvOykxfOMppe5
9dEVWf+GbdUhTCTsXFAsWnqnUdzM6wfXnnIIWjeR6Q77ySUsx5+0Yromrsr0uSZyPzGtggJuAsqH
OjhoqZnvlJ2N7Rb1hU1bhdZgi+vFPrhpou5jIwORZ88Fo6esVoi7Cghbu5S4muOYNDPg8p6iTMPT
wZeC8lZLZrNDMY/925prFg7Ekz4wtqkSFBZheLa8crhfvNp+rTsChSzKwI2LNu/KnJH4LwP02FKz
Ml+CgrhCrtfchqI30CO6iGbztjvNBh4fEhVKUGeivHbBTmxhm2LxTTsgVzUYFEswa3ML9EyYdYad
mWKExze6nJHgXLyEEVwRR0nQpy2mwsZGhrUsaidXX0ioF+IAYL6/jbksQxwqlly2RdNyo2veoMS+
IYqJdqUPncCuiak65LHO2yZXeM0bmYIO6US3iWsiFRtLaEEfT3glCHYJ94QlDbsEuo8fOaCLhjhM
o21n0iNAbO2OKdGP3rZOdW/fuQ4PzM72vpcw0C8Uw/IgdYHuCKxAvYN47ECgaeazbrenanLSbVzP
gNJ4LQ4aYsgy9qPnMO8QY6VYaXtGWlsvr9qn1or0PWrR6assvWe9IeV2M2VZGbimmwSQhCmItLR4
nAyRXBaNHXufLeNulVRthFtZAZAMAL9Zo75rFoRSrazQ3Cg5buKOgSfTyDSFcLAgGoMecy9oGQNN
ss0Yu9q+tanEbwUf901VkTzkttI+xrieSE1xKz+NNX6NEOEuBRqwtQStlqhyQm4zKgxSZWfrR0Kc
0g5PWxGk/Ncn1ibyGWIkzDkJGycu4okJJ2Ndy4vKK9B91fdMrFKrzO2uCXyYMOh33M6GLO7Z49BJ
GrjMeqKGD7PJlWynXruPvWX27V5BZuknIqiZze06vcj2Jp3OcQQgxZtlx8hBIbZQlKIro6ry5yUL
651W5NMxlzUTijW/bEcRFF6oDPugyZsxqEmjvdHQAL/mfNGVr8sOg5rmJIcuhuWkClT5Lni/LZY8
hreZbQL5ADL/YGI0CYjdVD8ivdQOYaqHNyG+PkKjiX9CUTudW6QRp4XQsq3gkvOjOUk+erFm4EoM
ph/t0ix40l0y24id21UaPCCZxcZzncWEN2u6Y93YcWvecIHHaKwKVF3ML4MGPugubyzyV8qi8fkz
q7PQp5SJpOMcc0ArG1EQvuMQMwo8yDSPfQtwGGlh3O6AMauDaqruBllxIjYhs33Lj6v7THvuTfTT
mw6v8BfIpiTiJQIAB3GcoQrsBWEYLr/uiFjfPOpJpD84Y1Qd2L9nj4YTZfeaF2r8o5LU6p5z5zlm
drSdOdl16MpZ9ttwwyLusc0caxVmcHd9vhoE9IhR29oFbyVqiToQiVvtUyP5Nsw1LatL1hTrvyLH
b85egpmuLvNnJ6+I31rww8k8hiFT5Yj9UJR14czJUi8vDra5aGOrOnm1ZB8Pge12dMZY28ZAF15B
7q4RLtdMiappM+HcKgh9pjanZbannUpyiYp1qMQZoJqzpfLHYkxYsXOzlMa0T+G13Lm6LvbjaHG6
A72maw2JCg2KQfeeZNFOxoZBl3Nf4jGANWRrR4Fxm7NwSjt9qzFYeph0J0KQxyh4w/SvvpdrtmoJ
u/sULSpCChdyh7omTKU2aaozOaP5Oc6y9BRWg3MCMiG2UHPVWbZzx9Gcw5n3hgnGSbyQsJ0oz/ig
iapesY4UV2UhzXPuQUEkusEaTlPUVHu2KTqu6VBou6SB2klm7fhYgsXwe0W6IPiy6raxzJ5AeexZ
+8YO1Rs+bvUAGg0NdraELHDk8sw5uqqxB9FfIaxA19sbqbGNLcLQ3CQJz0gI6diGyMKcmMrh4oZ5
sfMq2T31yTAfKuqbR57WIcGCZKNhToih1MU4+4YlP2QN45UQtdW16VA/CkdGvsJ/wxCp6K9iXniI
AMYqmvfFvgGlE+54nkVBgv+RIDTftefIb8TQ7YRaJ/kkpSHyHLoHC33iFXSGyc8FOAN48TCwoeVg
pOMlDDESI1QDvXd1CAd5PsCOVpnhN9aAa64D4D+Lxrwy+rbeemMYfZ1Qe5+I5xr59XZ1hwhh3koH
tZ5qU8ZAJrQt4cXVxcEdgOLWSHaL5uq+bjW0mSUOj9YL42CyiQgqFX5AAx/czu6IOOyipkbJYiP3
7IxhJ8yRyUUc2Q+5Bo9EtK6xJ/qI77yx06smnLszMknxQhQymBprkEGs4PXBO2+3yQo8791mvuRw
tU/lGq7E6UvEFbZK/gOFxqY0Urfp9xq68pDRhdkYIUiKmM0rdRGSGEqPwcrzY76OtyyOXpYSLi4L
1TR3ER78JzQby4V0PO8OjbY/CzDb7N5uakLk3kMGc18qHZyJVoFiS5G6gy3t77wV04b2dmXprPC2
fMW4lYZcHgZAfcdihbwx9wH3FicmpX2ZXXew4Azs0Rpeh42HO/qJcDLv3dNjvr4WYFsoVgvGpIOV
g9UWp7toYSu35UbF/tyaJRQ6Il3QVaP237qJR1JENZZO4LhyuipXmJ1Ucn4diQEk1bBNp5tlxd7N
9UrAq0sIVn0PFs9bAXmSMwSiyW/cvDI17O2YaM9e9n1Q1aHtqvzYrJw9HeBebpCfwoUVevbOC5dL
GlYJoqLWDLQeUp9VU6fOkpMy/+T4rUS/Bk3SVbVS/lIEQtvIDuePSkIfDFJwgPnKBQy7SPserqxA
bLnzdbTyA6sicw/0Y+O3VLfjtyjKM/Ja1PiAKCt68MDq5xs6T50nP6thhxSEY8p5eqdWcmG0MgwJ
tu0CrcSq7RZKfrVX1qED6/XYrPxDFNc9+iFywi7kpqx8REiJegt9KSQIzlArRpGULP11+oQrZp5e
88euyEUmx+hjVg4jVovmPCLaosYoEPJCa4zUoD8aK8HRgUNxwQuy8tiBDzPVTPqvpBW2R4r96Sr5
REIS3AN+GaW0sW0BUxz0lR5pM+MqvOeqHtSLxw5O+aLIijvsXdW+XuGTfQLMjMuVziz6pFO6Tq4O
DA7R1Xuf/Mo4M+jI0hVrmTMdhPdar7RLjcpVrABMvXUx5GcJWEz22OVHH4HKJF2jOPVcjDeGW2On
WLquek+XRn+BN5Gz6mYCb3+m7WBit177NYJHrGE8Ex6RA0GrzluXSlRIjs0jWE0MSP2WBWhLMl/b
c9hh1sg2c2OquyVHdaaHCH429VyaJBNGaUtY0ODNX5lvaySVTfnZ+MwSWlEhj6zBkwetG7Oj6BbG
46YJo2Yoh62jz5cQu+e7wPh+6XEG3+odtLXFiguQtqmId7Zpyt0wSDwKVRqeZJjglYPs4Zsswys6
AP7CNiFeKObBf0VY/DpB49Gy0bO83Mq2rBxSGFv9KUYz9ANSISwVpenpDnzhCxPh/OKKxn4eUisF
XWRQMLGM2M7wofeswKrneSm7U1WPrQYBbbR3Sz4n34gwgGE+aeboOwlAvnrQmRFgKT8mczrthzKp
A21q+jtKpfhjCMsQRWzt4wpgB9E77LKYsm+swr7KQ2npR2K55srn4W9z1hfxEzD19Gkw7M6fiIvD
Q+QFg+OCDBOlR6zqrPdbrCbe61INER+EZx4raOW39SiGb+mgtfc0XvoZjRyP/DblNhONfub5295S
oYmzZ4UdarKELVLl1RZRwLj5yJh5ZKBzZdQeMcND6cxo6E11kHPjBqDay1fF38diKRv7DlgE3xCq
/4yccK9L0HWZ0yad46E6DGlFPyMROR14cMVfXOqCZwYzOvmdbudbSAR3ItM7CqAiIxcpK5Py2oC1
hcJ+DRL3NRRpzUZQqj8nywAY/qd51+1vUqefo85+VQ5/Skcl6A3HdEixXnH8P28VEe0xRIj1LPBi
r78vZs0JerT3b/bYRbfT3CRf/v7ruaTIGQbSa8J1f5lWsQFhn8rOjLrGDll9xYgvqmm507Vl3k6J
qnL/37/grwov3qCFFEgyIXMNlNErJ+SntSlflZbXICOCPtSdaWMvxbwv7Fq4f/t1rHXcx3vCvMn0
5RdZdNwnRdXXURZ0aWMGNQF314pe7e7fv5tfVcZwkhkesmum8WClvHq1f3430KmAKpnYaZ3EqHej
x3rgOraL5IQz39CeK0nLYzajG/1/Xve/f4rr6yLEcvg8bdj+f33dvldj3I9aGqgBg5SepWCP5Pnz
vf0tycJ/Qoji70NmbOz/ejD9+P61fP8fJtP80B+Tae8f62Vmg2BDcI887q+TaY5jrnsd7PUvggX7
H44j+DJtXTeELVZuzp+TaRcSgNB1fA+geMD0/C19nGX9t8k0NwIMAIjcpDw6xqd+7qdbrxqo3vSh
GAIkwg2pwNkgr91xdl5LdNcfYn0HwTjTpZPBwVLl0BLa/JzaM/HHwA2da6EEjBEPA9IBzRLeSytB
wbbDsVPKy0Ak9kdRAY2CxjOmaFzj4QtydQ8PHkw+jXE0+x5EONF3OQLjZVLFHCEwSKXqLuzn3Xxv
5UT+Igeu0i8qMj0TZi3DYoQ+c3VLEL1anhZ6gBdDEyywYQo2gqFnXjs8gbVvQDWP8VL8aMPsgr15
3oSEdNGXNfsoF7cS2Mu8TuLHhqdz7cz3EYmGTPHmS2yStKxbZnFoCuvWyLU7IE6o6S17YV2UPzYm
eDjejUfOAEl9yGpR8/fuMayAxno13VfaFMXGsA3Wlox6NlHePDBh8Xa21TebTpGWnOSoIdjyjj6c
SsoGBT1Bau4T84vrKLMj5CLKoTdeaYRVsuAtL75maT769JDVYSaZ0NPLILEWkgid7luDepqvhEeV
EVud73WT2tURbnaVT7pP29lf1akRXmWRd+Na0XWoNztgf6cyJkWsz/LHWa/co4NSZd/yY8d8JmF+
qDsitPrpOQUYJrTQDFJA7McK/fxzKdCsQ+5s/UmSwZaootiKvDRO8MEv/fq0peQnzEV1P9aI3j15
Kl/ZYOI7nuPad+mWEBGGd+Gk1dfMoRnrm+yNLUDaiO+ak5sZHyoR1mWCSB3gARgCYyp6oAfGl6Vf
p8KmkL4is+QAhnPagFoadnlVG/s6HJ5STdQP3hBaBzeXIxjBdtqSXXuvN0njd+itN0VBm5PAPvbz
vtUOI9/QQYXqsnSo59i6LPu8R/+Ygeq+d2v85fXUkVCfNBNkCKxumQY1yDSyD22R+nMNEOpcD8ND
VvftpjfdfZOwHVGtV287+u+dl5LIyU79exd1Z8jEhFJW4Q2O8O9oBWFCyjDfpk4SH6U5ZRDcTcYL
WRMQE0UalevQSRaz3BFvIbZ0h/3OSdYcQZvLMJHhHZL0eN+E5HOIVs6ArbwTijkQmK7zzZrz10Gr
2kDrpPauiggIddNiJJ615xxQ/EW3H9oS/4UNatB0KnOrucVLQR0ULk16mdFCbIgFLg+wLb9Eo/08
1/W8GdzlvcTY7He0yH7MnR6oUq7eBswFBsZqLl+HEdL6jwll+TGM2vbQVCFBdXUVfS9HR+3SrOuP
SyUm35uLmxBv6TWila9GXc2bmXg9nw1DtHd07b1TYXTo5JTs8QFuc7ytfktfsouyeEf6GMCsqn8Z
4wo9uOtwD4N73OoivpcWd6ZbRwxBKs04mbF1XdSx+oL+Kr4tNMV0VuBCZJw/sGJgiYzHQ77NTXrK
ZuspqWd0upNhEcniij04KnBNJcyo1SHDFK2IaG28myjSXtMeiEWnOfy/EGlwGHT6UymbNWwl3fHx
xociF7tkzS7rh6Hwc1cQPZ6wzmllRus9EXEu++7Yh0TkYe8nykWbH72RrUDitgmCU/LcrcEat8w7
631Gu7OZyZ3c8BE5J1dV+p7zXXsC/YEVNS6ET+T6FAgDmmBToBDRJiP3AVEpitrsVI0uaGGdyXkX
ueF2YRbFRJnJtjUqlglZKxDPMiTuLcRq4B7cwAEcfxN64YO0zWafd0gu0McEq5ZzB4syuWowSjgs
haYYoyonFzyjLwOocuXiMGJ6cjayEtBnFJ6ZTn7Xs3W8ANYqbFCnJPRDG702HnS+OUZh7b6fotse
DlRjaNcsVDmks+q16IFzbohdVXd6mDxqwrV3iSTYEdPGg2s138mUDRyreCpj+2nAvW7bkkI9Txmc
YHsl5T7cIHqaN1KPrnrYVEnTbqsZQZJekpoY1VDHJxNZuHt29ewrKsO9Z3f5LkUhDQuKgTQXC8ND
jvzMdr+ndveV1J1buyu9QNOzc5dbAOc0X8juLZf5R9wLuSN7/WXMe92PmTJt4GIdDSePIbGtDNlM
e3TH8j3qLKINxVOKkPnHwJh7U81hfnK85bBQPY6ywylTj/eVqV03GT+8RNtQqdqvQ6zVTSivWNLe
YbTZWPyrzdiGe7YaMB3H8lyQPQB2Pj6ugHPa7xcMSu6uaPInxOf5MVZdeVVF5FWl3bTD10y+Ym0X
WXeKaQ+WQM515u0aR0ff9fdryf8Al4Whm9Rv/7qMvH3vvv5F4IDg4Lef+afqVTcNYdj2Wtf/Rmv8
Q/VKpbjKVx30pp5L74SS4g99A7Untgcd1SsWDXOtMn+qItFFSFoF7Ki/159/R/dqrr/qLxYd7nkU
FPwpq2LCEL82cDnGRGiybhP0gIz33id/QvaGlvuRBZZiNsDijS7icmIF1M7qKpp3eTNhQ8vre6R7
NkosuIhygnIxfgIvMPk3W6GpkUe/lgf2SsbIFunc5istA2y2GXAigNBQc2x9GVRhPmiKYapOybzR
ZnOBVJJ0ORUtQYl3BbMHVg64Ns5at+I6vNQ8O2lzD/X2LQPoAfIuf7Zcha50WHkfmSE6wmpXCEjt
lPPbPA7TJVIGe+Rq5YWY0QzEKP/EiFgrUSRb2SIGzzI8JCrzGLMWkbUyaMbGIjUbNAmoO/HYfvJK
iEqGXUIlhZR+BZqIOHceFm9CzJElEVs3U78taM39cFlpKLqbk9Jdtc7XfgWm6FNhfOusvDq4K05l
LtiJditixTELmzOSgLcgRgXMztWO7K86H0a6aWmwr5O4rV5JjXUD9clyYWAHVDKEnHKlVtiLkcrm
KvskwJh5qiFHAAtTr4AYdq6wYpDtwo0R2D5e4NAYF57YsU/1BFKEdU72gJ0MAA2Ne75FEACWZqjl
bOwmaFI2uqyp/mauIBvjk2kTrXgbEL/x3qyilITl9dgrVxBOuyJxyhWOE3UrJwdwZ86h6uIfcWod
6LbmGDFjaPghoi+Kwuc5rZOA1rEfmBLe99SH3Y9F1POtbvF4kk5Fve3CyXTwOs7dvZwideH5unyZ
Ik/tkUzXIMfT8AoFOSV5+maMM9cITwab71F4+4Ip3FeL9cR9XnWEcJJ2Aek8U3q21bVSfLToEFmH
NkL7wsJKkJeBTPDZrZvM5C31erRdWqWdqPu/2W2D0WUhC4KRtlc8zTKZSDLAd/ucoxCpdnorCQEj
sXO4xQ0MHrhGMQAMqthgTmgex9oojmRdEAoyTuQcs5nqofBYxhdhoXycHOAXfgVy9jnUoCntCCDQ
oean/VWkWkaNsYlpyUUN/z7mM3nyMb//ZMBPZEqJWzjZlKXRTCfVDsivXZsM9B3TEtnhzpymRwr8
LhhYMRNx6phXmYiTE3z3nuLFE+G91Ig5K7ne9tCY3AtIOwieFfzUlLCyJDt4PEXOwszW0GHPOHWI
lXdWUiOLtBotUAJ6zlyL6TLX8wP37HjrGhM+XNg4JBGGNvXXho9IfBhhGF5nuLC8oJepFuGpnKcz
uqxmQTVZKxVkWrR8YXodPdemBQrRsS1waommdmOskVsxjpPcap6abyDgshKrld2+1iDmd6Iuxj25
TcOdqnrvYWmN6BrVvfdQepq9w1Vts18Q46MFAv1Qx0JGmyKjw9ygVWyJT2hsbgciX9OXPs6riAao
ZqalWWHvQGtJEN/rnR5X5L+Ey+hTLOr36/n9A0C5+yIIeuHIwXWZ+mrpyMtx+mmodwV/wFORlcVr
PDiN2oUAwF4WI8fR7HVmfGObVRZwHXc7omYSfyjr4nvbiGTvtrSgzRLqwaJ6eZpJDVhtPcVz46XG
TWFk2gMn2fxWFw3P+tY2nueZ6GtlFwgvaPCrj1KN7fUkVPicZELLfObj5mXw+ubDxN0WYCqo7yJi
62P0UIv4Qn1cfVnwvrGmC9uc1mbS8BUQ4gekpR3dezKWoxfa5v6A3FUdhyxCb1Zq7VcCEbrLVEGz
F8WK9wjNnOumrVvnKFCyfmuY7l4NQAGDMWT27QtnKK5nAwnBFvlb9CzcKDsPOlv4jbCwWVFr6eUV
mcWLc8gsNzyAwGyvqiK272x9jYXOrfBL3c5tctMR8fcipnreRVDU9qU5ExmO5RmtRhglm5hkD9Cq
SN2fk8IFjVTLbJ2EkuXNSgcYi/eJUYqlnGBAwVZS0cBFAGwe5BLjaANVAhymv18+/SeM4lb9JX6f
f1dCnd+Lj/f5O9Kdn8dxf/7gH3WUh9fnc2aGUein8DkXTiYWVpPBsyVc4Fs/FVHyH3BLdIZ3krn7
GlvHUPWPUZxDSi6Fl2eTVyeQO+Ar+hsiUVLmfimiLHSqHiQSXsYSJo/3v85v67JryHit6kAQMAVU
tjEHduWLXqktOAHzzUiS7suwpNtwURbDhE82rQcjHsnnMGHCh+PPwtSEj/O1GYwOpX1OVg2LT7N5
mXKynDYydOMVdTvbsKRDC5P5ME9rpr0cU545uRpxDrqFGSgvxfViOHb6OI4sbZCLg61HkSLrxA/1
SnM38TJyjudO4jwKBOSc0k5f/4iNYYLjZH7pHWnfca9EIC8iQ+LkbLwbNI8uKaCUID/sgoyjbYq6
hWYqbawf7DhwDEi5AP/hRjqYKTrYbWZJ7mRm5vKBMWv9Zqd5f5uUOPOpsxr3I7NJ1aKHjsMrxq3G
NV7ZEIxRbmQPdRIDfbMhqYHKZa31wPBhYgMoPD4aJG7zfemtKZapxxPRnjIRIGIAqPvprhWRx6m9
lHywG2QIOHClyDvDT7VCJId1xtnhmMKwKxqDhgyKEz5ez1gtvbWJu5fABUtHUrtGuzkP3uoAjlcv
MGgQbMG9IE8LbN5qF46EOWfBBAsPJkaH9oeJHuZit1vKO89dDAAsq/sYCSnPmBFQ9vowkYP7YA2m
fc03h6thCM2i3TkeR36QKdLnsKEQWsEgysFhutHLMl++EsC6hgrmXPEPJHHMft8hPGErHRMFTluf
Oi8VmIX0DH2QkqEjKfja8lQWHpJE51HVDB5aDqFJI91kE7cs3jCLJ1RejFjEjLp15aZUVaMf6woL
5v92i/3/LIe3/u1Z9/Be/p/Le9v/3/8qfz7sfvdK8qN/nHbr0eWQ4GYwHfn9VPuja3TYL8jPE8v6
PAj/aBn5EYJ+cVgCaqKtBI30z9NuFdnTZPK/YnBZXZZ/57CjM/zlsJO8vuDAZYjOfQm/+K+H3aCn
bQ/UPQ0EN86ZkT6Y9SR2fHgYy77t9PolIRfjtszxp6zGuy8DpI6NWJKy2RKX2VMSf1iyao94+LNt
CauQ+qPwnB2z1exhLqLwBbqnIjdGF+J+XjC+r5m95lFKkNZbG6BJkDL2uGtl2F4vqNb9yjIReQ0T
yPzR8/RTr2r0PM62gi5jeG2tNrFuNKcod4jrtsEE+oWmUQukNmQ5gjf3S5LIFxsv33OthdnJmj4S
FgI/6pEWymeS1gLd0+RNKDP93aXMfCMlh2y9CSvgFPSDYWwzvT0A4i0PbuKscPxFU4+LrSGfZWge
73unmx61tDEQ2g3wfuKyh/anzBofJ2FJL3Nh5ifpNMVFFumERMCRxwpe/RAoYoWOTSyxmNFyHbFi
6jsoqoSKJW7xOpKXdM2YE9mFiJaCGWPcztZZufjngmjMyx+g6hM2pkS8IXvv7fWAgS2QwhYoli3R
fTqpaWTerSfmLO5JRaJbpPKUyWYgOdRnyOS9ZCwXDknrLXuZGsTOLCxtTq7XL9SwfHVXkYGedAMh
xcOVCCqPyBWxOnNaj6oqA1Y5x33/aKoaS1BuP+Oqw3Cm7SuNglfxPKjC9q0ZoDCIot3WcfJQF6CW
9QX7rKWV3+zYnE4e2UyvCVThH57yAmZr+W1Bhf/V6qJjq431U2pGIihKT/K6i/ui5EKsFoWjsR3Q
nj8DUl229LC+7Q2QGEILlCPG8KRD92oxwjVaFwqRO5XI9LsQVk2O9kX4E6iAx6Hht/T4D0gbCEV+
oTh+J1603WqddgAOQF4apv5xDkiYGyy/KKuRV5i6W8D2Lg/jVHUjWkEFHwiIEaK7ErxlBeJpaN/d
thkuRS8ZPOTE1fAlWYnd+1xA4kSUgTxYSQE1iP372Xba6k7NBD6wpKJhC+zEkg8LoD5K3KEhlZso
o+lWc3GJHFqSBnLWIYxg9zDok+5AWlz30s0L1Xzh1C/puJBIptYmFVera0Ciz+GnCjyDvc8Tb0L6
5cjC24a8hwb5cSR37dRl7WbJzOrKxDba+AyuDTrZEjE5VX+MppjMAPy3zHFOoCKMC7aEGAqp43xL
EjRw2yI1yO9MET5h+ssjiL2Vhyp6i/KfrEYYwQXjAMXBgIBoXkfc+aazXACVxoAoDxE7Vgc9+hDG
RNyRY1wTQnI1eMulH8psX1c6GAidJncLCGkUG0ag9Y/e1Ye9S47nvZMLY0sFckyKyaFAsyBMZpF1
zpS5jkxadTumWfG1RWbVBVXXpW0waFEHyVRDVk+TrjCzDaB9Otcy7vIi9q5n2yNZNS7D73oZhTyS
7cb8tqQzWZmd7ti7Al4Gu5fBfOo6wyhJISrua2DVNxhAq5t0iGmmDLNlL+mOPzr+7UsWieGNzBDn
TsazcT3VyzWdI0Cf1nIYH/TWwlLMNf8feWfSFDmWZtFfpDLpSXqSli2fZ3DACdjIgAg0z7N+fR/R
FZ2R0Vllltuu3KRVZBE4jusN37333Cv1bN5rYTfpoeQPH1EYOBGoHRwpFwuDhL/Fb3WhlNm7SrWS
6o5W7VFCqXhz84R9rnvONIwVSsDFwqyO0GmNa1qGeHkS4gAT1vqNP+arriiZ1ZzDrq5cQE7AftM4
mnZZOWxgScbfbQykN21MIWjane7fa4Ekyud31bqM9JKpBrfApa0zBVlYbYzrtDCj+syz2ly8PgaB
grPe3HdTQHSQ2Z54i3HtCLeiXCNxecmAK+N8HDchahvDB4OGz2oyrLvSsiIdp/jEShU0WXNDgsvI
GtP7QSmNNTBLF/QQKyxHOPwVlWwvebOYZtAmbveyZjeFNpzJS96Z2YmnvHsCjF2Qzkjs7yFHvX2j
elh6h0YGq8pAW50JokMod2PfMyvTM5UKkQZdbBUqkyAgopLoHzqnbl0jYNGJdKteykz2lwqnZsO5
MrYql9N8jL+sGNQ3HiCVDL45qRtVCZn9xCCyyCNmPHOy18Wr2hpgURT8xt980adnSlkyorC4u0Lo
xOsiRNbw8+pq8BM2lLoce/BzR5Sq6iFQ0vfINBJMLApNzgkrutsztCzTkjCSEixMBKWjV0bpxoo+
S7ahSPo1Plt0NKNF2C7kA2sp5ZTEoDfDlOCmVuptmVV3xPbOOn//IpnnDiLZMRkk7hUx5pK9QV5b
5G+ZpXaZq6kTQ5mp3SR9T4UF0ACmqmO8VGL9pSgsdxrVtR4OL6VNC45UoxP90BhuwvpcB+l6JhIb
qfHqhPqTSW0P0yjibxre8Kl+BnakvJV6g8ESXfTka+lVFslNgIJdB+1wn5PEmp11qyh2UHVx0UoA
0aTwDrWO/No6utv1ucToGMegrgF7Y5IMFv6AoiWDp5ERtpOLfWEP9NJnlDbGRvBkmqWzI/oWLIag
iTe9nON9DMq98jVRkr2Huy6SPGmDF7wYsZ2cfT6S25ioL0OMtzYILpTtbqKU0FdqlwfKIrMDHUbZ
umFI7ZqK+qPSxUr19HUt6aRkZf3QTHEP0uymp/G2N3bcCqMdtZqY8HrUuihVxLqDswob9qPphzWP
0aKKqMkhqCXW9Oc5JBb9fB9hed1m2vjYKP6Vef9Olu2ZXsO3UE6XmD3WpWNvRUgQamF+aIr0MjJn
huFge5uOv5AuGiv+htYxLrC2Wkvdsy+KKLYUut6EN98qDMVZ1Ulwl5vNlbMR3T4KfbOlFFDrBgBx
wj7NHCRC99INBugUMZlKwstHrh3TpQ6T734CeNjtuspDTiWO0lnQ8YN8L2z7pdS0NT8RFVNm980S
qfISqyVCp/mpyw5WeeT164SK06ooj4MF/LjXtqL02ZOU1E7dXsHjrWVHThRrgQnbLeIR7l4YBYdY
scWeoZJ/JOGRcK5InJOi3nFKK/mOEIy8TFWXWWo0e7hJ+Dyq7DHzq4+6t6Y1+oPzavE9KCTCKqwF
jNIiFSRk4CCR9ykbXWBroPF5B8ciQuPHqLzzx24HXHvaSIh8W6Ns0S1JnDEqA23ZJUrJ02/3J0pn
nK01Je0m1rTeVVvbu0hhpFTK4BmhdOR7qRn+ejC7dBm09jsXULGxJNWydS43MojAxpX6wRbTI/3U
9SZsjHAXi4mwlSBFV0/cFAPRLMeBkExpU+bq5Pa0igGb8wK6MVzOHll/bONVqNdyb6bxs8OscZk6
/DI4DS4GO/eeNWXAOxBjA/aH5GPyahAHZUmAtTRexVwbMhqeuujHNtqEvKZV6Nk9D60KX8IW17YL
f0ypd4ff5dho4E5A7C3BDmHx7Uvv5GU1qXIzqBatafGZaWtyEn6wJeo++5B2BtwC9rmmvBvjlli9
R+MRi2h7pC8aJTi35J42CW2PvCPypQwd5ztpClgPFS2zRD+1Yd+Wmr9lkN1wjLCtp4n+hxu3jeHE
+uDsnHC2RzW2+Znrk9ihu5bPZm9aq1ErSHESmdinSMXUOZtdsh3nmAyIyozLTUG0AYt7438kRXJo
MM6nkY2NYNbFstax11YZBfcUWiqHmPE9TmG8FvcZqtuuyrN1bHA9sOKtj10Dmw6qfuWXg38Y2OFS
l4BufigK3f/hZBSsUVpMbMfz8r3T0J7rxBUCVpZwLKVngtxPkRnVY5FXyntQVM2+GopoZeW1ue0a
USxRMfwNFxnoTZRUupGIyQkz4d4ObZlsNDNXNsSEtJPfTTiCjVDd1gOg70Qy3oXxibPCweW0MkOq
XoNIH1d52YfM+xBW/5Z78f+/4izxCXOd/teK8+ItSd5+k5z/+UU/hwcWiD7kZg0P2cwyQu/9Y3Yg
TA2Lt4YX2fmfsP3P8QGgJSaYgIclVmXN1OdX8XNYSuHQ7GWEsWSaXBZIwP+NWanzu9WVaS3YcUN1
NEYcljnL3r9abPU2jmqjphcuK3g8yG9EQ0RgidwcefCYpqvQXtsDqb3izqEi0MdNxf2OFEutfowE
3sPSc5V+Y2XWWs/IQejTI5nEg6WOu7AdV7w1bpWytzr6nTHmbz1VoWjwqyK0MQHpi0BWOCq85SAZ
FdTWnjLt/UgGr86IUGqPNk81LF4sPBTmWG2yjYz2OsTl96wXFz+vN1mAqCXIatZ1esLjAav0isnO
R6dVAh1PTEUuqceq8qEAKjF6e6F12SqgSkjv8rusyZFzrUWS3Sj/cbu4osycRCb5PxHgxdI3KiiS
zHLn6YRTveTGpq1vZlIRl5OX0MIGlP8gZnIuqMnYKNVnr70QypH0JvaXCdhuRk4iBihvFedIO/zy
SfsLL/uXefw3micTdoNaKmDYjKd+c0eXGV1OCYnllU/esx7EIpxeFNIHRmzc0ZN2ZzU6N4Vw7wcd
pJgdHO6DZW1s7g2e1W0LsmHaOC216unfvy5d/u6E/fpMIa0zlxbCEub8339xwvqOGFXSiP2K9/dI
0EHqjJBab1FkwbbKhmevZmFCeqbO3b4jDutCN1rYSLhfN263A6GFne1ONWgYmq8xdMM30QPWTNKE
5HzGbWiUHIMA6JSAmRuiElg0OCdSF1GrD2yXDEU8F+dZ2M6OTGLENPZomGbNCihwu2nUbKkTx/W0
PbmOBSJahZnWtxeTn63VNFwUjPBlQihBqP6mRxzvVKINxab0w4880t2E6CRr+o+Je5fkyIAqPXjG
yTJ2scoHWWPYRcEJb/qmN+znpv+U9q4fiB5Suz4wSetCLlTTtZDVE1sgTXH2Q9oVB00050G2a9FV
p5xMcm6pl7jRDtk0Xacu2QQ6tcWifipaY5+a0SI1k/u5krDwBROJANBuzh7JUxt9ZrGz7NvmziC9
JbxNaDMDkgjQVaoSjOPMvMx958FPp7ccq5lmZJeON8fzqYPMxU1U8Vrxs0PkINNZKzsOA9fKhnUe
hd+a+plideMVAeJI0P3gxRPhjdraOMUA6CzEz2VcrOlOthfF+K6XT4IsSP0MLoGFwFh5AvC2ju3Y
+DESwKcCYpF04d7rUDc0jJ19BNeXmqOlImzsLdR9lrE3n2C2Q40aUiTnaKKwqY+5xiXxXoeXE0ce
g7Nb0ENjdLhdtAKSrSwOctcoR4UkMWfEJSU5i8F/7tr7xiT840XuED6mjDQm5VMfnhJV2fV0U6sM
Q2rrROWWm6JXYD2hWkHjaJQsC39XT+Om7kGxtZvOh4CaEjWG69gt2zY7+gMfqzosjQNtOGIpWm4k
MfQnjHJNuJ1VTB+GdZjFwMYNyjgvHhig5YSxJkmAWTobg6h+Nb5GxpWJEZNY7UV0SyLpE1QHLGNG
Dt3JSapp6ejxLXH8a5BGydrQs4XabOxwU3Alix6mrDwiAmnbiWCmpDBkESS3SL3vMY3OsKcu4/wS
6Cfd0GY9xrZcI5z22ZxGVLTzpL4a3gHdxG2b6Dja4YIM3mOT1CsdiEdkprzT5KrlkVnhsYQWlGGA
g6uOPI+48o4JaEcXE0ymRxPFiIAed45HX+GQChfW/+i0l2lMP6dCWzVh+DBB2QjseBGF92mskI8+
4wBiob1jUgtl4pSTUFW0S4j3MYAUXtrqS5TQ7dHGxyj+gLYBfc9YaAoTUNtc9KF/8WvavorP3LpK
sffGWzVeQ/kjjA6GeVJjrlXeQcKMqqFrYT14EjmXEQKJVUqrfbA3x304VjAirpVNOY94a+CzjvFV
rclmzb8csYQjkbb9Js8c+HXjIm2/FVO4BKFBDGtamzh4SVhxk34cu7ei6Ta6vWditDM4cgKAciGr
Lkvso6RP62bDqZ799WZ315JWKRuHc0XFX82tBeMwF+KSPDwu7+qllSCpzsYMu9PSF2C2cllVtX/+
9yu39lcL9wzVMfF3WJwIfpMSDLW0pSgwG8f2dLRwj4ThuQ4/JQE9el2ede+HZfJJcOq7r2/8t06T
/xkCPBhmk336X58of6+o/q/x7aP9CH4/Y/7PX/PzjCn+QTQGNBP9ShID3Myi/nnINP8BrhPV35xD
MPafSi05R0rqLDk+UOYg5izc/x4xzX/IWaln6AtsyTaxXf6NMyZcpt8kKkmnsWEYQjU1EtsUW/75
QJDIvGphgY2rjKqyCiZRsJwap6LAKvbsalMJJbwKJm9AFrlug4EbDXMxhOifdaJmF9szYsScFLqJ
WflMLOesrhlTZ7zAj83SZpPA6Ij9L4YRQZz4fZY/RR1T13Wcp4npKlUOZc4w2/zBYigSuD437kMw
TpBJCnopIQ7ODhThFShDvmOvoJMlkwtwBxeOVfg3EXj9yqty4y5MLGZnorNV1fWbWiVSks4un7ot
W3zsprhZWt1hok/am2dV07rT1fKdmLNyCHK6qxieOtisY4BOU2UMEJosfREaWZmsLN3U13L0fgQU
yN6bknmW6xgpD30A0zQG6BjSKFSO4Q3im3jgHoiIDFLNMVa45oYT5zEF43zfr6zYY/2UIVPzQJnI
Q+ea3KlQNS5dYO8UmtS2LfnNi5mHQG1ESs5S1bRq5wP3tF2kM2tdAM08V2Np3aySvIk7WwaeS12E
b03lRZB+TDv6FmVBdQdBA4uFH4ruIU2T/KirqbqqRSCXqVGGz4oXqm8hRd5PqRDDYxFOcj1mrfFS
NLiOMK0PPataG0Y7ZBv/Az0kuPjERxg+A75wdTOlwAJjNh3Siuw5DuqEmnZc+ZcAtuej+1g8Uoc8
fdpct2UWHtngTklCkWLdcWePMme8g00oN0arrQrFXkkRn2nUaJoIdEh/auuayji2LKAANigdhaDE
ujHGRdmqyO/jCrw5FgJl2aa8S4wVYwc2wzBUK+Hk75H9aoHDDIc2d6GYLAPnI/S6YyKnXQoDCDbj
qrbzqyT4vaUVAZNEQ8cnZEkIswto6tBa1MLCL5vpZ6+s2iOM5IYoWJ+jPgJ9hX5ZPZVJTjmemZQH
8re6RfaK3w4xnSGgiIzQEUO6vn5qMMTfeZMx5ZRppMTMWoviSbcxrY9Oer1cdkxQYYWDVSXrYKb1
LQg9WqephH6Y2qz4AO0U3nLkX+owDJuLl0U1POzZKSIP1QhDB5rEE8Ghgjuim/kAFVxOJx5e27rq
l9TkdPiM9YkTWhByKTHSK89JkS5pbm8vWRj37JEJxn4M9RwwqxYoAIG6ziHgwAh8GVSmsoX51H96
lmXNsS6lfG8NXVl7al9iMCWPljacP6y2i+9oSicZQcZobymd/UEDWLYOMyc51Rjk5l7xSAOomTS7
sm3CJ4t51KnQa+dYc3/nGpfZTHfjIDozCg/v1AZLBzVChOkxZud84Oi3yQHLT+XKw4qLepd3NN4m
QAtVUOCHXCchJD0zuAY0Y8TLqSBQw+g033XV1BxTs+o5PWrD7IYNJAk8ZnqIgwlSUeYtC8ex34cs
6Hd4Y6qVVqjNZwg1QHdhSqkby/TozMBatBvtpNtNjuPlCzaA9pmqds81eOuPfib0E6slsf2hI8WP
LIL82ZT+IcrppC3zvL1ATS7WHnrlMkWWDgC9QVUL1So8REkZPPTekD4ZTaouDdgvxyZvbKInmfZg
RqN+Hf0pPOVl2F3TGlPvPOpbWWXYf0hq0Kmf8RKKdCTG0TeFANVV5FpyHOOQyJDfaxNvYAknxGi7
fEGBB0aEye/e48KPzqT/43Vr0zw/2TzguHMgTAmLwX4whpAwiiYJzqFamjzg/H45DqGEbVvQIBtG
o+ai6dph9tDahLsSrX3wpVIBS4Jn+EPjdP0DL1O088oJWB2Wp/ABBM7YupZRDjcSATGeaQ079Vyn
a1YWBvi5YrfSAJNYdpDgtJwbeHleoyPyqPOBVAgCYq7qxa/VrORc32tNDniGBAAP1NH8XVp0sTux
wV3ag0tK3Hrm51XhGUOW6VYzpdeEXwAYa2b3CrNDJksi7mm02kcz3bfMR/0jAyV0D+CVspXhCwTc
KDMTuM6KJ3h6xkduODx0Mz3YFxMc4SHP+kX1hRcOYB4cqOpVr73e5zfiRVyca4OP6swmFqE6Pg14
kKhq4MhKIY8904xRTF/tGXFs24qyH0uwxzrmZxqN/O6pNYEiG1WRHkOqEXfg+4tFR+3PHBaCpRzF
XQMjL1T2JQyX17kD9rvK2f9AmVF+CRg1Mx+XMlp1GRd0bs3KQ1IBc87KSNAgPcI4ShRWoYzr6HNs
hzMGFgx06E/2k1rwVHGPGnAoI9FG2/aLIB180aQ5LljfZKJr1Ur94k2jHmTX0SmxmzgzlNqJy55e
mBlV3eaQ5Wbkb+N2ovwsgt4lqNg9YOVo7nzaFUzLooaw2Q2qUc16a+nf+UbanRJnJmUrlsS2rcFB
+i6/UNpJHOyDrKuuFsLZM919KqQPJ9ipdlmlC+MLzN2HprmvauBvmY0B0JwJ3kasDWeUfO0HXazN
W1/MqG8aMprTFMD/jr9Q4LYdcwPoh7xcmDUQ1ynotFdUSeDhcuaIJ2aM9TezGY3IJiWZOhPHY9Dj
YynxQSsZgyA3VOmrtfEbr4yZV64mTfE6El9ol2mmjnuEU5BpjbPJQ8ffsQ55b73MXuAd91tEAIjo
quiOBusZ2+5MTM9TDZ7LTFHvYuJSeS7sbHZodwezUNWDPpPXQ78o6OyYcez9F5rdrEV6S/XI4mIp
lC/3BjbGkaH2IUUdYGCt8XnKeGLHegvRmmfV655Npa+eR93PFxXazsYPdJ1iay4gU3gzcgQEx+qg
BMYmi7KMEDhgkFDd+tAn+bXvzUdga/aw6AGqLaMgPEUlIkNXYossAUTf0UWyaeSg7Ca9ZDgRGJw8
/eZiOAxIOhM2Y9t90wAqbarQmz45xd0h4e5ifczPpOzyRVkp3inoohpeenFrOHNtWjkmGx8bBxVj
Etd9gNncxyWwQ0SCkWslLxpFH8jBiUNYVfkwaAl32ZUBUaEJCsniMZlw10Z/G9nBlcvmXTSzx9ip
YSoJbVPFZbyY3ewV4szdYHK8jPNprhmLUbFmuB7L8lZzsGL0g/IqC+KFhlnCPkvMjyEzjwG0vWM5
NWCHsMqsrS5IHmKOjPdl6fBaRW8AjiMArtd+do5U/ExmvfSKtN4klsyhIY/+2mgGdVHFnro1g/rO
otKIbbkd9GVKnoe8nU4EpUCzbwcsAk2bpRutU2toFwBS/Wz4HuJ+XeSjRbunmeYbzQnxYlEeE18M
do1z2dnJ1pjgKaUjlD8sOr1BsbOpiGNVyHypOeVrBywGHEsr+Hw1FXzwO+Q0oDyM0Xh0go3XJGuT
7HFWKQyxRmYoSjVmq9RRr4ZVPbMGn/q0ujVeTlW2nGxOnKy9XV+s4BnNbqQWR7Mr9PhHjEdkDHva
q4drV8Q/IOZQF5Wo07KJKnmBAosSWeos44Nz6osQV79nH1WYTa9d0DkrMRkrwGFvA2bWVW3R1AWZ
+r4Y2yUiX7o3dO8e5BZVpEYB48jbWqI+dIFfEOPw+dkn/Ydf5Ue/keaVEsizAgj8XteHbJNoWrce
/Lq9OIr+MYpAXURFs02c1rwpdvFI+SsK1HQbBiPa14R3XMcedrSWPKUqVEoXmLa/Z+YzAt/mD3Xk
ww02vfbJsHrlnegGQXqKuM1dqCb5zq8sBwtYkGc7p+nDne0EEDmx2Q4/QhmTpBW9eLYKqR3GuhCc
Q4HfUoFMDAAGSvDcJ4a/oc5cNCvIb94iFXp/tWPhPebgtfxFTVuZYDuOqQnX+u6QDgUZbP6qH5HO
TrXqxFB+K4hDHaRpmffwu+SBzWFc9uB/1j7ztC0BKmsrs6K9Aukotn2WYDISYemvzK4PNn1QRxtj
6vy1oqTaZ2EUHOi1yn+ReoVtl0X7k3hafIpMNd3+/UHG/3dZ7J/+WGZH/3qK8dim7z/qv3DV8lX/
HFqQFdCEpHyEKAAd5L8WmtJ4pRrIUhSXGiatp7Mo9VMZo7OUcYap8o9uY7z9NUZAp4mOZ4jBhdBs
U4Uj/nfGFr/7ag2+s8VHzGJ6IS1tzjL8qmJkdsHIIuDi13ujuVI4US/NLvLW7ZAaSxt7DRTj6W3o
Ov00ZEIsfnm//kLdQRf8Uw50/u6MZTS0FI1/vmgjv2gomKIwe9UdYA8lfNYcmBME2yYXHTFZ//vv
9Fc/p60zODIgudMvO7+SX76Tlpuh5duNsqSTwVtLtZKrPFOVJZaw5Nz7HIJG6rm2uto36zHNkt2/
//bW7wqkYWqkSEzaxcAVWfBS//z9fbROWSZKuCIlNFwaS45iFWHT2rAIjsNmqnApxkqkMXMYHEBp
LRza3YAv/iVKI0h6bQu7npBjzIQ2ll70UggaO7Er5fGBRvOw24x9lDDB6GUHDpF92iqcR6XzsUGU
paGc4jrwU2bseb2NIzGYi25QBuwTdj44Lhk39WTBGeXKEanFscMQM984x7c+UFs0t1KB0BD5uf8+
xb0Vui1+4nxjDSNtHBYFXHREYI7cVfQIUEBhG+lec6J0WIiu9jASjFtyByo2JlXwUwQO54EJJaVz
48RsMd20Zt1ss9IYLKbvva5tGZTLJ/JeDzGHHfw5WrQPs9EDCTrAk12Q6pzaFaAyHOD20MbfAJlQ
U1V9VVbVbc7+yxiLKis11bILTRRmvSGyC6kj7Wpxqr7ar1iclWOqU4n19bv+W3Pe/5DlkdXiXy+P
/5W+TXn29lcLJF/3c6pLKkoXOtunrpqSZBQRgp9TXSIEeACIYFmGCvFLZ6T8c4EU/6DJmSwV2Sdp
2Swhf4x15fyfLJOYlYChCKfob1kHKHz6bY0yeWkOizR3KDJWPMN/fnK5L5tmFVP4qUGDe5N2Un5z
vOQhMqtzJczPrmwxp3rmHfZY19ataoETABtVxwyAUW8TNvYFiz5trI4kTew1p44aRSaLPog7HpS1
pkCrHEqHpnor0V/H2YgZUyqRIPnM/kwgtD7d9VKpO3f88nEGnsDTWX/5O6WfDJehtvQXRx38LeVC
zj4xoCnig2yC3UhNHo3RU+utxJd1dPiykWaw1+/TPuTS3s3O0272oCazG9Wvo/w04pm7UEKDWXWY
faviy8Ia4dRGW2oMDoz9kIgtA+/RJ0VhThYVsn324XRqcyuzmJGumvrdMSvHEnyphaFVyxpzN8YO
DvsvS23dm+MmUep2PypacBtt0/4IFFKsA32mzZCdlTpXH8YgDHd14OCX72bDLp339SdQO2CJOkEp
t+zH5uoUKgUcPnOHdVFk+YEpVXSvNr3FfQ8q0SL08FeCnUJ7I5Ll34sv2zBdu9atV5V0hlgRXUK7
K7i3tMG2baz+M2WzOhKVN65d0lfH+suy3Hy5lzvDOgezo3mkP+iifdmcpUgJt9mTxAdtfnmiKwd7
dOPArCxnyzTXdP1qyJCRdYNqflWJxq6d3hZnzN/WfYyt9rWZjdgjjcefiL71Y0ev6hYcdn5xQNZc
OOZdmy83ty9s/ZbNFu+4D3Gk4GOkLWu2gAeAhlmKZ2O4bNNyz2wYNvMgYDynRb8D8okhmhEPPVRt
Egl2w0HzH3XAWOcp6Av0QxuD2kDA2ZVlvmLQVFGhCIjvQE1wprmWOdR7vcucdRZyvu+suN8T4xPU
AWR+sKJ8CdvvmKR4EIOgn5A+TXWV8Gl9TZyO/kyznWtXOM+2roic5xYX7bbpvOqigwcwFlNiN3hX
EPo/MM6qlCuR7HGnRJTvYxcwMQSBa2ZDeh4cftl+prTPiRz1fQsGZpmyk75DqFJPTRtpKVChwHcJ
5mryfiwrXMCa0hrbsSQlxNk8pcxWCcp+G2SVxm0q9EYSuk1bH2lnNm5cd0vQl/QFrNs05TNiq3WB
DtxG2Vb4tUyxC0ki8vD1H4RMk0+LhjTCSaUW48bt42CnBRTrLB3NJCSj10qoHhVrGA7UIlHMCJ6K
/4cls73W2NErlW0Ud2LUHrZhRZuk6/XEBcmfeOoVxIV6QHxukJUq9bEnGLzU6JpZMx4nLJEB2Xqy
lbg8ALS0limNHkCupPOStiQGfZ/rfg0kmnCSzM/JmKJX64nt4GjCqQfrJVG/p42eVy5YgWzTelZz
wHk0O2ZGM2ekV2IXoI7EXgNQpbaCg6y2Gy3NFRA8zhqtVUPe3nJe2iIFlsSHDQIAoyjTGO71rETE
VgjTp+CDP6SIqGWgAKjAROEb/SKoVEYUVUgfsyPi6rtaaLGLifeYGMG5UqxkqwOZu3foSzuJJBGb
ruGuHvFDDlPF9GvUdhXw500pjWyliD5/VAlXPBAKwasYllWwHGKlxA0EK52Pe+rc7BItRUJ1Jt9t
1neJ5ZungZ6JXeOr6YZ6SeLxwlEEL0XtwIKgHNHPpEMlS9RvJjOWzi04OvEWhkarLFoCpD2WU1N+
1+TQv9XyvW9rCAZZOM58TyJX2Hen7rlIUZCSUYfSlOYz31Vn6nno7VjdyXBSvgX1ZG6CWJh3dc9p
3IVsrL+z4sN+Lsu8eagki2Lbq94uIJH6IbR4obfNB5qY/pnEGZzsNk8JKyWFs2vlUNxGumsXgjPb
Ro1yXkofxNrOURTcbplHIxRRGLQ3PzCfS/7QfuCjVN05Tq3e0LUYB0r4K3XkkxRWuty5wN8NOcGZ
HnEkVgzsGi3OUvwN8Jv0OOyBO/TTncDi9oHRqf1hT5S+coRNB3UXpTU0phHqxFFqBnblqRVn3Ya3
vhAJ0XuG6e0TmDXl02rUoXKLWmv7ZaMQNe4T9a3ySm/TjJlKvhdbPPtpVACM6g1IF70/5y1oe1qX
k043vD3YDqa6VnscWafeS9oYVoGdBAiR8+F0DPMeD26u0fCAfdi+bxDMSPaqPChFmsWXvrLM7+ZU
RPipjWwYMafUeHqAKy6HKJffDCgda2bGLBfcJmgtNF9ExJXJBfgdo25b/o02U9Nflcao3KhqwSzv
1J4OwZ4HxK07HdpEa2UPqgL3oVBx5g52VvObN0lWG1qiLurYh5QYo9O6xhDnVyNkS7B6nbDBlD5G
+Vg+hDSGnGItr4/VmI87GPzlIlN99eqNhHzDoAV1UyWMqlsmhqFVXj2YyiiuFSDdpMBpoWKEQkFN
tGvCTrcakSZYKL2ieVQjHNvsmfGzaM3oSAwqfMME3KzGtBvOQSFvf/+k/J/giPjnMAFDwL8+LS/e
orf0rfrLRlO+8I/jMkdR3dKwOgClxQXxx3EZgJNpc6NmOqDPaCe+6udx2YBYoNNZoKoG834JuvOP
8zLhXgmhCd8EyV/+7fytecL/7a6iWAsbhjm3mgqMNF9J3l9u2mqR2DIYyUdokClXXAibRZnPlR60
abe9hwONC55rFF25xJWKBXFgKNlPAYu5/9hW9qHT05CZcQKWr8vOyaRyuDMikrZBaZF3MuXZrEkf
tNgkaCjQ4hdMi+KJfvDqHGcA1LMIJy+KoZVfiA9FG4Bu1RPAO+OtU0OCOmVf7Kqoor136pODPXly
M9ObCiMLNmlUEQjlQF6WyiuTBJd8CyXDcPMQPMuNGHAtefLQeS2cvT5ctbQXuHnxOQHKFnq2dSDs
IGdYq6qnw8Jv4APm2V0+dW9gtc9V+toAHqqR7RmGapR1FUxVWJ9qn4c4Jne2NrqEFvDW8DZqUtxr
Xbu1AvWpsjuc7tqznxfTknKfftl2tAxmXA+MpFo6rfbR5+Kah0F8rWsM/C1MzyWDwHI7ttl7SsuO
a5TOtJ8TD0HLum2pUXfgeA2A0Xk2eiI2jUiDi+45D6FXtOtc96tTiEEbXjrbxcQ6ooblPquMI80h
pRtFvvc6GgTFuMhfdLIjx6az7iDGf9ppuEo1+EDlVBIVoPf5UPkVqRiKHzd6HTzZI80+AVQpu4Zq
b06hs5icpFslU3gWU/U8IImf6SDL3RTSFROb+ixr4x53ykNl6eTqwuhb2tA1OsObOnc+dC1KIK1S
mWJWaushKbxkbUlNLEiJeexhOrWQSU8tREHglG3MUxm0SKN5tJ0Sd8bI/+L6iZ7b5FuHvAMxzuMw
j9sR3dYUhL8FARKBM6+M2rxGTo1oHqevhZMSFMLY82rKfCubC69YYq15tVXmdTfijeMCYz52bfM9
+lqclXmdzucVe6CqZlHPq3gyr+cj/dEnYoflAxDaR70MgpM5r/8JHp+HPC46iB3z9uBHzMbBhbJp
OLpf0ycxbyXAopfFvLvU9kQpzdeWQy8bk/yvjaia9yTza3sK553KnPcs/Wv7GrJXn745uZXz3mbO
u9x/s3cmy5Ej55Z+lWu9R5k7Zix6E3MEGcF5yg2MTGZinh1wAG9zn+W+2P0QreqW1F0LrVtayEyl
IjMZjID/fv5zvgPJy30flpOvWs7AYag1rbDXo3FcTslmOS/b5eTsr4doNHGedtejleg8x6zvh+Mx
uR6+wDaybcM4/KNT5m+Rz9yBmqzD5DIuZ3dxPcZxi+YwoRwOd8/qGNjGDjsydfThfk6F+HSXdrNu
HnCbpyXWInOZGIj5Di/WMkWwh1gGimW28JYpY4oNxSS/jB7DdQwJriMJC7P+F1u78KfHLu3e/l/D
S+6QCryONE5kTRK6v4F7YXSSw6zm4K4rLAYhBwA9PnqeBOEyJzXLxNSMeeA/ucscxW30gbxlC4bo
OmaNy8TVCZfhy1rmMJpjKIn3w/qVeCdIxwQGPXwmRrcutXAmJQyH35klaFfqRcxasMIExvt/sjZJ
PPkkFSrVMsioHD+oTZnmq9dZ35NlDeuSDQN9v/Cf1ykb5h/U4tp3hjMVD3T/qF+YHXgyNHOb3tKF
/kllpT7msSgxV8/dpZj0psNLfWYF3OP71OaxJkuJ55Tker2maZnOj1AE/b1qXpve4TbhmFTFLSCp
mj0KuW1/n4zzY9Hn9Et57RPxw28AuC/Qz1ykQH8l7GajW9s65cVQ3rDAAlsQkzQop2cjC6FCTSBm
3F48NF4aXsJyui2CGP6bst4KglEbRY/eb2ot4ktnu1sVG9mrXbvuJTewpzpltJVNagcU4PkEb6lK
u3csXBHDUuRVGsMKM8FmksleZtKK1t6YEY2jAu4XdRTOuks+fM1zIjF9lvkEYglPFfRXj6P3w0Ub
32ibdaRFf+HaTAqC2h1LrLS3XoFff1Q+ZvTcMX60rUDQLA3sSaImNI5AmhGwdJISr3Qg2ZT6twPN
fK5nHJBTvdfKn+7bSIhjOPaIoOZ9LQXDdaqfkik0T33oNntS+PmtZzylhnGI5t95hRdvDEp/W+Jw
V612cMu78KJQg4Zbolk23WhmR9SAD8GxUD3dB1M1it/ar9JDZBrzr76deXcrOrLjFXnPJCfalqUP
dmCfI0+uvVaePE2bxICRZ0//5D6iPIEGWQpk+ylPb22OyzCdNA9vfhbiZzk0iWYgYNqY8IlN8TAL
wKbLP8UZBDqHL212Fo6tfDWnXPmNsT8NoNDoQwD86mV3pvQeOQDxi81xuTelPDpJm6xnFUHXghnk
Ss0NgbzYbhq4kszocDjvY+MdSYkft6Nvo1b3XeByimBVS6n8054YN0NJudOYjNO77OtwY1dYhFz4
qXXRHgPexWQbCAtyl9qHEdqJ4cWPeWFQu+0Xb0zj94wMPyHxBgTZk/lYZ0CIXDNeF0ZoUv+FPI01
I7BGWqO1fhYBzVWJiu39aBsWWBC/K/iW5E+nBmgcxh/UGSO2eby9lTQ3VkF4M/btco0P6nUXRL9z
UvhgGMWpqeT86XjCOZmSlry1bfvsYI2t377zkNnRHrEdS1Gt3Wn8SUwfRJ+9nZP5rAXlSDYNae+2
O4G0zYP7Lvd+Nk1or7nOQyYQBbY9b7hzMXZCv/Dcy8SeuY9c9+RHHI9R5E3n1k5frazutihP9P7S
xrwqaKTCDzSmOyHT5lzg4noyK+dNhFWF+c+cbktMZjsQhGJdGU169ijhWFV85leWDxuin125Ir7x
5sY2GBL8XRtvmuvb0upe55prLe6nfEvV2hNOdbEeBJpG21SwU8ao3Q1Vn2wSqktupy6L175MnJOs
k2lnlh2VjQOqQ8FzbhgH+6ufKH9GD7O+DZnLbeWRurcFl22IFPPeNBzn2bQoMm4HnBX+rEGSVO62
V8rdF3pk428y6QWscbCUhPVNEBbOyoLNxtYjWNde9FiCBKYHipHQe+GIKi+xL6iastxzo7p9P0K0
bukcn0lzBHO5oaWJxw21kFsGW/wApF8jE/9AhFGtXmxLjv45NGg2Yzoy185KcwmbectNuCsDGDdY
0TC0vFld80sOobPCGkXoEWOEv1gxRu+bq/0H1iQPGrE5EE6gkNSJ2gWO7Z6jWHm3mRqGY+7zgxjU
1OCQmN8cM1zbs/6VVMvoUT7Dln6Cof9kaDQfnj3ofvrOC/p3R3Tfo/Mw2fbWdTvU5HAXtoRFQg1Y
2huGauMl/nPcyIP0mGnbfnRfSMumB4Dk07Mcm4xoLaTyWlJ3Q1pC7HRhMznHrtxp0J0n3JtPWkyX
gD+lZHu66WL3yQ7qLzF0BhLKaB9NFzWtNxgd2/zItgpYySyGTa3ii80YsYsVfjqDjBQsoNandrLQ
3KjDT9Zk7qMjUoNYFOM0eNnnoc3SszVazoLgR/a2vJ5w8eRlD9oIv5SwsdwAwdkofMGMvGTTAz/Y
2Twf4W9nxS6EtHaQJAZpfZm2dFQToLMH49S53cfsux94rR8dQh5B3g+73hnv+lqv7Sm+FBEdZfPs
UK8I/4KpDfxob6vDLNP13Oc4sdPX0IzSr7G15SX3hnU26jMzrfsQjLhWYU7zeBQxFVh2md3DUCx+
mAqcaEUMukiyW7/IeJT4AUFlAjSrYS6wznS0iNbxHKwGP2WZqOUz2MRipxt3blZ1k37y+F0PCKWr
Oqch0k+qj24w76yq5kYRJEAqlK1P0ZTf5yjhfCww+AwTI9qQ5DS5Gsa8bWpKeuq+II9ltJpOew7Y
Dfr5SvmdPk9GQMKyoVKV6WpXlu6H9FW3xqblUSpI7S4PnQfLychtx2jkVHhPtACn+S9G2ObQmA/c
1R506pGnytpXo+Dpm0fw/quWZyZ9po9zaY/nXJlHOSfwwvU4U0IYrUUKHVXFc7Zjt7RjbGcyGkib
6b5+bA2ku9wcBSRyI7lwk77vzNo+GwuaKVOHFJfre1xN9apjZN45Q+/ewXw61jTP3pcEYFfYS34q
mjh5QYySC270wy+4A80D71GyUrzjjeDYzprHQdJvk0S/xqq+KYwJbZ9UIhvb9g4Uj+LOYcCkIu+Y
gdD3twARiERRKwT9k6kEonC6jpv0RzJjeGtn58MaiIFr8BfUaJ0D36Cws7uptGVgjiyGGypsq3WN
Ysvnk+7zXE7vlHoqGB+eBdwUBiXMv54TeXBhu3izve9gX606uFknTuX6uYVkTBOU9zApHHJJ8FXZ
k6T2xhqh7fL86JLePQ9xSzouIQBrhe1N1yJUK98a0dSR3Jc8u9O0tAPYw9rtJmflz9K99EPk70Sf
zLtcpBTHlYY+skWRrLhEdxgzHdGJhOfcKeLLUFbmRvszRexDVh/9sfK29uIaEmAiJtP88GAwBV3z
IbqR+Ty/KyboI0ZbP/3rstT/Jwtclpl/LUkd+v/6z7L/R9j436Qsvu5PRcr+wzGJaNtA/a+wcWSn
Pxe43h9oUcDaXPP/WuD6/F/YXtinus6y2/X4jv87mCNA0fGfgI2NKeFs/kvsODqU/nmDS9JrKQ0l
TkSIWASLN+TvFCk2VTF3tqTamnJU7znIGdKnPg+Fzietg6PqoR/1uHVmZ9jzFtT1zgwSLOjS1lG2
Fi5OY9ZV0HazwZz3k123Jxt76qqgZYI90GQz8dNjjSfa/VFlvqIkkUpoitCKsPewqy9kyJESXHrb
pJu+yza7nRfiVGa3ePhZUoABxs8NrrG64oGtKym4ZVA2FgQGU623c9I+eJoWtjC9HsFTzSfnQS7k
4WZhEOeq6j7iItHtfqZp7Y4fx9mMV3BxMKDzQ7Gx2cO0pr3UxE7TyAwfLPBjUc470QLRUV363lEr
xyDiwkdOr6xkuWCTDZL1X72oSfM2agKW6V0Zy1SOwO6gF5boaPN76sXTXJOl602gDDCTjG3E5met
FmJzGAvzRi4UZ+yR7e2wkJ1tLlYpl4gF+OzPjLmQLvCzLTxoFUTGY+31fUt/KLxoL0wp1AgdyBdt
OD4rKGSw1mfBg6WPM+Y4sFf0bHoOxs1j2jZusS5wxzyxWJVqO+IcjjYDswj1wHFlYZbOanPrFQGZ
VHvOspfQtFgl91Vav5Y+UZChH/ojdY/simzTDgcITgltxSN/mebcjRapUm4c82Z2AqKSeV75D42x
GOhFCTV9Sc+QpwUAQ+Se9XdYfUV55990U2EpctduRc67J5J2qEZdHKooMn/ZEbDAaYK4bkda3Jux
bO4d6Y8PPcD1blPX+FcINrNq20xt5cpN1bXms6B177lwhojfP2POmvHAh0yYiLcmZYW6aUSCYsAa
Nv5OUqPzt9KNhL0OO5fy9SocOh7ReUGuyHN5yerMiV/w2cxLB6gqlmKmhN01sfT+gKdRl290Qk58
HOpGHJgYOevZ6n1Oo0oKkmRucRlAJb9ULNr2aHfRDYebeuJ4nHibxFb5mkTpUjyb5kiNEfkYUZnR
gZ2TTxQ5EO6605Sikhgu6tsOPiU0QyMSrEIDZf7yoq6DVaJsZqFacOmtXLqRxDxBfRulSQ1iHOSf
NiLLJSUE59DJPPQfcu6WsTG31hrX6mHuO2LkIb3KVBAtwMY2B80c1Tm2+mvbSbegHVkkWQ/egnsk
sQ350WxgV2ElYr4aQIk/RldKpNtOwTtbvuxpsgQajkxQSXkeQJAzjPpUL8RJn5cC48HCoYyyQb/A
hYTJXifG/WCV9bsfjXQGkUWlVbxxNz6t8ndg39pdh5P1FGQUEJBtgyHQVvM2uRJPuPt5R7VgULwF
iBIvaBS9QFIc4h37aQGnCNPTh7zpqwvL4/Q+GZZs/8JbsbmmHjpuuluObJgOUmIxCK6glrbrSprO
F3xLuJBcxMJ0kQvdJW7sbqvQWH5RolndyKHlRzBaQMM3PZ7z99AxmtthQciQUIMmoxewDHXE0cMc
cr+hZb5r92ihw3tat+1jdcXTNIjEx/kKrQkWfg1LZ/DEZu/3eAkiZKIaPwmA3OZteZtjNYeDEy5E
HK1h48z0qZ/FwsvRCzknmU11Ml3F9LFwdbqFsJNcYTvJ1IXf1hXBE9QKCMLC5emVmRD8dZr8ITL0
ncB/zRtIUB9EFr0A+OhN+jT19os9O9YXjfLQqL5TYow5QPxBzDCLKkOsBjvatKFxU/TynLvqja13
/DWjRY68AdLu1yzaYY0McEgLC7ak7G/5FY9b2/SyBlXGrt5L+yOVlNYwQQX4FEIjN6ksoAnw4hH1
+YBNbp71DNwCFFTxEgQjJHXZ+BjHAaYjKASaewoXMsRmTUbuvTBLd8dL7m4ByjtblfPs25uEvkOH
Sd9zkehWTeONdIPnfbnzFDmrPPDkE1A3iPRRSiDj7JT0YoCAd94UmSOiiJxgDwEk0YDrK02feJGg
Oa4zJy/uRGIs4aWEt5bu/O63XXnWZm4Ey0fPI1tBti77jIdInb3cKO55yHaHZOSTG+XW05BYNA71
ejC/KF/uXkUv648s7oOd9mL/SjAb2B+Xn6LHz99RSQGmzqt+0zOtjyFs0mhHhoECZ/4kekaHqJxP
rTXXHwl7/8/SUcPz5LXtWdmBtaMm4ZuAz3RBDsMDA7sPHRcDaH0A59Xuh5CCD9bQgNFgO9enwZQH
PWFmCZgb9uMQKs4pk0aqwC6pKJgn/55ts/+zZ1ffbM088t5LLbtdFEzdF8Wg1S6KrN+9H30SYn32
VXnPgw1QS8buqVd186utrOfJRmwAa/qRUVs8pkN7EMl4moYKYrRM3jJ6a9c9rvhNUrvk49Mk2VtJ
uEuq4jNz+s9MtNOmYXonDeOrFdDSFc0UECWqnqK2muR9Zg+bxlX1JnIMHAXKj43nRObtAaolyIBk
39pRt3aZzl/TZKq3U9haJxEWxbdlzh6v0qIBj1lvxavZ9mx43vwmqwW778VEb8IFxW/OoTrgno/e
gXz6jwoN4K4YF3p/w4WdOzxVbPFah171Ei+o/4rGqCXb79UPdN1PvMKUAuAANcE0kPBhMT3PW35l
4Q38DOOcysH9UgR9ElI0pI/tlrYByHnztmx943lwW/XR2L1517X0E7j0DGynns6Cxso431t6DFAB
ySuWdBvErYWXwQi6nbM0H9RkWu7c0OAi9u+rw19Qp9k8//XV4eXn5/SZJ9wSShyO0/H7f/6Pv90c
+LI/bw6M+ThUXJhMno0J/u+tn84fAZtqmwJbEmXLMvv/7LK9P0wsT9TyLG2pHlCgv7s4SDqMiFbh
mrcx3GNp/5es8dY/m8bhYEuP8lpWRqYdcCX4x4tDXFs0oNskLtjFfiWSprS2r+s15pFu0xlts9Ud
B2sSbst+aPZUAvUEggkJA6CGN5iWm8mcGerxq66HIGAxED8ZBXwM6i8+RWucgGAWIQN+PZ0oS9oM
DQd7mm5q4nlJdIaDf+Pb3kfXRyEKWNxt0ETt1RSP4RrTJoM8Td03TRFrRGEDqKcIoSnSw7tR+DV3
IyzebThPGK2S6eJNg9i1qnNxWPXlqpGgaIAt6sfaQZ9zadCc1nYKOLFMm+bVk4m8KRyzWddmnTwT
VAuePY1sixhNaxHHyuw69efA6AQ6lCE6WMtZJg3jW9OwpYjUEfRC+dZrL+B/R0EMnHWK5D6t3RZy
agne1fFIMK14aIqlbDnvz1lk+Te5TbP5XNlbnkDG3le6KSFbqs4BJCChXYqpfJ8rV4OOl0N6qwW3
CrumTWlDbRlXKqbYi/Lm9tigvynfbee13+bOc1tr463J8vy2McY1P737LdIa2l3ijgcVGM25lEVc
n0Ym3V+WDdqmCkzre1Tg8hIZGIoWyFnfZ3TjnRyrDWiPyv2LKlJQJlIGNIfn9iBvEFtRiJn5AE6G
/fxlwuPbFUYSvao6AITosOuqRM3vfQbDFVGtzn4jTPBDYv5PH2tLJSxsSWm+UQcVPHkahvJKkTh+
C6Z0OErLqFuWndHCAhS+gDYlbCieslHZo5tLUVNgbhcYvow8Mne9DI3whGMtZlkyEb2UxJ/hmHvC
PMMqy+9i6ah+q3nEeuvOdNs32NDWpo1xD+U6fs9S1/uaYaQdAfYayIo6Mh8MdySviVtCX3qWzB9V
7/waiTZthJb7mu35W1wQAhsSRZZxzCu9D/mSfkUMLoBynSn3LqrvGH4wdFA5AYOIy8lpBvHYN+zw
M8CpaLymZe4KNa5dRWVXdDdTaL2aFCt8z6cZ3N/BoVmnWsNI9loKDDEn7hRr5yaH4T2n1XDXG4V3
AgmQ7eCATXx0ynRnB+zunZx2w3DQ5VPBQvtSpUH8xlJwumuiVNwnlgjWceoGWxok3aeUEtNdzoRw
MKUK9x6yOh4tXZ2oZ5puO+HYW1YGiPm1rN9SexFIAWmfDMuMDyMLDeyNvnvMWHFtlAaW1SelOPtO
mW+0lTZ7sMXFHkACEblexhueC7wkk9mrHcQItTEJmZ/RI25q3cX9DqTpuLE66znpa842EmVB0GRn
vxTOjU3OIQlz1qC19c7GmC72hhZQEknTfSakf7Rtr74ImfUvXkf2xJfu/KUHA8ETNgJWxl6+ERZh
xZ3xFnj1W9mdGj1+DBYbCjpI6dBgieTIPRViBIErD+hRE0cbV+A3xVF9KH0Co4sg0BlrO9T9viAf
/ZoIu/juOm4VG1U6uDYDMzzX9khFEpUcfPr4FxH47U98RtjoKaPChet6itjrNItLHBF6K0zdXMIQ
UkE4KRAflscG5mdHVQixJd/ldY+ScdsmsMX8Ju8u5P/p0qZ5dT/Tr3Y/AfN/JHXjLjZC7udG73mw
obqckcH2j0nTQPkdZdm9hIVP5WGPFxv1NYz0zkeSPTc68s8T7l6btrUoueRqmD4oddMHIvHVlwVb
VvISZFzryFzjMhQR/b3cfLZY/IvHqBYSN0aq1rmyu50fZLlazXigH8zCx5AjJ3GpwhJsJ8lU/8I1
CZy37iPsNK4iLy/0hoOyxsue8gahu37Vu9rayIEYwSb37Q7f1LI0y1Th7/0m/Grwrq7sjuitKLN+
43Q13N64T1huuETfgaFXE9deaXIx8UwC4nx4vrLCc260pKx2iAv1oPoJiUy7POiDbohYCXT1cwpu
/5JUBrvpVHbGe2K02XnsHXO7+MDvrCkEhqroof6t8fVgpubnW01dbrI3LdxzBZjjIR0S+7P0c/sU
5k3+ZM4CuWP26r2chuwFNIw6l2UyhDsr7ILPmLDBsypz110l3JbXUYL2MKlyYZYZ03gs5KQ+U1PI
xQYaz+t26AGuYiqY7+LSjrMNT1LCQtEkcH/PFdcYaSQDduQ8e8h9M7qHE2ef80GUpGsd9P7VPBMI
opmGv3k++j5rQ0uzqwYFgu3Kzfd123DUEBslvF07r1A1WrIN1PJuHCW9J9mNw8i5bHT3ohPJGx2q
s7Xu2B7eBWViPVddbP8GKcFUjXm2531nlo4+8SdbB1jxgBSyKrbe0iS17n1otTikZu92JiP1OOH7
w9sMu1KUtPg6lnxgm9/czlnuS4LeeiJEocxvo/XxHwW47myRZ4/ois2HtZSzrKy4BsHWKr4oDp7H
kPo/NJZQ3WcDAf4SIvmpKP1y6+dBaWwC6PMbu6vnHcyNADBu3+BuC+Mn3lXuZQ6tagtl0DWZ71O9
OIyBx3HuBuZOa7u4aQHMPONkLMTKkMo9iz4oT0Eq0fvTGWvxmQ1L8YxjkQ1PZ9sqw8nRcEJHon4A
DlN8M01h60oZ8u7iVi8ItUHqfc49Yu9bFbbwrJXPXj4F3/nsEwmT5ji9hawLyJ607eCs4ib8aTs6
3GYqGS4VFuBuVaCMxTueR22znmOhv/EU53dDYbQ0OHZFvW4MR/zA7NY/ht7oU/GQ22INbMh/qEbj
JiJrfTQakDkRH9iDDrryuNgpVlWmg3c8+16K6ooChWRYY21M6wZ9ISsHSH9pQEVgXBBLWwtbjo85
Hb8UFndzfprYu2o+L+FQ7RBM1e/OJB4Q6gWB7RBJp2AHFi/kUGWlx9wV3e3YOoxrTfAsKnHXSY48
T/DGTnIYEChmTfdYpTFfzS4GdFE7lB+NC/+mrYrdrHFiQmRP4bCMY+PfWKGliaO3GZu5Li33hRqa
hxjVYCeI+mGNN9ZeOj02dVeDskBO8n0PlzVdltD96REkZOD793HZiN/woYefHt8pX+ErTwieZ2o3
BuQT1yRhYbY02TsLIdovDYlwEeDCKLZuEZszV1zO3bwI5w9/TrHKKJlZvK5zYz9i3weIGcY2b8Oi
B0MClce2ug3V4smGlo6Di5S1qy2RvIoiTB7rpI4ZCv3JvLc1XIF1j5/+YF7VxIZYDC+qYYzbpd2X
Jqir9sj2lPAWgJgD/h57BzoEldId4TO5VQSJPm1rFONFyiThq55mzWheLkonvvv4pbyqn1ZWAjVx
M+foLcJoOBhyI4ZFprvqpuVVQ6WsYdLbjiDcrZ22xQ1iUcnABTiHR7qTJyiwk0dnwaLLdlxpaS7B
90Nbek31MU1d0BISHvzANbXvf7I52TWaL429SLyyTED1LQst3iKn9y8xXPJ1j5us2hFD6Z7b2YUa
b5nPCQAa5GETixQ58UVbVledOedkAFEYtfdsHMT9vAjSziJN14tIXWV2ccC9wKKD6YnfQlv41oYt
K39K5+F928WLzt0r7ebbzqGL7wYPUkFAU/gI4vNVHO9nGzOKNeY00Rd1fymdmbCredXTu15ZZ7fB
bWQESKCr0m5Q3V0LcIITVTF/+SxHjddGwIoh8HHfukbg3TCmI98j9KQvllwaXMWi79vxIvX3V9lf
9Rp21xQP6kgIWB86NWGV06Vrr+ii1E8DQLViPVi5IY5zF4JQVPSUk7kpVjhcmvEmjZZ1jryWXsoR
ZOhwrcLMAEt+RpacQEB6i4i3tGZOmvM+uFZpluy+3jQzDaq5yqcNx575kpGEuAxLE6e6lnKC/SiO
9dLUOfkCOGy2VKPEFHlqRwz3AvMkzuBpKfocfeW+4Upkwb1gZF+7aymo09IPGuvxOPqTjfyylIf6
tYTfCiXLeoNGNkdbvTSNkkOLwYN6Jn2Y2VJF2jK277NrQamGVPGYL62ljt0F+/BaZdrzcYfeqN9o
CNvES9+pYTT1s146UCVFPi9yMtU5cabuMYvm0NsEkWVzXat1uRuGcLxXU98BGunyFeUj9Y577uJ+
tvjgrAMuVfRkRxSzlnoxiy9trTx5MmOta5NmBBbz8FitpErGlZ95+2Lyubei3w6UAM2+/UNmcfDL
4pn2s+6rER1igOpmWhwtvpnvizHFNiWWcFFTO/k2liRJsCQN43fLv4osVRQ+SDEIkKOV2/u5n4NN
rpd9tJHWHj0mEP0xR9uAYfms7duSnqYVNEoQe8OE5TkAlxQwF5JjXAnaAO21JXmO6a6tvhxETJrO
pdNvq0G5LxIi9T07Dcq4q5oDL1I8oRlVIrGvHG4tM41x3V53g12vRZbDuTXawH7OZop+FJjYb0/F
8nbMuFkmxvCFBya6K/EhzMS4DNQAfmC1IaiqzG1VRfuWAvbnMWh7bq4mP6pj1f1vg1nxqwvFcKoC
aRK0cgDg8d/Jz8If/A/HhqfltkvgqRk6/DGqJ15ozhE/IpGrUYYvM1ws9mtzT4VSqF4HSZtD1vK+
7xkUl8scUPykwU1lYNUTFZuhFeltSLVD05ZrhUa474jGV2s4CfZuGMmHbwyb17N0EiI8wWDtJ+4y
3ITr+Y7i4mSnlG1d0rS0Tl6DRpmUkq7xhq6B2JqHu7Cx5N5waAKbM6VPVRk7NwNbE6gaZ3hOjNHk
cBjSDQ4xNY8bFoE9+goXycQbyzeBuIOLeim3hw1yK0VUbyzmURZPdOBugm50IAzhuxoDg66UpHVu
NWYkbEzYMIwYsl3QqAHPFse42SPfRH1q79rBfPP5K8G2i5FX++GGtTnfLc/wbFSgcRkl4006AH8J
2b5U/PBZi6MGs8OuTQXr5VSrA8HiJQlr6I0/yuRpUPiRKI/wb4LeO3HmWDvTUPaOB37BH8Id0rHd
Y2S0xt7pvPrA8agoBBiygxpVvbUGwz1wL7TXEZ1KDxl67k2VoBKwRAJVwt74RAoNcWvUw48aOWct
vdn9tzL6V318hGv+Whk9f363v/7j+9d/0PPT/T/0Ub74b/qo6//hOhIAvuQiiunTQgT901lh/kG4
BqAI2A7xt9T8n1mf4A+2pYvLwUYnvSL3/04gBSzC0M1yEzUTmdQJ/hWB1LbwdvwDv8Nj0WYJT/Ct
BCpp8E/Z+CBb2OxpHWyqLLYAAkfk4epNalS09e3JwbNfnTrrmPERWOtsxlEGTu1QGIouj3JQh8lr
ggeiQDwOYFMvOVlxTnrRHf104fMmEJSjbCq2k5GYBz9s3Vcqp7P1tNRCx3lWrdhltbeYGgiFllV/
NsGtHEltkjNtenksUvyU5Cj0RrPMvSGKRNEEF0E+tH18pOIlX9cteVRrDoy9S94VWjWIkAwLK3S8
wVwam7IJi7WYMU/Y/srzK7yCn6yeHuFkxT+81iK2P8v4xZNjfkod5WzA7yVHtD99LMxg3gA4GVe6
xZiNty57ceOsexCW2Bl0mj3h8Xc2UrJhRgmZT4gG/cFXGdeltog3oa4sujQd9v017m6PUXznppH9
GGILa8zTZMlIPvtYFWZY/TK2q1dKtbv53PcIWC3GjCLubpAY3X2iQ2fjtazCyWKNp9HV4LnCctfZ
kX10gNZSk2IGj1HjtAeWpcnJxDi4DwQm8rH0ygciAqzcgjgghzgtty06ZTce6vgmDg0HINQUbRjv
XcqBFM1hcg4PcdKX3wo72xbfD9dE/Ne72S2IuZdmcpoBmCH0FWpLLWz2Tpc9hSEmwM8cXGpmdEdG
YPO+9Cn7i5fSG4PN3zbx0NyhlkMpyRPjq5ml3Lo5GVxDuJGxigUmczeu9I4Y/LSieoTKhbC4neck
W6MUxyDiIkC5GoM7KTQdf9Zz7A4I9ENEMrer7c1IrdJzEAA7jXLTId1Cycjaj1o0GqFwsNsKndJb
vLNpOKvfQ3o0a22ivZdxOG6iOErl2ZrRv4xbc+ZIRNddNFM7HXD3TIuSShjN+1KGn/+SnBlNhNOC
PFj7NlxFWKhAXb+dKpVTvIBKG8dQR7f56BLCwClOl2/WheFJu0Yod1OIwWDlBgmybyyIfqksRwxO
shhhmJwvMbQ4UwjGRHb6I8UtMRKf4oTvTQTsxDLrN2nZhE3SRXsGAhAS59KLJB1yZ9mVi04t5GJF
rGQCPMA0XnrpD7vQ1V/F6NMAMYYLzhgfi7ypmb1psGC9CEWf5c0lB/76lC96uV9U+j69iuh5ijeg
XpR1e9HYA7oIfrWBNKpTv2jwVPeMB7no8iMUgu+WExrLf347WInxFiw6fpzESPqo+et+UfmzoI8v
2aL8O9clAPvwcSnvTW/FdUlgRnn5Pjgdl+zrEoFtJQuFIgFGwBp+O2qnXHdS+egVbCBqk0jMikv+
spiw6GJi+8q6whjZXKBPssTojYqFRgKe4y230N7cqGxoGV1WH3lTg1zrrysRsWxHat2jyxVa9o+M
GsutpqpxUlKFAqMt9Ct0asXVxk1tLv9mZ19yu0tgu6dccjCgpPuKT8ZJL2TexEJtpnJZrwu6BF49
j6dZFWb6UXD9+u25PQj7cPC8XwHIuLVvQWFAZAWiqnCbFKhihEzo6fwxFdpB4ZR9eEvwhyqpOE5g
w8ugjOl+dJubInGMjVdOSM9msJM1OIbCmSgQ0QoD/h6hKtD7/2bvvJbbRtI9/ipTew8XcjhVu1VL
EAyighUdblC0xEEGGjm80z7Fvtj+YFkeSw4zs9w6x6dqeSWJVBOh0f2Ff6DiEQFTlkI0RKkGG3dG
Ea71oIX4XYbNpWRkqYdcbPgmd7C/aIueRErSO9n3etmKPC0d0nNhDSVcGDFelm2lbqqYBWEBPu9B
Jk1dUjidjdwEvD9+YAHDJhm0/4dEbpDNNzQ4DLZGE1spwnRba9PkEilK1aqV4trrWeIFsr5lvW0K
BBRbnKyB9SClBqZbzjAoQ8Q5JfvfWRM71gJmV3ViNlN12TWpvw1UX648+FvdteJr5YOE4fsOo4qS
jQVMFPqHU8aqqFjWGWxtSh2F2gW/ohFbN4sSaQ0qqo3TXQ90l98HBpJDLYzTs1T21bNY0x4s2AsD
y8xlrqYXCinnvd9MKxGKJeCetaJAXAGbHu0kOSCvxj9yVaBE7QaVcM7hkAovNJzarWOHOqPdyMuM
stW1ldriIbLV6L2UOlq4K00hrlJ6Owt8MbFAaWsjO61QHaBwI6ntuuwa9P6CSFkrFfuOFV63Uh7i
devPlqwAAE/CoZ4ufdNH3RHNqPS6FGGFzWquWmdNHSQ7LSnSDzLYfgO0H4J8iAiTIod2V54j1Ct2
VpGeRIbf0hcbJcifUm9aG0nJ9buQs1/GpKkB9xt5JiKElurLxCK3rejhvBFyHr9pbBWraKo1OhCG
UEJFZoxBu02+KnlT2euYakD8i1YoI6TT0oiTG6EpHwZJRLvEKfxLaPfTmd41EFoCSVz6EVoKvTRZ
G3h/JfG3nqbbXtIz7D3jJjR1Zf1fIMB3gAB0zb8f7m6/SWjnX55AAFDTdctS2RLoCNuwtH8Lck1U
8ExNQ+zOUhBPmyHCT0Eu9lCOSUveMYh/kd23viC0K9hSzy7RBMCOpiqq/aeCXLoFL4JcVKZkGxiy
pSFThxXP/P4X8GGW6rKleqh46PQZ18KSswTRBIVqI6bv/ioQmUVVqsKFd0krjTDQyeJkNp9jCq47
YLBvdRx51XUoY9GIsWZg7bH6rWeOuANXI7LSSqKTZ4IyG+uexm4uQ5zq0LH4ADICqWeNPcVtRN/d
BnlWvyu7jC2aPYeulxI3WrQwRY7JPNFUjKNk7VDl4bopl7qUtjTwTIuE2dCi95mJXzyy6SbmblE9
J+1Y5OLQqzZEsZ1Qy+1oUEB3E0cvrRVRjEOFRC4qiEk6+EPqe6ZfQuRXmg18W7h2UY+2l9dxpzZk
6TFd0VThUVYhZG7VUYAdrmFwL2oo3jEk9b46NTOn2o1m2ZyEuhyT3pqU5lx2HrXbFLmO0GbVxPpF
WnXjddX7fbRGY7hj0W0HrDXT2NQu4riZHUx75DyI3lEhcIuGfrNcDfYba4zxRFLAqiFoExQ2XUvK
xrBLZ4pvkTSjN8Zwftyuap113I1GO9PBfZ9uTGYgPt22Hdjtoq2wGwSaijHBSLEuLh08Coo0OrXo
queeFpljsZBqleAU8HZ7LsIAmXYsuDLbK1u705GPNcUpbOYMjVGQnQMt5SI4t1OW40UDYheCdjFG
lUurxAndKEqC18HUC+piUJR+HcZRui1kvAgXyJXTeCekI5Wgqyve4TgVSW5X5JD4E13u/GVQqhqr
2NAXl2DDa22HLnXrZ/pdWY3hzJ2Kq37dID0M2Dxt9UR1TRTuzZUwhgggcAwZftUbohCeATxNOfGn
oIap0QP4wMEhVx8S3P6SO3A+dHv01p7NvLVuZNpV6Ia5VgOiZNEVTV8vVTAeoQdgtcLBQAE7w5Hb
GIH2TQOpRlfETWuG5a0O0BGJHlWvrjszL0/qoaAUH6RTACtfDiHTwInja6oU8g/huRMfLMOmAo7u
f2wvNNUcbhzImNR0bKQtVojy23vwiebtoOjVPtDpzMziLZhzyWGeyTjISrNMMaTRS+yZ7GI5wUx1
R18qQbbZAOFPaQ7Ga00YWbXuHWKXa80SU33BNMuddRllzQfknOPD0PoVMkll44RLZpy4LB0et7UJ
u3wzIetLioiNJIJGqDHRuK2nElfyOKgOAzIWV+yO8Yh4jBKhajDifuM20UhOKotgQFfC6tDdajML
1B5Ft/LqvzvSt3ek2eTl+zsScv7tIWj3X9de5v97qr1QRXFo+bLqqk9iKk+1F0Bms3GQjZ4KFQ+q
ul9sS+DWAIxBM8EZXaPawF5BdtuEf/2LpFivbFXRLSgo7CRUAZQ/U3sBIfdiW4LPAD0CABybnwYU
jsP4cluSe9C0w+gjDFK1EX4dEM4zYXgCyT8k+n3ESuLwRsNl/kJLMAQx7In6ZmHL9Mcp6yNljpGZ
2gwbySJ6rwLbX/KMxF7e25XnB9mu1fv2FHZr6o5zvxuctepiWTJ4qcz6C2i7ddGake5kcE9rQOjW
jkcbft0Q4jRlgL4wOhKbNsAgwTT7CNZmby+aTLmBS5gQKaJujNwb9FTg+LWRsMkA/1zA+s62hjKx
uaBChSifsuqo4Gy0poih9NUX6JIpd7AXxApeu7LOO0jguE+8H4R0IXpw4MQRyCyNMlrKRabC8Ifw
b9eSjoq/gobEqN+1+J7gT3weDuFJ3IhkYfQdgPigYN2MQqlA3KwNX8Pga29jxziXKMPsHBGYC1Pv
zZWhxlfoLMALTQPh9tUozgO1e0uCxGaVhCuEUcUK0XhQE8JeyroO1hYsEV1Kac/CH6yHjIpxRpK5
aMfxvjXr5lx0xQU76lyPrputFVMPjw18VkeKwyvgNdWmBE6wDVHSW1sZgiM+3qfQefg1G+fCQydy
TwaY4qKNhkNzp+4jYD4LmoRvRKXfQqTIN5NW6ci1wNHOk/A2LsVb3SpAcpnQbbsKMIZ5HXatfWb6
4VsJFw20UunJBI0h7Su7rbw+LN5lsv+QznKDiFjs5DCYVpWPR4g2MIdiw78sTbAJUh7MGIq4WU2g
DpdJYBgrlEbQbKSahkhrWeLHq92kup6sNTiiW3LgDJR8Ji16Mz5gbn7RsW4va7U5jVL5YAMwQBML
YWwkK8tlSfCxaJGdkMe+QpltuEYmNzwlAlFpdyUfZBWOa9lP9EUiAC3FAPjIEjqRTzYkVyKdxpPZ
+GidY4jrNn57RmNZYC0SS5uYhND1DTNaybmZoWHo05SaxNWgVAMIAZSIhknV50dGXEMeuQv9UF1P
IqWyBVkE3ukgNjSi0dqnbeMqo37r67CTUdVA3UYMiuenOCgmhv4hj8qdXlLKUFWsbYYOvz0w/uIc
bd9LOaO+ZIyhcEPqAuvB8fvXE26e7xyzp69UdvTIjDpY6IVIaVFFt0HUaDWaBsEBDFEOIgNykNGx
7To3TuXUOwy1y9VkWO81oB7g9HDgzgFr1SETxkdeh+0w0l2atY6Xp3H9OgiCcJ0q3QPFCGUTmL6y
xKJHOVXV2t+SzkIHN8AAgKGTIbmZCDkhkWMOMywna8Izv8AxMkxj8FzThVyAH8JzvDwzlYgua4x8
gYxOvdcMhu8J/LDuSjl3zsI8sQhiKGSM4wyC6/GGG31j3as4X3aZKJcgenQgFY29nEJA7xVPlSeF
GH0O/mCudDlUL1MHy50yaVVvDLUGV2m9cBYJ9QD6/K22Rgwi3yYDOb+mR/paFUlEKJPfBkCElmjm
iV0HZZ3sEGH5AR7PCoCX8OIxHtZD11jbAVnOkxljhVJ/4VmSuK5otKIEoRNdGsqwSJT0Cq6rgkPx
3AgdW4o26k2TOJQodf9dygV0jYqKMin2tPIHlhMTeo0bWrqLgGS2AoUD9iH1bzQzfGM1UK+nKa93
OqxEd8gFFhuhZniV358VOI274C9wtcAjmuoTKoVIMTWrRCLeL8b6FoKf+SZTmttezosN+Im3WW3H
q1mm8WSopNuIxW1203DoRxrv6TdsYaeZV9QNA7dUfPkOz5R7+rT5TlGQViDtKLx+wMY6k5IdguLy
AgJS6WV97qN5RaFFi7BVAAa2qaNROcXxA2GrMemXGYeJIEryXu7E+9Dkoc30oNxVmZ+6fpOzK8TS
PeRnfxeZNLUmOO9wScxZ41NHDnchN8lFnIwXmg4YB1fRyzRtP4hOO8+o6iNnaVyHlo2opqSujZmA
rozUPLXRSV21BqSi1UALLV9pPZ6kA516UB19ky2lNkOHQxAaI9FJXwGgVqbPIhPjWdDn3RIvHYLP
GBWcsUGsAukJyhNUXap6HzR9slXxR5d8K11jFUAkjzRIgEPCMg9GbQGoJVxknQE/UyoPcYIfu4ic
AcC4tCnNfoRaoaGKQ0v+LpEBMaAGAEsspAQVEuBGbRCs+qmEC4beKN077Mrk6taS6U4Lu0F6oYhb
ispwGkrDoMijkQC0iNwsKgcdSKXMqDtjYrOwInrJcTull3LZ3cY9ZKQht6mgxBQs6TTf4MKCGSy1
0kWZ54LHqUXrdBhTe9N1tDnRgRwvTASOdlk1nlNEai6tCFK/wIF44fh+7VYpCrNB18XXqm2VSI71
OQWhjjsXOMWyJx6iPDxwSnl539X1GbJJCeCB8X4qcDy1lGCtOB5mlYhYZGg+OhJswiGgqmeUqA9r
Mj0jUnLEl5smXTu92i4HCstX/twRxTAPjwU5w2Z2nN6l5OXchTbZRmp+X0GDHBqlcBO5Pg/j6kq2
kTmO7YdaMkBAdzjihgB63FTSaHaPwV6N83MItFh51sAJARNg0Rllb/w2Zo3oAjo0TUpPK+hj6P7B
NiRDPbEyKT2EljOtFNOwPUkPJldJ4uswVK9MSekWOY2fheEPQK3iWkMNttPvVJ8mRidrGZS7tLrM
YTNdGWUNX4yb4mZpaVD5xGl+moOaiQevRe9qaYc9sp0B+xZIQ6tfdW1qoT4XiK0kjb6HPC7pYNCe
WKoK9DIR9olhlOu0SbNTOUACOsQ1ZTlEKKwqRWd7mt7emlKtIN/aeR16r+91fQLl3dyAZoaZRIl3
jdzpDaSm95iyKxvLd9plZfS/4rWRuGZpvu6Er3qBiZsqq6UG1t2awfa5AYJQTHnhpQYFhjbFaFVW
+wCMaAzlNVEHr06ANg+GA06lnehOBwM2eHp/Tm6EXclcu0a+861Vyggqh2HvTkl8VxvKiTF1hVdi
HLICLx9ibGIMyBCDZcUoCdEiVZPYEcHJAR/BKzkOjWUllJPWoL/RqcY5jUT6lLm6C6zoWlVHmJnD
SdpmlQvm80GUTrn2xdRsCHOY/fEobWUR3mXOrNeiD2LRU8RZ1BhnLQxaByTmZPWACiVP1FG1mYKC
z4KrgCDGNdTYb63ReKs0srH3k7a70hJNIFgQX42VSOFRcE0biNAUN/k1zoA3OXUSod1Np8ApYgNV
LgnJnrQhmg+dbOkXjXxldTI0KbR50lrNVib69bRmKteIDYYW72APr8M0uwYGeFMxD5KkQVqrMYBY
dDSzYFbdG0qxLFI9X3fIjKy6qVsrEgCuQsmw3cvXZgDXK+nD83Ks39amtq5KmkuExpu6yNgT+1u5
zU7ayUi34SBB+NOmh6yfvF5BU8pMmJ1tHqgueYXwoILRFpp8FJwj3MGbCS0fIEjEjn3mScH4pjC1
Ge+ShdghBaetXW61sIBdY6l4oUBi02tLvp699BZSgdqfnUqkAG01rIXMKoGl4n2BxL9QA2yEY1yw
/NGnDaJX2zoW78s8uELzDPPbaB+HzWkW5Gs5CM50ud9N0ngyphws8uDUvPBvoXnzYaR8DgQNjUID
TqFpCsLN/lwdknd1XgNSm7JTo+vqBWIBXHIciQ8liK/hVk8NLSZgUVe+qu5YOBK0KdGrlWqo7UV+
C5ApdVu7WeYDnu0NKih5Vgzu/9/s/pNTwnLf7L2P9K/L9lCNV4e6TZv6yWJ1fvc1YiHNTfHvfejH
A30int2M4vDXv+wfsgiqJLDe6L75Mu+nMjnnzi/KBR8P6+Mx/2iUFF/kpn1gePLGV6oMCMLRkZ5I
MfB8esMyX6m2IQPeoIg8vyCrUZn44gJ97xL8+Ower+WPP/Ps2O+LNm/mexBERf7lFYB898fO/sUI
X5y9+crm7EzH1kGBzC8qFc8ugoHRjWHjfILcx/zi/f+Ti/CjaYA3DO2FZ1WjPz0NXt58+9XjkP/7
t/u7Z/qRhKmZj3fgfvif4FB8fhD/zIx35lN7dpOREf7pznb2AGHaHXtfFUZ4dq487j/huVKVPH4O
K8pXd/YnPFUDI8Gj5zCr9stJ/PEvP9fa9EibNh43jiOeWMrP5vyiXvxiNsuvtPll2Pbj8v24IfxE
ixa7NIY+lNKPW55f3uyfcF5DXTdfNi/+9Db04jyxoPvJ7++nKX70DVZenLn16N73h2byH/jQ59AV
wnz68DFojQ71t2Lb733gKWD7+v1PwdpHnQQismcfnGPYx+8+fIym59//9myH/xhQfvHmU4D58Xs+
/funE/z6q59919NZPf1xEx0qTAnC8eMb46fDPN9nhL2v8al61kXjOX2cv78dylex9+dH+Icj7+v7
4ssolZFVReP2HjvyaVEdmpdDPy4uRw8dZS+vxmNucfTA++zDfjyU7eHp/OdpwiXBNJFt4fjhfzmN
PhyqZv/wNNjn8ed44tjxT9r8n/94lnNw6I+hyrFDu+1X8+RTZHD0yEVez+ldQ7q0T395XRVdlN8f
fil+/cXdp+n+xRQyZWvGxh/7rX8f9/ftffhycHQLSS2OHrxiCkXixRz9FCAfPXh+v6/Dp4P8LPfy
MdM4duwf2qx+XhH/vZXmdzwKjxz99zxdjhz+ep//cravmheP1yehnf/A0vA7AqBHHv6PNYKOHPyP
0GyO/IpNu2fWd4c0+ibG8T/wyH4fPHnkof9dtNU//5Ht7796YgG1PP3tm7WzP7Z/t/mzNey3AO/Y
teB3wDtHXpab/X3+bH38Lfn68YF/K7j6XOb7OuR6Kt9969+ex5PzJ+7Tw776278AAAD//w==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_xlchart.v5.5</cx:f>
      </cx:numDim>
    </cx:data>
  </cx:chartData>
  <cx:chart>
    <cx:title pos="t" align="ctr" overlay="0">
      <cx:tx>
        <cx:txData>
          <cx:v>Promedio Costo de Envio por Mes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200" b="1" i="0" u="none" strike="noStrike" baseline="0">
              <a:solidFill>
                <a:schemeClr val="bg1"/>
              </a:solidFill>
              <a:latin typeface="Calibri" panose="020F0502020204030204"/>
            </a:rPr>
            <a:t>Promedio Costo de Envio por Mes</a:t>
          </a:r>
        </a:p>
      </cx:txPr>
    </cx:title>
    <cx:plotArea>
      <cx:plotAreaRegion>
        <cx:series layoutId="regionMap" uniqueId="{BC9C1087-CD55-41FE-BFB5-6E6615B36041}">
          <cx:spPr>
            <a:ln>
              <a:solidFill>
                <a:schemeClr val="tx1"/>
              </a:solidFill>
            </a:ln>
          </cx:spPr>
          <cx:dataLabels>
            <cx:visibility seriesName="0" categoryName="0" value="1"/>
            <cx:dataLabel idx="6">
              <cx:numFmt formatCode="S/ #,##0.00" sourceLinked="0"/>
              <cx:separator>, </cx:separator>
            </cx:dataLabel>
          </cx:dataLabels>
          <cx:dataId val="0"/>
          <cx:layoutPr>
            <cx:geography cultureLanguage="es-ES" cultureRegion="ES" attribution="Con tecnología de Bing">
              <cx:geoCache provider="{E9337A44-BEBE-4D9F-B70C-5C5E7DAFC167}">
                <cx:binary>1JvZkt028qdfReHroYyVADvaHTEgzzm1qhaV1htGqVQiuAEgwA28+z/QvMDc9otNliS7VdVqqx3h
mAifG7m4JZkJJDK/H/z3u/Vvd939rX+29p0Jf7tbf/lJj6P7288/hzt939+G5319522wn8bnd7b/
2X76VN/d//zR3y61qX4mCLOf7/StH+/Xn/7xd3hadW/P7N3tWFtzNd37eH0fpm4Mv3Puu6ee3dnJ
jA+3V/CkX366vPf//L8/Pbs3Yz3Gm+juf/np0RU/Pfv56XP+zeazDl5rnD7CvUn6XKZZlmaSoS8/
9tOzzprq1/OCP0eMS05Snn3+wfkvxl/c9vCAH77P57e5/fjR34fw7Ou/v9326NV/O1oHm3/56tw+
vOTl7vNX/fzYq//4+5MD8J1Pjnzj+KdO+dEpeNW+NkUdRl/fjfiXn/75P+buNuhfv/6L6x9d9Edd
nz3nT3wtngs49K17/wur33fwbzc+esVvPuMv5Pr/7e+HqXa3v7rmT/A9Tp+4njwnT1z/31j9vu//
decT5//rxF/I+2e3z87qD/d+vP34JwZAPvG/fJgM34784t5BNoUcY0b77OM95Kz/6jW+H5HffdiT
IP3utX+huOVTuLO/+vTPmDLk3/LV5yPfBu2HNr8fnq+3PQnE16N/IZefTOaf/8f8mT7H/+bzJ9Pk
xya/7/Jf73vi818P/4Wcfmb9/fhnDnTw8OMK6NeAfql4nuaHH9v/fgT+03OeROQ/XfYXitDlZP7M
+OCnAUKPA/Qjc98Px5e7njj/y8G/kKvP6v5PLZOgLEIIo4w9Xa/T50RyxAWC7uHhRx/H4Efv8f0Y
fLnrSQy+HPwLxeCynvyfGYQnw12i5/Thx6X80rGJx67/ofnv+/7rbU+c//XoX8j7N7d35s/0PhbP
04efyJ52xj+Iww9f5Ptx+Hrbkzh8Pfr/Mw7/uZf+DSgUt+Pt7jOJ+Kad/v2znz8a2MiTW7+W/t8t
U78UmMcff/kpS1kqOP6m0X54zO+2DY9X50cPub8N4wMByZ5nDNMUMUFTSiQmPz1b7j+fEuK5JEgi
yTBKGeMUTBvrRw23IeAiKZaQ+gRlnKAME7gx2OnzWflc4BTTTGSUZkBOUvwbFbq0Xays+c1NX/9+
Zqb+0tZmDL/8lFJoT92X6x5eOaWcSDAmBBcc/ptJSMfu7vYa0BNcjv+XGftRb02odwSVZj3q1rpe
85ZHVO0WEfr+eKI0ZAWlaWZzM21Jf4ponJfD1tauehHcOrwKLmvS42q0bZtHM3TLeV3NPKo5rRf9
im+Uu8KiYUlPudioy6m1zazaOGwveJlW8sxSxLfjkU7lcGEati5vhbdrfVuTcujvVjvzNOe9jFyN
kx2q046E3uVMLIwXUUfbX4QRO1+MZnDuQ8NRoj/IVXbIqrLO6pOp6iN9IdralGcZR7pWMSyU7dAQ
NpTPSdXects2Vo1IduGozHDbqHFeGD7qR4bKfKWZdUdCb8Mr6lD5ImWI52VPhvkwh0ruwe/8atFx
qo+7kqU5m9PtxZw5ca2naWlUnExWX0100VneGpt82kQ9vcIGZ9URHQQtVZ813jZqIiU7N4kY87SR
6UvWl9kxrsbuHNPIipqPMShv2Hamg3EFK8e+PGJ0rsUxWZdJZcJhUozBdW/wuBmy6+3aFl1Jaqc8
pgM+wf2yXbh14cpnsR6O4+ZmfxZSyc6BWnbHseKlu8rKdn7dRN3mUrvQHFVrf9IM7fkykY2cdYvR
osAjWk9qYuynhoUtn1rasb2W61Tla4ucOV3XdsVvsBAzLaLVY6kQC31SzMLaWek1lHdUOmaOGzGz
sGfJYA8lx4QekjIk1THHQ7xKKzYitXgS6oKsnjWKDlJUuV2q8cPiygGrhA6rUVUb59dLR/iVpBZX
qiHDsquZ9ucsssHmXrj51cACNfkwh/5cZh3ShUxq+jJJkq4/JJmZTgc9aP92MWXd5l0rfKVG1/pS
VVtFp0NPx+p+5O34obVcDMpVXOhjKeusUS2qZqmMrqLfyY4PIW8T3Fxta9O/n7zcklzINva5tmTO
1KCRsSdxJDrmPo6tyUuPSa+2oSOnBKddleu2FCcSnveejXxtFBvWlu9WN3byoDUbZjUbOiPVtS5h
yhJmi7T3cS9dK89LniKiqgSbXcprftPCnDvfps69HaMXbxCb/GuL4Oxo5vF4oAi9jeNiLzLfRqow
rezZKhF8kF4adkPbrt7LaYMpZhun36Glqe2+n0qj32FWu0ZVFR9f9ckgVtU3Ub6lydJjxbsGNQfk
hZRHozdTIabad7mron5j2FBb1cXFX2a+ITjferkMhc10cIrYpjkvh1E2RYlXoYus2kijZD28mhDx
LN/GNhjFtRyup1oQkZflZrddT2CkqnQ2jc8pePuVkZxq5dzcd6oTjTe5Gy0TipfRdIrMSUty7KZ4
Vro1yXZlgyeeOyuNVojOtMsT3WCjfLPCY7JIl165ukokBFDA7NB+2RjEofMfZr2FV2nJk3Q3Dr08
96yLw4HVdsGHtWe25jlFHQpC1ZUz6w6HKVtbJW3A8QTjdoK0uyVDe9BbS2rVoXbeqkVVSwvflWQN
K3dDZwhTWUBuy5MQyZBPaZDL3lmYR3ljSD3nW9vA5+l6AbOwJvAZhte0+Z0v667Zw6IizdHWjdQf
hjKuMMrmoNl+QEjfy3radJ4sfKvywGOiVbOIjeTOUxZzli4VvLpEpUp5w/ocNz1pr61cqNu1QzKT
QrK0Ww4M8jgq4hZGq7Zo4npIa+7TwzxO9bBDSdNmCsIUjTJba+5001ShWGOp40GWoTKqcb25kSPq
7+c26L5w/dxoFbMoiTJOxvRFE6tU75NaoLkINJ27ApIW8a/X1C7NgbTDet5VdpCKEus/sqHC/X7F
03TmzTq+qKxrp8uELhFDol6amPetHnVOYh9a1UgcwVF4kPGE9GZzp4gNiy5EMklTeIqyF0JEnFyk
duzro0F6V+cjjLLkMthmm4+Qk6FS5WLL9jC4KsBb1GPzqjVC3Mwy2xaVUlFdV5Sw9jabWgKDvl1m
s5OULZ0aJjO3RWw2GlXLO1iTh3KkB2qNUY6ak34lfDk3qSzRzg+O0BOhw1DnIbWuz/ulCTOsIo6/
ZA11+njxYcptPWZEeZ1liYIFOIXsSPu03PmqbWA5bkX10lVkvZyt6IdC2rl/qWVbz0Xrfej23jVb
+7avknK+CG40q0IL7+t8GnDS7FoZZ6dkmkIqrsUkbT7VskqULLd+UrRLJ5ovW7few3iuXb5FiZdj
mqE+zSvdL1NBZiybs6Zc5Evk9CQOm+AyyeMCCVO1JIYhp7iqNHiWZ3rXhzLA8lz7rYdMVc6jyDGM
P5K3E9evMe0EUq7TGc992raXccVtr4YmiHPNevKB8o5cCzdu2ZEelqrdpTa2kOBl7JzCdTcs+Wxt
crvVzkbl/Vw1+0HU5bnH3L1eTeiF6ro0vElrMty7MhXvA0+y60mkJitITzGMJFgKYXgvPcfXbZKU
8CpuFHux1IGcpFMQVVE2GT1bq9ndyri4k3TGC87FOCbi5UA3Sq4yk/aw1kO2cjvPm3p55c28iBfc
jM1wpGWNs4IHYZLdgpP+LV+n3RAmXhdbo5N118es7s/HZO7URvwOrdWE1Qx5ZCy61NT+PO3L+TJW
sn8dEZUayp0JQQlm26PACbXKrXS5tNwtezvJss3nuh+6fCLJ4HKdTeZ1OSBxy5owUMXSCXsViGzS
YuYDfJ4h88pOa0ETeox8I5k5n2jir8ZVoC3Xce0Tfs2bXq7vsNwwSV+kA2ppLhe+UOIUqtv1SAzD
hiALEbuekpDU6ExiHjuFfVY1b+2GcX2SdLp6KdZ0PNGrI/Wbse/7WtnY98mRabtk3lXG4zG3kDv1
+7Sqk0uBszp918vyE49i62FqZemYs6ZNlxMRGj3e23Qg5ihmg2xepC7lkGd7sy8n3amZb2hXBh9z
XdK5zMvIXThMIml61UBlDMlxDScjWmzeJ3rValjY0BarhimuKoH1Aeva+zNnhqw8GmhM1cTqSump
M/1FFqt1KGqUbPN11eDursMSf1j6LX4SU5mkhxUlC1KwApju0HdjeqpxAll8ZdN7opMXG3QdUDel
Ub60mk46h3Iu3W7YSmSd62nGH5usFVcVX/ezcVVBJhvUWDs3KAu5ll5AVUaDah6KAN5iVN2lkFFo
QVvzGmMk0tNtMd26k8k6dOeup7x66bEnvBjGAR0Zsc2qF8Gbl8vEDc8lSYjbJxmvut1Ujy5Rkesh
7CIR4PLN4qk7b0JKbc4ZX7Oix1vT3mo8S0i4k3BCxaTbpgtT9dbkYjbjvp02tLwEI3OvIBXCYiKz
ReMLKuJmipaV8UVpcEdgIG7zO2Z5HAqaNe71grMTPUzkQ9+v2SWD7iE57xrSvAhJIHk5lQcrwkXZ
Z3jLN5Dwb8jSr2euhOBsgtYHusIyGvqmU4xiSNTrEOTBdzW7CWUvp52MkEIUH6eEFG5pr6t5Ynso
bZOjVPrDOLTsxjFwASy2Sb1ekJnFT8Fuc6pIwsN2ClPVfIJ5rUkxrJ1WScJXn6jVUHcC9YwwpwSF
DJ/4OumWV1zWkLpd79MhF10fj0zUaI/5uq27KhKX7vtmohsMgNWanajIoFUYW1EfVl+9HxnmBat5
We7KLTAEldSGSyUy7Kpjk0GiXZRd2izuvxXQHzWgd9ZFX1f6686E3/78x/mv2x0+i+r/Ov6wt+Ff
f13MIAxO/v7Z+a0Lz/aT+fh5x8PTex5Ywm83/Uunf+jefxPtnxCBL/sl/gMu+N2Tj1jCI2LyKyh7
6Kmhm/49jvBoX8Nv1/+KDOTzlONMwhSVDBjoAxf4igwkfg4MgULHz2ESU/ygKn+LDBikLUAGwAUY
IAc4+SsxwPI55QgRIAoYmCrB2R8hBsCmHvECxmGWMwZ8QsBDZQpo4lteoHlZJZVvqt2ANiisLd8O
KW7L829c8h0u8UAdvqUSn61khDzUo4zCJz224t1C7NBW1S56d5008uCy+lav4pxZnRV1O0P5Zj/9
vk2I0r/ZfMAgIpUyFZhkj20a6YzxOiTFAjkd6tQyua7kVJ7B3Lxd55mer4aQ/PdtQlj+zaakFKJN
MfzoE5vL2FbRhjkpXFK/wZkeT7pQbSrjtPsy877sXPkvPSppCjCKSAaD6IEDfcN5sOW1qOSYFHEN
y2trUFLQCnUvlmrGKpoSH1G0jPvYm+74D34j2CMAsgRJoThG6Ekss62hvGVk2M2NnFFh2Yhf9pZz
VLQl0dMPPPpv4xPmDscUYf7A3BB68p08DL4KmPmdAOaVuzrM+x4LffT73/RdK2BJIImpSBEIRd96
c4widl2T+t3UreW5NJ0uEk3c7o9Z4Rw6VyZgpgGZowI/sUKNo4HVpd91o4mX2UySPaAB8wOPPR2D
D1YkzDWZMsIh8Tyx4rBmwXRV2E3jRpXt8fLS0jI9cQMuD3/4gwSYwUDHUmCi2RPY2FI+8qQ3sP7H
LM2zCsrMpZ+F+sNWJOEZgQDD/jLgeY+D4+PaTbJ2YecWLIoETaNa4lb98eBIkiHYn0cJxaBYPbbS
+WBb4qCWWRKZKqgLqOqh+fmDViAxQK6HFPgAfHGGniSICJ320AN92A1D1hw1QCnwoRyTgf0gPTxM
i28TbipTCrIPJAeCmBRAlR8NaAiCn6dsQDuBAjQPaA1HJEHtu4rJslayZeby94OEH574yGIGo0Aw
kJpgzKJMPl1IoKCb5lmiXR0AvHaAoIoJJ+0+Jag5Yam7rVifHbZR413UPJwS1tVnYqm+liT/MTFi
RB8GxLevAuQfxgusjogzYO/yiZMDg7JVzP28WyrCRA57NWevknkT5tg1vXNtwR3OKBRMDSP7pfVZ
/7p0XSWvxnKq4gHqseo+AtzsTkg3rOF8WJdle8sJ5LpLC2tpf5KFRDuraO8hvU/LIuq8WYi/Tta2
AbDpAa7kvWWbP+qaxV0GDO3C3izOnyHoxoMC/LRKlRHX3lCYX/2RToMgh7oCqJKvsYZ6ee5TMu6a
cUpFAX20DrthrjNchGWJH0Ppm203j+XG3lZ4CKtTOu3rU1QNrL1eOOCk09BW6+nU8CVTSIz9nFdG
L77Q0W3xBW432yanhLajPBMstryoqmQ6s7XdEtVlRg4AjZB9JWVWh7xGwe0yw8tp17CmPm1M9E3R
Vm17s9RCNmopK4BuI0Xuo5E99NQSNuqFXdrWosm7ufQo3yZsw553GqiM7caeqHFNE7KjyyTeBOGZ
KwgZvdwl6YqAgGJNpeIs8MuWdanNhU/YKYOVDgjMNrVNgfjI9jYJusoN4Bdd9NkAvInWhE8qsMTy
wmACBTQJq7hGvTCjClCDs1PUrtLvEvjuT8nmM10gVhuhZkARd804LFte93qqdhz67Pcah+xaUkff
J3oRRuEmzrNaWdtNqmELWg6oJdipusHLehWcW96Fyq2fNmZgZZ5Y9XYamL+tEbJl0ddLSfPSVlPI
Q7mmbxng1UoNZcZ07lgQZ6nPshZ6CJlcIOD/d+3sqD5qEDTa+zH1scutS8WwI00TTiqvq0GNIoXB
WEJ3j5VoddjT+MAnZ8KtSiqBXvgh9a+DAcnoQOe0mpXxtUP52pTZYXY6pQoRYO9FCSsFB1Qw120x
jxogetuI9yNwnrdJH9M3wAbXrr+UM6gZ9ipDZdjOpwzbadqNgphDXdaAPaDlya4hZIQVlC9JvWuh
LFqUydbsddpObtn1SZg3VS8raU5lMs7dwYt0M/vWt1Oq6lEOJictH3BRTsHIfAEwf8HaklHVeVYn
isVItrNKQ1N9PnvcjuW7Vm7+oqoeZJOVVenHjXTuxo0rh0ZpG1f00FeuiQJOPb9PoJ1NdsZhcRUB
8jWq9KJmqpwX81IvduiULkt3YS0ZoSgeoXFWRFemyTHW842YmrRWXjbZTauXjh+vdGpfaN+zGUQk
Rod91xlQV+gi2Tto/YdS4XHF6DQDgtDkiU8J3ZXJ2KQ5NL+QiLTR/Jz0Pb4XtdtkMTFRniwpIV2e
aRHjnmM/JvmS2S7Nk9anoTofGoyTXNbbtAE1w2LZEyvLIqlJnanUGABFo050yFHN6aloIV/tghTZ
sMt0Aji8SR70tx6ZCNjZJOOnha0AFSIkmWaHDM/mE83FfDbPfgBymmUWBuWS+BWkCV99jJkcFr/D
HrFz7pz+YGEpi8qMUq8ABVZ+P7G5f009C9XBT4S9i5Lp9y1H9esNj/Rdt62DOJSV4xia2j5tCqer
9WWXATkDvJd0x2gLFh9kbKC2QDUAnx2PVcJVFIK96xYaPyxxsNdSt01TUFSOA/S4qwAsozde50OY
O7ajlpQ3iGY1ObNJFufc6TYrgdEIdGdZGIYdiIkweTqYFYsqK85Bb6hD+gmAQsdz4+ehOypZ1ABC
eCWGYz5P9GjuBJQ5c6+HN10QQLOFALiQR8fsva+n5HRrO4kVjRl+xzexve19u2Z5AxWGU21Cujaf
qnqxkD8izEZBWwa6k5vZAcayYPmcDestcJGA846MJigepzmcThTFa2la+SkDZZRBKoYqIO90vSVF
NXfuA4cc8BGIfBIUZUl6RYaRV/nCWlA7KqDFjZphDdoRSsK0q+2sL0Gt9kaVq9g8ICPbZGqZqf4w
jcDncgZKWA1zAzTPXdJk2O9siduXJYx5IOINSeYD6D+VUxO1U3/qMGsv2pnU/DDS1Mo86m7qdqX2
wyegZHQuOKvsXoyAX1W71gO5RELyK9CTlxedQf3duM7uskk8gGLhgL+A4ODhf6wwyNdqmZrkZlm3
+HbV0zjmQ0lg6PfE0Y8VrEHxuEMRgdpQ9m5WLvaR7yNz2OeGIjMpPI2QL9tqY16JUTeXgGdalANV
wVdoc9qpNM2SYU8lGZccPOGu7QpsSxGkOctBTO8+ZcOWRdUFy0yuZRLPwkRnsSfQ9F2RcW5BgQKt
WYPIlkZ+lDLt3sh6tYtaPe5XNSRj/Rp2FJI2z4QVArgpjZ9Y8JQXk5msP2OmL8lRknZZpdzGaVak
HtWzSq1oh9MAncu17DRM7ehTcYLXJHVK6Ggu8NiORvWx764yOoG83o8dTc+HjopElRtqQPMe8Xza
T1kyQlx0ebXCEjdCrp3QuRcCMzW0ZXgFOaelChb27EWzQOmVIzGn9wMiy6FzPtyndMs8yHxdEw+V
LaeX89RtIFB1o27PRQa8UVlf2uxBkU/ee9ZvbyckNpdHNoXrktbsgn0WPrfVw8oiNUjU2wzrlEkx
SWCOYf8+phFNRboykJhJObI3KbHkbkOlPZo6NoHm1xLy2kaT1vkG+OwCyH4alKipvmdQwl9AGYA+
MApSjOrh2Rp0IxgOhSsZ+oADw5euHod7qO3Y+EXpTErQ4tRUonBOKhf8bpQgdxTDPG6gNWyMXuGx
TG6SHvf4OCOLO5u82ACfL3r+8EXonMgCkyzQ2B5/ETpXMULh10qQuMcxG1uoifF0bKqZgHBOyvYa
GsxtU2nj2MukW1P/VfNcPGqhfEqTuAGZJNwUX+TOjIICrtIla46D1wjEmQB8Q8m1gfEqSikvOwEZ
LocqK3W7jWXtTYM5vGSLWfehJ7gf1VoGfKmXAdTrdqMlyMGfBU/ZNHWjCI0GFdsSwqtvFM8hGcpu
x/qAh5tpK0nImx6V01ECdUO9g1CFqGBbw5wWZRsIhTUUED4Usg+aKJszgPejlhqBnh/qvuA2ZNuO
sWTiOz+lTiturK5UNnoG+vuayDFfdVhfVxQ0HbKqFHaM6LwlbT8rmy0gdW3U8Hcj6IkX42azoOTS
QCEWJw8TALyffEDIDUwl69K/mnyfXXUjxsCWB2xCgVIyX4q+wuWOA3Z60Nxbu/9WUjUA+e0etVsF
YtcAWjx0nEDO1ZLN9hwU0ZUUVGJ/N3hNIWeQoW8eqauJz2rosFzWfxzEPG357Bj7aOtqS/NhwFyq
LxJrSBchVCqS2Srg+S3efyu00qpxcd8Og7iGem5CeTmY+tUXydXKQI+Z7cv1W93VB9j3kXCU2aLh
wgO5Tq2+T5fVXMzWh7eI+vXVZxV2qN1A8qopN6eY0O7DFrS/rrKyTPNSa6iD685k760FaKdC9IEr
E2n2ArofNOZZao0ulrohcy7jKqIibO1DUdIR4aJBwbya59jfIAHcTWVoEK8Bp3cf15L0oI3YajjO
ZglJuKUj744rHlNIm90C+nENuemcTB5xxXQrXrpBa6xcMtBZ8aTutpzWpXmPPVu2optWUK6Y56lU
AXfZhw4hOuVZN4OmbptpfQXzC4H+m5j1k+5mKH3bbAu3Ke0WmVPo3iDFtjNshBiGpTmjXvSQKds1
gjSdNPHWTYuc1bI107sNROG3Qvu2VdtG4sdqRW7MtZH43OAWnSaUxBveuIUpxFtiT0H2a8TOzJX8
KNuhP6Fs2wKsRmR6P/FoOGS1qjxLQttdVJHTG5a55UKn6ZTmWDTDpa5GWOAoSSjU1dCHHmnG+09Z
lawhT+ZgS8VhP9UbbbOSqtpsbFGeGj0pNwd6N8FIgG6kJhIpgUh1W1dtcpHYbv74RTIeJwMF7dw3
ELBQNXzXj3UPtdvil5toJpC1m4eZ2TeJ/vRZPAatvdMnIVagQC3VwqB1yeRYF3G0PSki7o1XJonm
qmGoL3dC2gcNq1qWBgRsmx2boTQfvtWVGw4iLWyxiT4q7Oz/Y+/MliTHzWT9RGwjuIG45RJr7nvm
Da0qK4skCAIkAJIg32me4rzY8VCrW9Wa0djo7tjYkclkkrVlVWREEPh/989dBPSYrCQ8OI/Kz7ib
OpIHiU4xMSWgkvJ+qjGHxHDpvlUUKEnmpTUDk9Jqg4tzWyM4qj0FytEFET7EdmCn391m3rbbOUnl
3GZhVaWfi6h8nY2CaOzrRPineNDWL2i1qrdYAPg68wEByAy35BSU3cxmsCKws3EDwyfn2ZCm5HnY
RHLPFYc7xPGaukLp0Hsf6GK+2AiTLqOqm25xo7hhh4O6v21Gvb5vhvXPNISTmQW9a39WetRDOTtp
P0MLDGmaXWfwNmzSFrDb2y5jyTL+XPGWNtk8J1Th/oI5bXUQPS4Ea02upaoPvzvUKV3nD5qw5nXy
IwF+R9dQ2Y1kDcn91CYBTh1WtbtfzGorI6gWvxvVHti9FZdXyJaTHcjgwInVFNdDG2NG+NW6TnC5
r2WX9A1WMaUIlgIxUV0ERjpa6NXMj9A5+ZSBJcD1vDiCJS4cB6OyuTIxHmR8GbqDTvt62VFnxPbS
eTWIkS3pfZEDj6EWG0ZKvyg2nHuftu7L8wZuchG7BRxNRzaD73ztgyoSkduy343scU4insd64x//
wsj2MfiHeQ36RJQqBBcG3mHReFnUir4I+Vivw1XLTAgrfaieIwAMMnyyZKyS4JnW1t+KZZqZntps
cmmTPm02bvU9NIgmLBiHjV9S/NNXCpP72HRNXePm0OP3rYscKRjMvvpqbg0uxLQXY5y3orUHXy2D
g5tMXJPPawppc9AqcqeID0lbJon1bCbrJsDTSB3/TAIuBC7gJF3zduOSZW0j8Z9spkDmWOv8a0+t
44vnjz4u9GFVL77bokdu+jTOLVxvnfmual9d12gGXVCtVzPX7mfAvOCH5RIXXbAK7EBR6ozOBoNV
PwPSI2B503iSmSALn/OAjxPL+6Rb7mzY3FmPRJi5+0bfiTVMuqyeJtbs+5REb27y4g68AhU1vjBQ
i/Ma102MPX5tohLHAMM928ItP9ZUJOMb4VPqX7FNxm2pon7FCWjgXpUrJfikskALmejL/brh7IgC
v/V3UE0WICsi8XiInbACfdJzWc262NJ+To+z38x6yuK0r6J9OjXOrbiywRZmFYCJn1Lg1suVCpXF
4tmkp2VYmH5ybTOpGy5DlRaxcAKqpu/Vxp6qLY2nJ90sbpAQ8gAEFlsHBTAbmI2me+nYVp0HUG72
qln7WbeFL+gU3zABMBc76jAnVZWxIRq8F23pZu5DO8jlIzVJIm7qYbFztVuCKqT7qEkY2Cu/DvzT
QONhGuEfd3Xq4Qlo2KqzRMitvR+MTf09EZay3UThZoN8XRmDD2WrxuGC9KLBH/srMmwzSAdENSo3
F8HIDJCYZLYMykZgIGiJbJhWmtZ57ENX+HQTyAx/B6tJ483ym8WEuzTaBoEFOnQM2F3n6WbHgOgo
XDVCfHkuNdczYGRJsHEtXvzZBDza9uukMC06VakOV0IIMTJuI4qNG7+AhELTju1qge4Cb42fcQZy
IKHeFoGk3NtuauYQxA0OUIL3u4v7H+kCRBZi5yqhENpY9V89aCScItDOZHwmkjJx9oOR2z4ztYJf
xA3eg8+WGhLm0p9bYLUOZ8sILLIel6d4VnEyQUKD7o+sT+RTCGWBiKtcEVKHBFwf96YuW7xIto+4
rEz3guh8AkqpSbamiGQ88ufVYwGYVxCt47nTcdw+OO5WvBOJCxk28qlKz06tm8MSOU2mB15dQfsv
pPRVADgJzGcSFhNmOFll42gJPYQqAXLTwVoJgEyzPnjrK109wOJRYVA6EzLR7utY884dV2Ic2Uo7
J65O9+1EgAvVmWnrEFpxF+qpgoaMLYkKoIvG+mO2LglO2MwNg9BXC9UhbuLZi8ekK2t8/c1WJrSH
C/27RfX3IMDf3cvfufVfzfxfvf3/LdjAX+IXf8EGkIaCJwan8c+ehf+UQfgze/+P5AL588f+jhDQ
5Dc4rZjVAhJEfhBG+BP/SB1c6IKLnw4cPQjhdMDo+AMhSJE6YBTi4cUzTcP4Ekr5kyDwf6MphXmL
lETiw/2P/x2C4L/yG+Gb4W8IIZoB5/6r1fQPv9G6Cl9yyCJPdc3D/4nfGNPLH/artRMnJI7gOgdJ
AmeLhv/0lyHb4JM+bqey2Rg8GyBcBYCsoZRmkDccB+uBeIu6xsrXQiSZQpuDGz/3TFXltjYF5KCD
4nGa07jvytCy6qmL5u2oeEfzRKjlMHczaHCvWgrLQX/NDXnCYLJABE6CoobC9aUrL8pXpYrORkWT
Lhc3Eg5J6ubHoBbXnjHzyfQXw20azYsmLrryfDpet976fU1nL5fecgbxOpZ1X0F4hJm+H3pBQKbP
ELzSqC88JiJAePy7FyxJBvSt2+Pk9Hcu8bejrjHfCUwGh7EJ1K5RXnz050p9xGMb9RkOSfzm+FJk
rDMbkhFRbyHwcp1tLNWPMCq+WW7f7EaS0gz60VsjfTBEp9jT16tkEj+rLXjhA51OXTck13MFGD6a
gjuh2AGvesuUc00ZwCcwkJTyWLV9JnBCLiHQRKw4+eBc/7nR6NjMNT2quPu+Qtoto6Cx30FPm13g
Wfo2m0WOpaw69onrPb0DUphet5HfHu04TxAqWTQ0+7oKj5gYQYmBFOsonKOl6jtA8v6o98bXyXCY
3Qb5aFNuOfLN+Dsgvnw3RSzcbVTraxXb+Ym3o/4mYzG8c1WtpwSiMIb3aovJDpvaXO8m3y5HE+jh
pyZrmJvFikfwat/qxZdzFhmT3hi4ubvU8PG9SqR5mZc5+M4bJ33w7yJ8HA0GIuuZg9eP8o7Z0V4v
GkSwhFqEu3P0w7KO6gg3hbE/tzYYiq31xhjLuuhvx3VMTR7Wi0KgIAgbht9nre4nQfAFZzp+TRAK
CvcN9o3wGool5NeeUfKY2nR6rQMpdxqoPm6ppMVE7EGozkN8HBOmZbufXJ2UJF6SUgYy2WF5dW/Q
8bEbY6zR2GNnoOHBCHk+q5jzutyT/bPbqAWOm9bBdVon3rtv4ukGuYrAy6eUQbGZY+bqTPcfm4qw
PAUQKDGc1WtZJxu0qbpOi7qL7hNMNsAAtaO7LkwwUvKoTvGxD/WrGeKyolIdxyjo7qaghx0RSOw9
YAShK9tvdhu8U9Ut9yTsMOpE3gERh2cA2lvGSfq0JtVLB9QarwXuHST3QO9bkcA5XYUqRS1+sNFL
iyCMo1NiENWoWOofO6A7X123gPRcGVRmPDvhI49HCKl8bq4VbKOsrjZ+8rgcD34YYRBh4h3jByT0
dniKg3jctfKSXEkZemHSNBMV807IVcjDuEFSWlL9vkgmz51xSPOMc67C/jrxx2PvYeODcQLny76N
vmJXSYVHZe2rn0Mo9J1frfayF5z6Lfic4+YeIrHJpiF4DahcSmaRdPIYviNLWvF9g70JHnt6FM1W
IpAS5bax7lBrLGgYqIOMRu0bkqGHyLk0d0bpHI6bzWwc3Q9LW/qmhVcWNkqMRR15UK+9aTqS1dw0
sToTESE4QdgnVVGU1c58E6z1XxsWHlLX2ixWER78EHmJryDFIIfZWGe9XSEuxzGc94us48dm3vfg
CgsKKRIOxPykVAebuI0z4nMY09FGbzWNy3DFIz8M8V0Yq6Ojy1WkRNFKVaSmfVj7IduIKmMV3/mC
y6KK2PO2kQ3HAP9sqNqwqARnf+5ZknkD9pDciu0B2mxACrHpDoRyp/EJL423QV+U6bbtakZojpyS
2zVSKz9rgnhtM4LSJwJmH5BqXne9eR+ET5JsTcjww4aVD1jNYrXJhkpIXozOWzUcJWV3g+by1lxE
EcFUnZPRbQX11xiq8rS6A4hq7wxludcZdIhgD9NJ5SwyUS7WBMtHb+l1EFn+Ndk1gLk8VKDxUgep
GTtOQMsAFudXw1eEMraggx7wGWH51zmvyfxzhr9a4O7rv9k55TDXh8H8qLTHd3bYYFzBkaQhIOC2
gXKvR3HuKh3fVivBd2Dw4iuJMMnjkmz2YIHN52s390c69OkxsNzHL8W7U0CHBWajbA8i1RXQgonk
00T7MpREPk1qu3g1EWSnLvRUXnFYm1xGpqy1vzyZfvLLZjUgHgi22B9JrZqXUDQ86zdklDCHt++N
HcxdT2Z4D77rbgAEdTkMVSx8yaieCV7wty0IhyKUbnWwUIfqBm9VlWTI3IE8S6foCsKegRbrVPrq
BwBuK5ynMH+QSiJw6n4OMRZ8gAfx9DjNk3kED4lBWDsxPjViMwVPIjni4TUhzVko2O3AFCkTWTV9
phKtd+EkU6Di0r4nclBAn7GwZgjaTHfelpgjoADOCi676mpmHHFCT0EhZUIgg9NEl81eYTFVy4yH
ePDNyMqIbUNhBUF4UgwiLmnjHavQeyaWKVoElMUZVEXobmSXjPqpbnUFcRLe8z4dOWIZ/TnhyZop
u+xdQq8WXDIPuqu/MFadFFTmcvLrO552XzTU82tquydEVF+wR/n4GURMuNd/Ce0/4RyA/L/Fw56J
5tb5VkDZg7ALnL/e9+C/oPdg8wQhs2eVH7nC2+62aSpAdbzLOvgRzk05LetxNoJ9jJMPSbUbosOM
7rBzj6XxFBno31nHYjilw2T0R0d78Mou9QqgcOOpaZrkdY4CUVRr2190WgIFS7qc1Ho9wax7rAje
zDlE2G9bg+7R+tMTH0cYl5YHMI2aV1pXxxSPhWivFxKe8cf8ULHAiTf30wUa0NGpUZU+u1ZBMmXj
Idri6Qj81cvGWX9UcojuFrjxx1puiMf20VSSBtCKqMx34ATNY7otXr4lW/vW9OJDsireD6rZVS5c
fzSBDne9S+Od4Ox7GGuGrWsTZSuU2Idhj/tivZnn6dZfXdFOLMoBbL56CeCCWYzplfVr91GPzXcE
0g6Q1Mt1E2s510F7xbcPIwAvBJPx9z5icz/+tnD8W6vY7fAlH63++rKAs/+ZyP7L0vb/PMX9L9cx
ELIBuun+u23sH6Vb/1jH/vyxP7Yx/7fUjwnwV+xcFGg4tqE/tjEU4IHZBpELPvb3f/LHMkai3wCv
0oRhW0tiEMm/BMBRG3ApyMCmhvA4wFCsPH+w7H9ZpBGF//v//jUAHtN/xp6B4LEIMw1YVkLwV/3T
hkQi4mPt0XMJ09wF2YTr+L6vEJjcDe1knmXgb1BASJ288ZCsQZ5WcrujLXeFZHVftAjWX112oi8A
WuM+Zr06wfSL4Fg7WYY4Ea7xEDw1pI8gnvfwU8w4/bCiJZnR2Fqabgx3bbf4t8GiHSSz+RITX5f2
va4v2j7oJxiqUpWQYqK7WW9Hovx2K2CPAZwT1cJvQcilZRxWw1Nok2HKt9ZZwGkbsg2DGo6UaFp2
lLKpXIJoPTR8mHMJRTWLab+dJtN2uqzIHL0kMG9uhLX62jVh/QIeaRlzAU7/ep5r+PMIzb3JanT7
yJ+Tb7Tzl6+5mrojxXG905K7o4Wm+JAuwVRMbWueI39bTkk8w5Hf6oAdA4YLLtpKBxHlZvVGCMEX
cl9lSOnYo4lGj2Vxq9ZbJ0Ei4Die5SM01+GdTsszgi/iXnbOXUu+uDNdx/qm9Wr4nN5ST898qusd
V1aXrZ2jRz3VwocEB85ntiO5bmm7PjRzMxcw1jCC0P7ed+1wj1GGP4UzJvXd6klxVQdgQ9bNbJ/W
LG4qus0siF1qiJbatctLtc3kDroSuUU4kg84t1KcSsa0gc7go8R+5sG3rrC0UnmKyEquEGnzDiSW
8naq5fw+hDZ6p/aStscM2u9xByQwUMhAS0IMO+Fom3eN1yM9utIQpqg3I1qlWzY9uzTob9aOs5ve
8zF8IYqAKRC3LhK6YALW70jPs+Owht864AxlWGPTyVzNr5PRzXtRS/K6AgGL8r6eo9PQNvYes/JY
IEq+rz3k2B29SgPAttTEqljZwO4REFRH5O76XI4Q7Ly2qu/ZNHhPBnMfIq2ewWSobJDjHeivOmPW
+36z3hF/LM+tuoTlOMCG50ELGIUVDmYyuyuTKjxTbc/P02LbUx2DEMyiIZggA1cbAnuTup8CYR9h
NsO5dM4hiOzFy1LoCuZ8yRGQFxkbSXDDdB+kWZ306WkEflllyGBFLNOwh24A3AT7fuv1WZugOUbp
5QObkT7ccEdeXgpctZ2YuUvyma502JmKwm4wNhKHCSvmOZ2W6rqRoHSQP7LPFrQppIR4as569DXW
eHAhTx0i9HMWIMr+lizk8m5W5NvqeWFdhiMLXiXCHDc0RsijEGbo6nwbDJJaK4K0fhPeT7YbP2vY
HNeslx3CUO0WPdfaU1EGiBZm+dIy94B42VbgF/avolHLQowMadjKDU9z3M6vpqqh68bBS8WGNQ8v
YSp8uvkQyOk6HOOwJH3b9zuRYl08Kq3G22Fqb0Sj5Ydv8NjWKmBXEifZ10DFcjt4kz0TCDg/F7Ol
19jy1ylrYs/tvZq0DZQeH+HxQWqdJ0P4aJB6TOPmzQh+UWHgG0fiVFGqdxJb2Ag7ZGS5npm7WUPk
sZN4guwVe3InYYTfT+hSeLFr7+PlKcTn2RTZh4oJr4IEqyg+mqb5qKjf3WpAXofUCJKnY6MOEJeS
IwlnmcMaEUMZUbRGWG9ZSm2cd/RgMF7HnNGojJQng53qbPCoEFh7Sfy0K20KnikfpkswLEoWAIq2
kt19vFZfXrXiTOZyQGjP0TBfNWY4I/rcX0d4CATY0JoBOvLOuhLj90CIbeeUmF7mWcz7oMYHMXV0
mDIcEeQhwpECoBGot59pcEGvsQ+EIUlcEcBgu+ubVORND99r8t0VuJtvKZRurL6Ib9RhfEy5P+0R
Ww3uG9DrZY+w335F+PfMQo942RLT2s+JqEmpFj+6w/vTYPHGFP9YG2SIwG/a6NGFwp4vJ2vuu0va
l8YVv2KJVM8rEHuebxXizAvYvZ1MpH+fdBi9c4aM7dMY6xptE/AUij6O1Q7jeK6FL29F1JAjxLA4
B00wwnMeu5jDe/PbhzgkVO9xIWlEsScKQxO8S3WL9EN7lFuIb3YPb/M0EV2/s3apdxoDws+lIvUO
LAvf2yls9kHQjnWpEQXL/KqOjgBkkNO3tENWqKOHKBihFcxpv/P5tBYJJ8kZWc34nsxxfda4Vt+6
sPVXnIJMfUnURuwIbqJzGnXbFXwvjvtXDSCLPMB0kP5APcogXB6kTCr85g1QciciDPC8b18noVZE
K1t9txmEbDN4WAHyijOoO2bJDU+69cmkvftirIlAK9ulPWLLlcdGUwa0YGHyKKs4PtbVBOqyBlH6
HV0B0zNls9mvuAae1yZcc2Wr+gRgG7SH8bbl2I6yh2cEyBAdIriKVYLQJwRX2NNQ4SD6BF29HBaU
JwCN5/tLiAKful3fvba+ov5wNyRrhIgTH/d+1bRPaCMTbzNJppdQmWOil/rKNO57iGPjodrQPZK5
ddsKPA3hjlYD90D+EbtmVNjto0UZAjl5laRB3urGnQisuiOW8GA8Ni7GCwFf1I3fWW/GbteJpX9Q
rFtEUXt49fkyr8GD5YrlPpiWz1YC2ibBulzRWjxtohGIzIoOImll+DvbVBsUHLlv/0Nq4JRZOvrN
dYcUwzMOleQGeWKH0Dpv50M4BHw7pNatj03M6viDy8ubDJEOy4nz4xL8+XZNlmX6joh687gCp9OF
M6Qt2nVM5LEKWH+jvTCc3sHAyYdJuXGn6KABMY0iKdBaUywxUJnBu6/C9AlTXG7mH+n4Y0p1t0OD
QrCbuPEPK5y1gmqWHMYaeYWCo3znLoCr96ST6X4Ei3veSM+XkgagqRkHlZkhEobt0a+2W6giqDhY
vY3/rDHBTUOG/PYyQKRSvndGVKy1T2YxDIF0EBUPq/SAqzSej+FsjE02Y5pBCQL6HVRopxU7m7NH
nIb8COLTw9yFwwWidpCm9950ndKiRRcPGb3w7C9kLqN6JY+Lgi0ddRbnE7yEZD/2oy2oaNNcL4s6
ROCx8QhGDR7dxiCg29FvZuRLHg4E8UQc+5lXMTyzCS697ivWodpBCVhukXbyzkQDc4LnuyXrHbe2
9W4kXBoY9b0w80GlafMCh7NZvyWJ8p8QQrG3SRT6Z57a9f7fX+L+l8Rw/+UC9zdjDPPmf7vBDZP+
P//Rf/v8T0bc337wjx0u+M2Pgwj/inFH0b/0eIW/pRGFoYaN7JI1C5Fo+3OJC3/DTgVLDekmJHrD
+NclLsLPIRHJQJtFoBr+PUctvOylf7G5EkYYvrlY5IKLiRdclrxf0p1JswSiFcyWXtjHJ25EiGej
B9BXcMK5wswv1QXpQUGMXrfm9lJT+jksIz9ipljQbFMZNNu00PTf8askOxEE7mkkSj/z1fnfBLp6
XnXQJMUWGr+UvUBFvWyXR4ChSPyHIGDvUNPRvRld4RkbwqD9Ntbt+JqMPlgojJL0hQEbuOHYxeCg
OFCNaG/QR9LDREc3DiAo4fYDWV5Tgt6rvN+G2ish0tmHAdakg9Rr/Z29jEr9ZWjC+SF3KE/AINW3
VT6uEiccuyAmf5u4EJPWu85Hcoy01771QqhD7GPuUjRDXKa2WENoyShI0KaoL3MdVHGMeC1QMZAe
fDAIA4At3nq/KZcwIbT0+yE9xQwOE287OBcV3/oooyNVD0Ewxld6SacPWgETRLEVwvdx2oxJBkb9
MCUDa5B13FZUrPWLyaJFj7cwatpvKUbbEkplAJmxnbo88ONqPqA+JoFf+OhsN38ZfDGbEmUY9LAN
CPRwNDn8WCNH956vph2Tsr2GCLo+cz/14Hoh6ZEP2xQpjFrcvxrrkeK/aeXloybNQ9tP3nG2g3cW
FqYcdv1oyxCeqq8b62nUQo2IrbVeWjrYqkd8pWQe9T5OrZnjnKwNLpdx7A+gRKfjpODtLCHYiD1P
tUY6DkesAZlYkHWrXA46YL3p2w7MOOaF27Zp0xsZgWEwdrBzptFZtHOe4sdwVPSmQj/cvvfa6LSY
UV5jU78MkbM8hGgxQiopHXoUqgHGLhDroT+NJv6BmiV5WbymP3iBXgqOlOyxC+V6bmzETzDC+Q4O
37abWIypzaWE7msu2DuISsry1dj+CDk322yFFg6EE9C/ZnXtdZkTzuJ9GZ3dYwCTx47O248IGaKD
qwhBPQj1bnXTihP20OamQUFJeUmflfDOyWNL43kPcdRezWpUx3kcWzQxtaor2mFqHgb83gUxKjpP
QIJJblCGVvbbyA4s2Maycxg1Ya22H2ICf28JF4i0UA7eVss9hhHYEiCV27vWreGRMhR2oWLERpkF
mRHtR5T1XaVrN10nUd0+V6uwxwYlaXs7rBwtI+j0OmALewxUInepN6efxINkzJHq+7GQVQEzGu4o
VvgS8Ca+5ikfn6tk8XaN8DDaUIo8G/fU8nMj2NVU8gz2PMAvoXsDscdl6Cjo8BwxFPRUSXK/Lai9
41NM1oJtfZzsJ2o+DCpG9txhyESV3YDmKi+K+ocwpU25eeF20410KnqDTxT9XAb9aMbTByypP1tj
/hY7NLPNZp/PP83QotsHkT39OeEutVlkSfchadOM2IQ0Np1GfrVai1dU3/mPdVslRw9o+gsmINDf
E1PQXqakWpLC8fjTUh/RmRbNOGgx2/oNJThSsTsacPPMw4vmnaIY7KqaI9ClfLEhBSglxvMa1/E+
ma1+Zgv6+bZpUWfOPXvDRj1dLZYFN+gwSF7B1M9nGU9eChd8Ie9zOkDxQqlPDu+u2etUPbTBdOiY
O03WFZFGnE3CsXcTPhcPf6WY8hYtahV5sfCbQkQ/6exyznDqLKl/s238EID1Gl3zXYI41ktky0CJ
790S5kE1HyWNb70V7pBMyjWK9rAsd8QhJ2Tx7zCC7MzWOw13tBiTFdaInguh+UMskbytUFfXrdvP
Tq7D05aOY/H/Z5LL/8PHr6MFujsiGoCs+deIT/5ruf7vraJ//5k/phG0w2LkSEkMwxGDx6+Kcvgb
HOnLmJKgFggdlBgT/pxGyG8EBWJIkYOGAQpzaRb5k++Jf8PPBCkjEToAQrRt/BuKchr/c3kHvSja
AHvwItEqgN7Tvw4jRiEyDasb/utK2Gm+KHsmRO9TBhRH7j3DwnLWEXmb00R9C1oPqomhvbutW5SL
Ik8t9yrt5HfRJvPnMC8rkO8mHg51v111gB0nEA+417NODNGJCQ27pgpGwABqRqVjlq52OiCzDNOq
WeC4FXGwblcj1IxrlViFw3Tu76sEz1Feb830No/9U2AQv5bgXA/1uoYg1M1K97wauxThu9CdfBLp
Y4Wl5HOJUwguccSXAyBQu8es8IwTPA9nFpwWj5KnbmXbToPu26GuchcHUl+FkQrffDD5ed8iGJn5
FlffyhuFvseUkncEsBjyqwT1C/Dv8siz4dXSDm4Xetpeq4lAMBpCZorQpfxIgRQCr2Dxp8a7XyR+
a8umUs1hZhPqzUzY3YckrI5Mu/SRIFF4aBjKCDPfpPVjOybLY63mDsuHaj8YhrgfsP4oEgNyK6WM
1hsPp/xX0C3eF0Yrve8GvYvUyjh6xuz2fdaAkwf8fg9jsPmnACmhKwwVzRGlUzgxWpTD1TiLPzfj
whILTvte1fSlRg2kV/XojasOQ43KDA5v9Gqm5HuztmFSREBEaW4d4l8IBBm5Qxnu9CEAKGYonYTo
6GMAuUE60N1Ga4sbmsxye+9dN9yFfrue0nlTEPnnLtmvVY8FEZ4p8jsITsTq08NqBcmlh3CQQdAz
VYGzuuW7lQzzuTcpaC3rcD2PskNjlePsW1P77mVuPZSm8vSOqG64tmJCjdI6mIMMmb6F2p4cKRpm
H1F7OiDEiBhXCCg7RfEftnF8LQE4oSgWFn57iIRsTxUz4zOSlexttMNJhVGVr1Apz96mvlezegJn
KbbChgLUPWahqC0l0lMIHWM9fwIdMeetGWBoT2kAlXf0JX81dlle8eVKjpuZ0DOI2BKUcM+IGgGp
zfxf9s5kuXEka7pPhDIgMG8JcBJFUbNS2sBSqUzMMxAB4On/A1Vnd1VWf2VW299611ZtklIUiYjr
1/14HBLFM5853dxDY/Zdv5nFgCdVcjkC5NucDHbZNx4IwNWhLrMrw2iRC6ycE2Ps4/zUVMI9d03S
GUGOvvegOVGfbpB4ljvd0eKrwZz1CaGhIouaPDS5vQDYaox9RwwuxLs/7ntTI6Q3+rK8nsZSJ34J
H2uDC6u5j0vfTE4k9dI3r/Caj7Jx6oeFwFHYEwfesCEaAq2BIpB0jc/riBtlqJdkV6gITR0gF5jU
DvdL7B3JpOznycLfrxHSFcVljBLtLe/zHckzcZZJq84K49jqnh3enMGXD0AbcbClmt+RHog07bvu
jAOSOnngsyqykisYxl0W727bHmNCgyf81e0HRFz5kAhCIVsSdP7RHZbuDkNBd4VFJGazDJzwxN9O
PZBWLHcWtJZVcdfMmwa/y1ZTItlNmbHwH7UM4orFJxypSC6BqEk2AkhZOWNyKiGnWd1tq6LuPTOT
Zd+OTb01ouilkJ65q/os5/I0duKQswm5G5TNghrP+Y3yMWnEttSjraxxh22yDhxEVufJS5ckxdZv
WXrUuj9+LxQ+YNnZxPyJdxK2X+mhDhAQzAFDnyNAWjn3jgncAEYzgZWtmsMqtbXQWpz2NBl+lRAl
TjD1VLNadtKAldQWuYOEbVnpJgZ/d1fJEXeKMgftNi9wEPgqdQjF5COxJJ4yngOohYy8aH7EbDfu
K9dKTyVxo+cpg8NI4GW5nnCIEjXK8yu2CdneirjIEGcy08vMmvHGdxNbhXqGGXyoq+ZmYOdq8FtH
jY06hLVxbBN5P/TYSbhD4QckQa4u8dD6j61o0sdoJM/uGamBZuo3z7UDKBO8tZqD1m5Zo1uFuu8M
GbNzIc3QDz2OIRdrpZ1N6SkZRb6zGj8Pl8gCVoUkBZItUdvZHqdTV3jRJuUdEaRTvL47vS5kLceH
V3TLpgdladjOQSUWJE3d0xGeIEf7CQGxajCXMFPFuHULchqqxQ2eV/ivdXdqt13X92E/Nk1QkhfY
Q+mIDrJO5VvLuxOCop9c2amOaN2C9Sss1zqpUTR3EfiKwJKac0gwym1dU+aHek3PFDj0D3VVF4eu
LefbCOYkj16s5x0c3I0/GemD0edsAISdBelQD4c+05c9iY+aeXRq0flj/CUbLW/Ma7lEMe83Rmib
tBlzsGOFTlswyag6WWfC9LoE/AO6OuEWTIQdkxz3YcLnZTBlIzMsmtt5EBEWWqwyYdRP9lY4BXPf
ouuEutQabPLH4bol5HkyTG0KWpVXL5rGh9ZlZ71LLNYVrqu5R6IPy2EAkofiaPpnOeTqKusMoqd6
BB7XXOSFcXYO0T2MTSV52OTkN7h8Wxw2EB52hdYsl8Wr2Fz40twvhTfuwHSQ6xuLghxOrqydbjD/
BUiu3h6LICAKIyEsEBEGYQZCp9iQ9cm2cpiGLYR0Z99ArD3W3jQ8590y7kVtZAdIa3o4OX71hspS
P2Vlrw6GbqmXwYV7aHpletW1Q/oIouWbY3DKZI5W3li4tU6pVRDNgN4HNaUbj2XWeSGs9guvtMWA
/9aUDF/EMmJsVmUU3ftVbG80lPXr3HOzrcWKjqCNbmC5atPK2y9WXIjdovfjSZVRn+waUL18Mjt1
sP1eHk22GoFquuZ7BtTn3cxm5BWAreWbbAlIYYtS1peWP+XJtDP5xR5TNFOyyVvJNrk1UnnSskU7
N3KSV6oThEVNrbCv0Yzqc1bWGkzeepzvU0fvqp2/KhSBLTDzYjcD4WxWLIuRo/JdMcgU4aqOxHWT
FeRMlpEdZ+21oIIKCx5z2+eBOfHg2ID4tZ8MLeENGFW++cYNwrtXXdccMmSz7LBMifZVQUg68WSU
r1E/Aj5otBWSwycs2poC6pInS/6g3Gjt75qtdTgf0HAeuKDn+6JOkzwcZ885dkNuWYepI4G2uj9L
IAMyuUHqMo1txeESuv1Sa1tX015kzETYqeiYEfbeZU2c3bRLLN9FPSx7c5QARCWBc8DgPIGbtmgE
AaquuK5nvq1WoEduUpswRyllc7aJBLq7mIz1F9yxOvzvrH2MMSIg+TRIRGVp3iemKE49foIHFbcD
JqKi3TBDfKkHI+wMpd2beRQ/JLATTk0cJVdETtgNCqfCYC6yBsx0PXJJX9aQUxVfFHCZ0Bjzeb9U
mtnh3sVrjP/gcVawNG2PML7pYDeOXAPGti2jg7dI/R4sP2+iGKSxkw1yy6oMU2BqtFdRZCMAZLEA
1tpZ9gHIvDrWSKvv0qi4s/k+dBON9bhnpzPIIZKdWw785KZdlZhq1WT8pRDfuSvNB9ZDyweQ5Oqo
VhWHPCrsB3vCrbwxPoUemeqLszE5vUg0lkcM8KRHyQz7r2rViYZPyUgSuN+5q47EYiq/ylZtqcq1
iZUJ6sT6hzg4qwbVrWoUr577A7gNEpVb6OWN+BSuIhOSLBFj8SxXXSuyMZZF7qT2YlW91Kp/aVXW
7rpPUaxc9bF2xj2erJpZsapnzqqj6Z+SmkduLDRXnQ0wTBfKT/FtWHW41LLHo+ZN5aHvHfutXvW6
ujVR7ty4CtSq5g2O5RHzR+GLV62PZWmMz2UVAPNVCxxXVTBZ9cFmVQrZ7yMaNqt+SDRQv66XVVT0
zAyBMV21RmzQ89M0+MnZTXjozhjK9+mEOlktw7JjPeUeQJSbCKirjjl798TQnUCst68DT2mAJgDL
MVGvGmhCbejX2onbS2QtsueMXtVSd/aSIHHng8E10MFSjK7K1hmxo1/V1kiL7WuqKOr7kbeGtck/
hdlBS5N93sbeVQ39xN0WnyJug5zbrbpuqjfpHMh1rQ/WQPwoWO2djNSVl3Jd/yuJfJbjPj+Sd6ze
alwCmH3bS/7pHJiYX8sdci+GAmMaz1mHc1jgNijlOAdDzl3KYWRcSiVf6tWc0MgYwt2gqtBbrQvg
TZYQJtd0Lz+dDVq7uhyM1fCQ2B56mipVup5S7TcA0y3waWbFT7NEksQ0AkjPs6ywsxxxQxZPvEyf
Jot4kMZXe3VelG6dfMk+7Rj56sxoP00ahBqynaXJr/2nfSNdnRwGQbkLpqLoPA5ue+pWx4fH3MUg
8GkEoVNDAdFZ/SHTMOibxWm0+Qp2PAYSRgjIBEI9KKF2XO+6U7r6TNrVcVJ+mk+aTyOKRmPHlfdp
T+G3FzdmTUgC+62wQbx8mlmSvFnpVKvHhezc8KCvvpcubr6kquxvNEhXQHQSgb09xSqDXTXdNcJ5
1otB+5qurpr+02Bj2CPIsNV1k/X4b7rViaNVeHLchk/9blidOiystcdode9kpNueytXRI1dvz7S6
fEwV1SHmGTwltmbvMQXdtVwW4aavFqEC6xqigWYG+WohGioV8Waq8f7G2RnGOTNXrTn2Rk3WeSyN
p3ZJOr4AP5L3aU0ih7/aZj4tS/ytvZsV2n83coe9az7NTU5eVR/xp+VpWd1P/xPW/iqsWcBN8Vb+
38Lar3V3/6X283e57V/f6afc5vy2almmCxXR9QWFxv8xcPq/kaaFR8jWzcSvuQpdP+U2vgoMn0Vi
DmunwYKQf9tPuc37jR2d50NChbbp6Fzy/4neBqPzl+WfDaTDdQn6IbyZFo+AP+ttykui3reoHQEx
vXSBTzdHxjJkjR1w7BXmtiwKW2KGbMlzVpEzi0vTxm4TdmUJtKRvF9AcSAfQOOsIvA8zCE59jGQl
uVM/la3cuXbFqdZ3DSydtOS6O7Vdf6ePsuBm1hRauk8wws+HZYBDgvumIQ9j6477VZ9wzi+iwc5u
VrX3Ooy9nYUStFa5I8EfJwHPe5IktVbrNc/SdLpaDWDxRjW+S0AIJXHhGVjA5Bapkx7MJLZNwAOW
DqdAFsaOlbweHyBRDOA5Glg/OHL4QM4qT9M9kSsjmPy4gS4hcoQ9miRync1/6cbHeTD7ox3H+Znr
GmI8lrU7SoTE96QRatqMQhUfg2W1t6mDo4BHYCTyvez10gL1XWM68ltu8kTd7G7vLSv8a+4Fdztz
SRx5FdFg89EnEZEfHkPNS504OHk8z2P2b7qZX2L03IVBYjLdpyKZCMw7algDF1Hn4IQRpf5ma7DM
wrzSknzjDAt0ohrsQMWNfI3/qdlS3E010MFsQVlVcpvp8mdnSHnMpuQ43jLEx8fMi/m/oGutvsZM
aQ8D0SZeX+4F0TEaouYcMW0kazrRuF8MPORhuWjpXS7HqguAXebavmx1pz2kBnU6BKpHgY7WqPiq
J/HosKtC/QoFEHVySknk/DA1a36EVKpzkLeg6rj1z64T2ih58UYzalpkGG3QqAadcSt0EofbQDe2
w2vjiwarHDd7AunMsPYmGdqG46ed5ifA/pXF5FFgQp5tm2gLZH8nIyTO9hs8jdv/yCNb6STe0UfC
JQF12eWpZlxXes58N6mMeVgOLs6UKfJsns7aTEQu17DIxll+azet/gUSqtmx9BTTm17ODcicNIdX
hWGDEd7udBkAtkv4IeYEJKzIk/IVYieEgUa46VXiJ2kc6irJ9HOWowReM2/wiQAN08YhsJj0rUUc
melgSOB+GdZsfzFaHwEPTsKeg5X8dd1W07eSooOvHMILhmCVuNp20vDv9HbXvi75nAIFXJYmP1ij
Bmo/KaEVaGM/v4gq66uDTgLwB9gj84vRKMBPIGaMbxEpTGPbll39OBHlsUNu5Mml5+ixIJQluFNl
BNwsSA3ZvgwkwJaQiHtVBw15+3STRgMEDV8RCwxI3fEOmgc8BMAnaQbB7Prm2BnkzhQGDJtTu5ZY
rOofBPO5qi9RbZpbUzW1wiZndE9lO5lvhW+yy5L2pL1DlMRXjLDSJs390gpGG5cHGq4uZ7FhejUL
TTlaVGBsHYp59HaCcpJlGzda4xDVi0dtk2csUzdZM3X1DYUa/BViz2/b66Hr4m1k0SQDfYBE2kmg
HX4UBOHVPc/7jkKSJlMnfGIErCr4DueV/bilPkfzj7nkqswUMyN7gvwKadtYeDAOPGBvYux08el3
rAGlRck1YjDW4nZZwWqgDZzvidC7symVHX/XJrB3QReN2u8g6v/FMf6yOWOl9PcH/M+G4T+GMf71
RT/PchMSPokJ+kwgD3Mws7n6GcZwfrOJDQvOZQ/UNkfsz5Pc0AnNmwCYuf/DBiZa/5+T3BC/kZVf
Qxzmmshwoar/g80Z89YvJznkeYpvbMH3FDZU7l+yGBk5OGDB3bD1Eh4hm8qu5F0U9e2F0iOodJCF
8OTJZsbNAc/dIZVe9Uhpdju/RJ05XVrbe7Japg7s2L71Pgi9Obll31wqrfQfCY4xjkiHXh/SKny5
sswOlx1piyvW7eKVBpSE966T1PvCKYdXspW48LQGhlvCsuRBk6q/a1wNHitFef6mGuf8qWzG5UOP
SSrnyoeHNKn6Fk0QtKrKOJM7RQtd2wqRbKnXcCCNEveKXYnjfqRKg9xvWYc05Zhh3DX93awII+4t
K3LfLSOu3yZH818SOG/sxzoLnbrUSkfbxEaR3ZDt975MzKnhNNiriEWmEpNPqoKYfRUGgMY8Uxez
AKpghCE9hpcaV/e16UbFW9n68q51hja0GyN+alXh7tKSPilrGMS3Pgf7ISM33+O8Tk7NAKUEdrEW
MOmMbWilxRDoY5HhDdCyZxjtdmiKLr0BcEuhEBeIrWNFaVCMaf3OAMeLOOLLsk3PP7MYRQgcY/ED
A20VVAzE32AfpddtZPD7aaZP1w5yzonmMKJ9de7zxo/KA98gAifWFq+aZ07PjSmXcS2Iyh6gTI4w
Wfs8P06LyL+zJkKpWmLb2BerfAXxGCWLfCeqVrUKXHWRWyezUkxRn/oXWZnmMK2imL/KY7QnopTJ
VTSjVBD9jEExx2KNqBbHen/yYs9Mjj5a7s6OKvPa5l+fbPJVlEsaD33Ow6hQgLobdjb9axaasc1K
D+1zvs8/FT7ya83ZWmW/2u4Gm0QdYqDr1xolSwiEa+6kWyVDHxbjzlplRMdAj6Sgx/qiPlVGttLl
GwMi2mO+ypDTKkhaqzRJPlIeu2VRBy4N1f30qWFWtjGeeBVLsWPFQX9eZsn1IT+YVGGtMqgGk/qu
qNRFWzXS/lMuNSZnDo36rRXsniQA2Y0wlBfCU3WuMkOvAifGIGHVXnKKWzBLvl5fc1RgsZNFjncE
VGq+wVEir+LS49NIgPDHPA0qCYzeHO/6zrMelUz2rCcH4GFQIMOs1SYQMgNFm6GsnPjCElK+k5Vk
UM/N8UOjJOjKz5LxAV+A4E7TS6sJ9LbGRm3VLDKl4Ga659bU37flAsnHFbp2w/lp3NaUpj31+kJS
EYqft411r3oHIrIEeo5vIZgnz5rBcMNOO4+EXy5aK5t801ctlWW+VJTdtHhHUoi5aH2NW29KtYbp
NVzHoYfD3uK+zb6mLOEHtQL0m+XJ6YNoq99iUSLe6OtpBgOTLOTWFfQXoY5f14PktC8cS31fZq/6
Ng2T951JynqTg5CsQoBcIaHnsI3SOp02ZmPxZpsa0dkB3Eef9R1B+m+9pCSwnmDHTWXLs2Bp3DTE
lZbsk6atv5tVr3D2dnH6uuCMecNeY98WWJgakmDwK/Dnefip53qtkptmvwitLNYuo+lsFxQRoNj1
SjtABQwQ8sXZII/7BYAdHw5av7x+0zKEfV2yWjssvR1dF0vsQieQqr1CPsm3zAjGlW1j5w7lMkHY
t7LM27aZX716k0hBPbHUqkfp3UWp1zzS5vrdTwGPYUNK53KrMUq+DrxFL2nmq2+roHDU86g6TLlp
fIyEbK+r1HO++TZSU2QaZ40mQSMocWMFa6/A7SRq+9zrvNJ6O7kPST8MYd0utKdGCyBT4Fbc/zCa
648z8+oNVjIo0yRf8R2k0iQhnixewTZDLBC9yCjtbEjyh7JpNeC4IsI72ZSZ82AZsHix+xfTGeDc
9Ia5lLMob1UfqMwfQwWpfQI3kRYvcJtf0hbrh6a158rexwOYjj3yoHVd0tw3bxtrMe8wOuYpzx9j
nrbTkribWJrLGWereCjxuDxNea2sDVVaDLlw9q/0dnRvXSyuR5jc5bbHqbYtOngF0mX9yRngiEOq
S5DjuRVnEBz0kHYyaFOWuCGcz/Kcdfp3w4qiIkBsXbwtfKpin1WexbMxFUfD0xoP5Uhq06aqa/12
KNR0HU29ppDn8KtuPrMplEBN4QwyfUBQS9S1tIz2zou7U4bT62ufuMlt2o13dTHdVJPdbh2ZQxFw
l5Zo2nsWD5QbTrH2uljOk3Lzb8LrjRsP/sQWsgUFBdDQ8cs2L3NS/xCGv8tad+VakXeI3NOQqbuI
h9JjwX8kr3NlF4zZ8+hs2YrexNI51VgxtkvHfR4tcuJ8iIa9RKsK2wZc98DYc4krIAjTVAf5CvBO
zSsT+iGeN8z6BhhTuFvE/qtk28t5PEyCpSbYg3xjkjMJClcLE30yvrP7OBA8vRiNfjM4BcdDZh0X
VVxT6nomluLsjLbXAstC8h9TiqzA/WKywESHhXSNRFvvba6/kJ8I+tFwz/RCznvPZl2RpKw8BL9v
OlF/MKYXQzxbPJTobkAb50ZyAejcbGyLP7Vf9HtVpzNPwUwegVIeXTapre5HgWYOGS87NMLyzk7L
e30E2TrofEs/T9liAhoD8+dvJx9oLbLsl6Tpr6lnZBFVvwzEqs4WIalN7i4Vsm0png2aJc/M4vap
GP0XnCLHSc7ySs6KRQcioOynO36BmzEd8PhqaIiuMKYvsSM+XHoTOGrpJd2AvK1fzJzYozTSBnOH
LW/1WKmeu1qm4NA0fI4542+mIiq+GVJr16KbaW9SWjvgu2KO6jaJhXMQADApoyerixBX50sdE/Ms
PcGG3MlBvg4jKAA51Hfe8jRCA7xAujPBDOCgiYuXcsnJLxl9tImI329r9FHsqelFoDawN7Saw8wd
4shrDBC3Rlry++WjNM3mRp/aR2CPzcodQUCuvzjwBr5rYK4PC3hTDCqnPqEeTlczyYyMxxAImy9e
QhsQGXnBZS2y3UDhI7sik2aF8FLYXsb6U6uP1hGP0fzN6ksFnMxCiq9BuLh2TXXSPAbUaUgYCXqN
gdUVR05iL0gaYJVG3AZQs2JAxvMPJKyrZrRZrtjDQw2LMmC/tmkyPii1LY+INdxHS4L2Go/9LoHW
7dBWIbgYbSbH5JkyA/pmHf1lErA6jMZEWBgvrqmeFgGegw8FCGTRkbEa1SFdqis6FsExwdng+8cu
gKR8sTD7+Mu1iHM+c5gtTqrw8V0uER2uHe0FrtqnufGuyVcLU8DEBa67pUSCfYr+YhfzcaF9d1Ok
C7ddmFLjpD5m1yJy1CfHRRP3baJpBDr7r2VRvhOtPriGKnnou9Ad0ToJTK2HHJG11OvdbUdvKAI2
VddxdbaaHglNwDJ+AGA6EYWda/NstKM4/k+a/i/SNNosqvH/LU1fp+XXP9tEMXiuX/JzbrV/gy2y
tnYRUGNVSIPbv+dW9zePEjYHxycDo3DQkv84uQqXU4/R1ddN2yFk8m8N2mAUFtZn5l+QT2G3/Y8m
17/MrSal9BSZYdJ26d76pcsnjrRpWRKLD6T5ShYXHSaN3rUxvl3bx//wyvwXYMFfki6eCcjEtGiP
ErwazjpC/yHp0sAEIpnKj0JDRhRjy07ZaWvjyQR98/c/yl3/2X+ExzHb/+ln/ZKq6VJT1+eYn2Vu
3rgDbaYQPvw23Tw+apvL8ft+93g+7tzN+e75y+Xxcny52h/5r9fO5ub66vAc3B2CbXD39Ru4tHDc
kdrdXAUPH6c4/Pj4uPPDHw8ff//v5V3w6z+Xjabh2rqHN8T3f+m9cmqLnbgl1FYFFIUe0z1wg11y
5R7//scYvxIjeFn+9HN+8fdCX5YFa221FW8+CMyzuaOIZ5t+pzn4KE9EJK/Go3dR19n+73+wEL8W
NeF2FvxJ3FWqsV3d+eUnZ+ZIJsLxp62P0MnlxoZ3ykpwLkSADjAScBjLvl+fm0XKndzx3ediBoHG
6OfWdwgZXF3yGRNqONaVQY8v3fZawGTXvDbMCu9K5j73YAvzU9DMjspCRWsLfSNpm79UUy9eKDoA
jJs0g1Gd2GcYr0Lg12o4nFdN3GJtaExv9tzHDu2mYkm2uptFUGtw5ACnnuCVmzk3jM1iWNnbNHHv
KHW/1R8a09UEsvNIc30hqmHclq1mv5cNhgSzGnpzY7LT5+KVLLMLsq6fzq6QdCF2VQ+DN43ofm5s
N3uocZg+TyWLj720SUGHOJPbesMCeVKhYpyYgj5OzWhP/1EXh17UGe+RH3dfdN4+xh5/ZtRusiom
S66rlI+zzJAv5srvrgkqaFcU11uMJUaKCuPAjdjRo0JcV8xud6VKf4D1PCTtsUBOIy0GR4QlFCaR
r65KkrCaCYSQplXji5NHxRTYkw9eJ3NGvcT4RRNBCHyUW0xne5V78EaUhZDUHccmQA7B20uzcRHP
/NWACk1Vc+Vl5Zzc5IMtDVLsjBfoEHQ80g8wyBMGr+EyeFp76yYFxkXCKBCs61HpX7mHw1nt7bht
gywaGebB72rRpuwiU+3zyl+wplBw/k62ZD3c4dJnYdcmKwulq5k6B26m7H1mMflBMmRY+xK7XR6l
riwB9HiKbvpZ1/xwoAAAFawf7PmgY/yDV4Ht93bIIu9jzEDckW9V/kXOy4q1r5f2uVOyRefWnOQC
5zXKQooje77nQB9TWGNrw9NoDFUaRoVyt2D9Ez1Uw0xvvUhL1PnIacrTzLLcDQAjiW8zC7w5oJPc
RuCWXAO3uDTIUdNWVxSEezGjB3HZM5njYxsejZqFGshfk1Qv0S+/DQzCS81eg9v40E0TTvm5SlA5
EuSRxxygDMXT2Vwe6hlRDteG51o7Gcn5xTFizQ9Mqj9osM68JQ3iYiiQ4bHl8ZKwJnv/I5FXV51Z
vMInW8l7jWlPQW6Z9RDCVNdef+f0unYCazhNOAwDw6QmGMKA4Zx5HDaQFzqA6fPcYezHJJqyrcfg
ZLAaK1AIl06VsMHsxsITTi3ZjeaNGCj6TFFDnI50W0WZFPEudXuUv76JuvEK7ojQnoTohlsQY1m3
ByWJX3Eax4IMcjrT3lTJZqKybpqLK0nNt02LtDdfuk6PjUPRDP2ViB0qHfwRH2AYm9oC1MVy4pGX
qXfe8ly36VJ20XRonPGGNxFTxrIlPZ+z8fv7h6exboF/Ocz+9NT+5YwuiTqhWvDUJkTUXedncYyO
w2HcOZfiubmxj93O+P08+ke7if/fU8Ys+A0sAH/4W/wF2nubjt2v17vfv+bn9c7/DZmNy5vnuI5r
EzD+9/Xu70p/LfBRviN8Nhac+mt65z/XO+c3thIeuWMou4bhMND9k+sdWeJf3jyWZ2N9sBwWHXgd
MDzw///h1hUn8LgrULCwhYgTcxjp0qdZy2sxZ++rfuwojoy8qtsxjwM5V3Hq0iEH3PuBmhBmF6Wi
CPJ/RRa+aWxz3JF0re7iyYSKSfcsw3Xp87CsS2vJtxXoomj1hEGxXxxjBHwbzS3A1859zi3lPsCZ
7c3tPKSQiTwxzHvHRvoL8lJkbBmgIUA+tFhamBPe5YPRdR3Eo1rq3rHycjbWnqa8icprHmBB7drq
1NMX4AeN2UT5jpRrjeW0wN5/mVQhkbM7Uogb5vH8Btqezh43rTFXCsqdttEgVg8Rt196EnX1moN2
/THZHIqryGqP+0ZbqEMDsw33VRAfScNpjKqC+0oGVqBw8ukFLTH1N5qQ5T0vgv+DBzoDPpAh673w
G/M2skAa0R0/sYxBYUTlEK0dY6GPrBpI0sTtf9NzTkUbvHSdGQwceWVQAv4jAtVJHJNRlKCyL15W
nTnIsHzb5TT+cMy5+ehQ24aAjauLSBlzXfdUbED57GbD2Pb+tEQIy/RCasDr221RaGoGvLPwXE4L
c21BF1xRNnYrAERVeabrLKUs2Hs6qQUcrEgaxsBYatORTkWglSc36Lrq5C4T3UEjVWewS13ilGhU
XKwqGU1W+Dt4PysLgTM+8hN9q2kwxd6F8sW+jkuEEcqBUH4nby+myv36FyL/kpaxs51Y7VxwhmjI
PTMl9MAl5ATER5vV3qZlQWwFHooLxP7y2s4X7brnf9LGCczqDPEVK4KD07Q88YaQHKamSRUqVw/2
/o6YgTnbhVO9mOMy3BNc0uJQTIs10UlilPQ2mqV+FqM2N9uhK7ioYZUhUyx88FubxMd/EMaGNV23
fiOfez818oOpKhznydQXB9eS6YfD0ZXleOZ7RnWMopQaTL4+9MGgd44VeAMcX1QRgrqc5VX/ZarT
4mKQbGP34MTVhSSU9zxGamW7FYWX7eM8LeJtKaBsVWOU1oFs2AQ9JdzbbFQzO3Zu28YcdjJt7WlX
4l8mlAxpX9skM58hnLJFYgUUIi7Ltp66bo+vp19V3UIdrZHwdjjU9pyg6hmJdsmXlsjcJlb+5G75
9GjJVccegsDu59P0f8fMv+rmPzvidYOH/bov/r9VhMP4tfr2VX4v0m9/Om5+B2GsX/vzvLF+E3Qv
c29ejWm/G8Z+rsFtcIVQLNgKsSU3/tgxbxiESy2+AjnWsoAP8g1/OtrgFdKXzvZc123XJ2b6T04b
rFq/nDa46nzW9Ji4UDbYkq2D7h9OG5cOqmLMuKrYXmEivrfui0HXyLPU5tnbVGXtLpTPjUydxAx2
BR+KU5F38oSfEywYean4UkXdyr1yl7XLdfnBJAP/giNFXWueak/Yb9TB6opXUUXRV9a5ybFiJhqd
pNwSz56vlsGUIzBht3mzu540G0jvLWK6dlmE4XIutQ6puULIdyIG/c6pB3fHOIhjmgGWajn8dW+Y
UWzaGdD2e5aMwgkQ0wAqFKuBDjJfOxyyphrOE+RceHmGP3wtbVTzeNamG4eGusMwm0wXNiFI7PjO
FVxqD8jvQicM2Z4iBV9u6S/O2MUv4HQbUkNomPjPif/os3trG1P7EXvY22F/C4N1nKnk2UmN+Naf
xoF5rpnZp0X5eCt5JtyNwt9zHf6RVIw3VV0iLCrJGQB86kkfuvqDnNNEQHJU/XNXyOa6aSychDhW
r7HUS7IR0Ny7LYON+yWeEp08p+RqC/Wa5uoBiw8qreU9x5FLzVM/WvO1743LjzH2unrTjnTRbBx/
SUhjSPFAPp8YbjtqD6kWsXWPqfeTYd4ur7Mx76VVh5Y/0WbHtGAznpmZfxAYGRVVZFP+RteLBo1e
DncCBFG6WdxevxODy8k5JrTOuuObBb3qyJ5dP9R1LJ+WUlqnpe0lqNk6Pvn6nNzqVcUyPPL41fQU
eHBIt9RT1qfBkFmPNKaydcCRfcFBbwR1EbdUN/fyJZ9t/d7grn3CiM96OnITbE8aLURPJXV7cKbk
d7P7MkNq+lbnevPUa0J/VXjPYD/1bdTSIBL3d/OQWN/ywTfftYqKNhEZ5nZRNj041gLVt4URFjh6
Pb+gMGe3tYiHgKwl3oSYdU7QroaFiHqnk1pNDPoIAABPgfgGRlGG3Wp2cD5tD0bdhqzP5B0NssWb
Wu0ReBMjAkH2pS3Hh9Ts9GMPqZNFmCbOWoWxojN8GZSr2cKvGoZbzhngzjE8Qav8f+ydV3br2Lmt
u3I7AI+FsBBeCYJBJJW30guGtANyxkLq02nF7dj9oAretc+x76hnnxcPl8sSRRJY+MOc33RfRtI6
r1EUSoRTn4qNvKbW8+dVyBENc/kmV3EHHGd0Hlg7u7slBoNZ510etAAhNxP5teNmHAoydVeZyJgs
9tYLWd+v8pE55UoOmlVUgnQafYm+pO1NsopORC3mE6EuYAY/JSkkHZ8jvSt2BWMxj0wVOQZLnHcr
v7F+CFdVS7oYPcAWx+peO8vmwvgUwCiGOK88yMar6VMgY2hubPsVy9wtzcCTQqlOqhDyl9CJXtCj
eI/mGNc3alXbGKOyPiIYDzS4iHEMINZw39DnaC6pX9uGfB1I1+S9+XGig5+vJwC+bjHsvU+Fj6qS
5qZYZT9Zo7GgNNaZ+7JO35vPQbyy3fBBjzIAVU7jxPvOBgeiuIC2XcfcgYXdaybHmkeycZVY40nD
J7LR84Uk1Wg8tJM9HFNrUj6kOOj+mV5cMn5L1kC/7kLLarcjQdpgM9kONvO2x8uLAUvfU0x/t7CA
nYtijY0uN7FggezqEZpTb3mHbVL4thbfuIv7ppOxsyWGSB0GriFCKfqv6BevwczZ/rQwwnLdrnlY
eMIErgufD9b/bckej+UfOVDobw9lT51lhfUxk26y9QzzsHj6j0LFlJ/L2bXgKkOqe19Y/Y0oF6/r
ggUgvDHnQcaVc4P3ynuLACW9t/BA0VM6lsbl19hXcyrxCBEpuIOpj/iIfSK4y7wlf9ZcQlewyOuL
gzTy+hKlFYijZtKp53Qc3ptU2aR9FeWACjT2UisQqdUU28jr5bZpcYZwePU1Azq8PRDuumx4cysS
6xfMvBf45aiLTK8/GqgriZ3sgDMjRol2MvIY3HUWuGuCquvdqnR9A39W7Ont3b0Veda+Kgr1LW0r
QqDMVlrKV63y9rOwbfiNGRO3AdjQd1OaWVBrlJY+Qdjl7WKmMTTrWBBPMKNxZQKEE41FQfQAqNy7
JwEFbxOmgyNCnOQZuNtwXfd1ttMXi9aOiZd2MxqE2/m5bismaCsxAUbhijvT0VFI1bsMLIr2e5yF
FWntVRyfUpRMAGAH7wDLrSUzIcmLObDpffdeEoUHolTsO6ZJie7bmeN9Z19t3SpzTo8TgRZ0RQiV
/rc6/HXF9DvqjDLqX1eHhFBVP++Y/vkzv1eFtvsPAPFsVCwpMDFS/P05hXBgh+iOi++NJZT4LVLo
T3mk+Q+MDNRopOw4eBpMirU/y0JQ1RRyrCIQtv1WaP4NeSQOiV/qwnX4b4AxhaHCYhcx5l/rwh4X
RuL0pPe0ZbQg6a/IiFg6F9eSHBZxV6UFJKNR00DqLOM5DFMXdRiEMhIcaVYT32htppdFZS0tz+qx
vq1KN3ojSktLmepm86kxySxFYjwyq4zHMrylbkwYMlIRbrXS1exNU2qRQbBiaaiAHg5UEyUz7j2h
Q7TFpQ5jeiAzfQOMqAsAtNrxgYB0j9xMLOXfMinjS23GxrVlyFOXlu2PSLlAHzNjqEHYm7O762bT
etJN5BJsYE3nXo85IWBWOi9sdq19RAz4a6zIGdpkZESQosDg+N0uLYwCGfnaqgACT35DvsXUp4Jh
GUk/UV1vBxF2yCtPFdmHwb9Cm58S2OINnrw4mU2eG13bj3Y1RVr0sT7AgflQ5FoWwDkt966HxHA2
NPvcElJ7a7QeWQ3NqO0hnsm7gT6eLIil3mERmHZaOaJ2zogy3qM9gSFEAlkwlsUPjYDcneywp7SQ
41aQFPitZJEIihzMofs4HhRbEj2+Miaz85l9SVYnrvUeZm52rplU0LGn6AUN+Y5anczTfmZ3sJva
Zrw2+6TbOVNenGeecY+G5tRIsFzCdPIIXq05Wu0F86A86Dm8ArR8GR8eJd5VUUUhdulI3ZKIF93F
xppnp8Lw0nUIQJi0NOifNJzRRmEAKy2ca4W79WylmnleXe138AKcGz5DJOZjoUOBEE75yMaH6yUp
yezh6dO3B7M02lvGL0t0XGo7HQ6IZA0mLVHT7SdNxUdDudG61NJJCcgZ56d9TsfPvOykxfOMppe5
9dEVWf+GbdUhTCTsXFAsWnqnUdzM6wfXnnIIWjeR6Q77ySUsx5+0Yromrsr0uSZyPzGtggJuAsqH
OjhoqZnvlJ2N7Rb1hU1bhdZgi+vFPrhpou5jIwORZ88Fo6esVoi7Cghbu5S4muOYNDPg8p6iTMPT
wZeC8lZLZrNDMY/925prFg7Ekz4wtqkSFBZheLa8crhfvNp+rTsChSzKwI2LNu/KnJH4LwP02FKz
Ml+CgrhCrtfchqI30CO6iGbztjvNBh4fEhVKUGeivHbBTmxhm2LxTTsgVzUYFEswa3ML9EyYdYad
mWKExze6nJHgXLyEEVwRR0nQpy2mwsZGhrUsaidXX0ioF+IAYL6/jbksQxwqlly2RdNyo2veoMS+
IYqJdqUPncCuiak65LHO2yZXeM0bmYIO6US3iWsiFRtLaEEfT3glCHYJ94QlDbsEuo8fOaCLhjhM
o21n0iNAbO2OKdGP3rZOdW/fuQ4PzM72vpcw0C8Uw/IgdYHuCKxAvYN47ECgaeazbrenanLSbVzP
gNJ4LQ4aYsgy9qPnMO8QY6VYaXtGWlsvr9qn1or0PWrR6assvWe9IeV2M2VZGbimmwSQhCmItLR4
nAyRXBaNHXufLeNulVRthFtZAZAMAL9Zo75rFoRSrazQ3Cg5buKOgSfTyDSFcLAgGoMecy9oGQNN
ss0Yu9q+tanEbwUf901VkTzkttI+xrieSE1xKz+NNX6NEOEuBRqwtQStlqhyQm4zKgxSZWfrR0Kc
0g5PWxGk/Ncn1ibyGWIkzDkJGycu4okJJ2Ndy4vKK9B91fdMrFKrzO2uCXyYMOh33M6GLO7Z49BJ
GrjMeqKGD7PJlWynXruPvWX27V5BZuknIqiZze06vcj2Jp3OcQQgxZtlx8hBIbZQlKIro6ry5yUL
651W5NMxlzUTijW/bEcRFF6oDPugyZsxqEmjvdHQAL/mfNGVr8sOg5rmJIcuhuWkClT5Lni/LZY8
hreZbQL5ADL/YGI0CYjdVD8ivdQOYaqHNyG+PkKjiX9CUTudW6QRp4XQsq3gkvOjOUk+erFm4EoM
ph/t0ix40l0y24id21UaPCCZxcZzncWEN2u6Y93YcWvecIHHaKwKVF3ML4MGPugubyzyV8qi8fkz
q7PQp5SJpOMcc0ArG1EQvuMQMwo8yDSPfQtwGGlh3O6AMauDaqruBllxIjYhs33Lj6v7THvuTfTT
mw6v8BfIpiTiJQIAB3GcoQrsBWEYLr/uiFjfPOpJpD84Y1Qd2L9nj4YTZfeaF2r8o5LU6p5z5zlm
drSdOdl16MpZ9ttwwyLusc0caxVmcHd9vhoE9IhR29oFbyVqiToQiVvtUyP5Nsw1LatL1hTrvyLH
b85egpmuLvNnJ6+I31rww8k8hiFT5Yj9UJR14czJUi8vDra5aGOrOnm1ZB8Pge12dMZY28ZAF15B
7q4RLtdMiappM+HcKgh9pjanZbannUpyiYp1qMQZoJqzpfLHYkxYsXOzlMa0T+G13Lm6LvbjaHG6
A72maw2JCg2KQfeeZNFOxoZBl3Nf4jGANWRrR4Fxm7NwSjt9qzFYeph0J0KQxyh4w/SvvpdrtmoJ
u/sULSpCChdyh7omTKU2aaozOaP5Oc6y9BRWg3MCMiG2UHPVWbZzx9Gcw5n3hgnGSbyQsJ0oz/ig
iapesY4UV2UhzXPuQUEkusEaTlPUVHu2KTqu6VBou6SB2klm7fhYgsXwe0W6IPiy6raxzJ5AeexZ
+8YO1Rs+bvUAGg0NdraELHDk8sw5uqqxB9FfIaxA19sbqbGNLcLQ3CQJz0gI6diGyMKcmMrh4oZ5
sfMq2T31yTAfKuqbR57WIcGCZKNhToih1MU4+4YlP2QN45UQtdW16VA/CkdGvsJ/wxCp6K9iXniI
AMYqmvfFvgGlE+54nkVBgv+RIDTftefIb8TQ7YRaJ/kkpSHyHLoHC33iFXSGyc8FOAN48TCwoeVg
pOMlDDESI1QDvXd1CAd5PsCOVpnhN9aAa64D4D+Lxrwy+rbeemMYfZ1Qe5+I5xr59XZ1hwhh3koH
tZ5qU8ZAJrQt4cXVxcEdgOLWSHaL5uq+bjW0mSUOj9YL42CyiQgqFX5AAx/czu6IOOyipkbJYiP3
7IxhJ8yRyUUc2Q+5Bo9EtK6xJ/qI77yx06smnLszMknxQhQymBprkEGs4PXBO2+3yQo8791mvuRw
tU/lGq7E6UvEFbZK/gOFxqY0Urfp9xq68pDRhdkYIUiKmM0rdRGSGEqPwcrzY76OtyyOXpYSLi4L
1TR3ER78JzQby4V0PO8OjbY/CzDb7N5uakLk3kMGc18qHZyJVoFiS5G6gy3t77wV04b2dmXprPC2
fMW4lYZcHgZAfcdihbwx9wH3FicmpX2ZXXew4Azs0Rpeh42HO/qJcDLv3dNjvr4WYFsoVgvGpIOV
g9UWp7toYSu35UbF/tyaJRQ6Il3QVaP237qJR1JENZZO4LhyuipXmJ1Ucn4diQEk1bBNp5tlxd7N
9UrAq0sIVn0PFs9bAXmSMwSiyW/cvDI17O2YaM9e9n1Q1aHtqvzYrJw9HeBebpCfwoUVevbOC5dL
GlYJoqLWDLQeUp9VU6fOkpMy/+T4rUS/Bk3SVbVS/lIEQtvIDuePSkIfDFJwgPnKBQy7SPserqxA
bLnzdbTyA6sicw/0Y+O3VLfjtyjKM/Ja1PiAKCt68MDq5xs6T50nP6thhxSEY8p5eqdWcmG0MgwJ
tu0CrcSq7RZKfrVX1qED6/XYrPxDFNc9+iFywi7kpqx8REiJegt9KSQIzlArRpGULP11+oQrZp5e
88euyEUmx+hjVg4jVovmPCLaosYoEPJCa4zUoD8aK8HRgUNxwQuy8tiBDzPVTPqvpBW2R4r96Sr5
REIS3AN+GaW0sW0BUxz0lR5pM+MqvOeqHtSLxw5O+aLIijvsXdW+XuGTfQLMjMuVziz6pFO6Tq4O
DA7R1Xuf/Mo4M+jI0hVrmTMdhPdar7RLjcpVrABMvXUx5GcJWEz22OVHH4HKJF2jOPVcjDeGW2On
WLquek+XRn+BN5Gz6mYCb3+m7WBit177NYJHrGE8Ex6RA0GrzluXSlRIjs0jWE0MSP2WBWhLMl/b
c9hh1sg2c2OquyVHdaaHCH429VyaJBNGaUtY0ODNX5lvaySVTfnZ+MwSWlEhj6zBkwetG7Oj6BbG
46YJo2Yoh62jz5cQu+e7wPh+6XEG3+odtLXFiguQtqmId7Zpyt0wSDwKVRqeZJjglYPs4Zsswys6
AP7CNiFeKObBf0VY/DpB49Gy0bO83Mq2rBxSGFv9KUYz9ANSISwVpenpDnzhCxPh/OKKxn4eUisF
XWRQMLGM2M7wofeswKrneSm7U1WPrQYBbbR3Sz4n34gwgGE+aeboOwlAvnrQmRFgKT8mczrthzKp
A21q+jtKpfhjCMsQRWzt4wpgB9E77LKYsm+swr7KQ2npR2K55srn4W9z1hfxEzD19Gkw7M6fiIvD
Q+QFg+OCDBOlR6zqrPdbrCbe61INER+EZx4raOW39SiGb+mgtfc0XvoZjRyP/DblNhONfub5295S
oYmzZ4UdarKELVLl1RZRwLj5yJh5ZKBzZdQeMcND6cxo6E11kHPjBqDay1fF38diKRv7DlgE3xCq
/4yccK9L0HWZ0yad46E6DGlFPyMROR14cMVfXOqCZwYzOvmdbudbSAR3ItM7CqAiIxcpK5Py2oC1
hcJ+DRL3NRRpzUZQqj8nywAY/qd51+1vUqefo85+VQ5/Skcl6A3HdEixXnH8P28VEe0xRIj1LPBi
r78vZs0JerT3b/bYRbfT3CRf/v7ruaTIGQbSa8J1f5lWsQFhn8rOjLrGDll9xYgvqmm507Vl3k6J
qnL/37/grwov3qCFFEgyIXMNlNErJ+SntSlflZbXICOCPtSdaWMvxbwv7Fq4f/t1rHXcx3vCvMn0
5RdZdNwnRdXXURZ0aWMGNQF314pe7e7fv5tfVcZwkhkesmum8WClvHq1f3430KmAKpnYaZ3EqHej
x3rgOraL5IQz39CeK0nLYzajG/1/Xve/f4rr6yLEcvg8bdj+f33dvldj3I9aGqgBg5SepWCP5Pnz
vf0tycJ/Qoji70NmbOz/ejD9+P61fP8fJtP80B+Tae8f62Vmg2BDcI887q+TaY5jrnsd7PUvggX7
H44j+DJtXTeELVZuzp+TaRcSgNB1fA+geMD0/C19nGX9t8k0NwIMAIjcpDw6xqd+7qdbrxqo3vSh
GAIkwg2pwNkgr91xdl5LdNcfYn0HwTjTpZPBwVLl0BLa/JzaM/HHwA2da6EEjBEPA9IBzRLeSytB
wbbDsVPKy0Ak9kdRAY2CxjOmaFzj4QtydQ8PHkw+jXE0+x5EONF3OQLjZVLFHCEwSKXqLuzn3Xxv
5UT+Igeu0i8qMj0TZi3DYoQ+c3VLEL1anhZ6gBdDEyywYQo2gqFnXjs8gbVvQDWP8VL8aMPsgr15
3oSEdNGXNfsoF7cS2Mu8TuLHhqdz7cz3EYmGTPHmS2yStKxbZnFoCuvWyLU7IE6o6S17YV2UPzYm
eDjejUfOAEl9yGpR8/fuMayAxno13VfaFMXGsA3Wlox6NlHePDBh8Xa21TebTpGWnOSoIdjyjj6c
SsoGBT1Bau4T84vrKLMj5CLKoTdeaYRVsuAtL75maT769JDVYSaZ0NPLILEWkgid7luDepqvhEeV
EVud73WT2tURbnaVT7pP29lf1akRXmWRd+Na0XWoNztgf6cyJkWsz/LHWa/co4NSZd/yY8d8JmF+
qDsitPrpOQUYJrTQDFJA7McK/fxzKdCsQ+5s/UmSwZaootiKvDRO8MEv/fq0peQnzEV1P9aI3j15
Kl/ZYOI7nuPad+mWEBGGd+Gk1dfMoRnrm+yNLUDaiO+ak5sZHyoR1mWCSB3gARgCYyp6oAfGl6Vf
p8KmkL4is+QAhnPagFoadnlVG/s6HJ5STdQP3hBaBzeXIxjBdtqSXXuvN0njd+itN0VBm5PAPvbz
vtUOI9/QQYXqsnSo59i6LPu8R/+Ygeq+d2v85fXUkVCfNBNkCKxumQY1yDSyD22R+nMNEOpcD8ND
VvftpjfdfZOwHVGtV287+u+dl5LIyU79exd1Z8jEhFJW4Q2O8O9oBWFCyjDfpk4SH6U5ZRDcTcYL
WRMQE0UalevQSRaz3BFvIbZ0h/3OSdYcQZvLMJHhHZL0eN+E5HOIVs6ArbwTijkQmK7zzZrz10Gr
2kDrpPauiggIddNiJJ615xxQ/EW3H9oS/4UNatB0KnOrucVLQR0ULk16mdFCbIgFLg+wLb9Eo/08
1/W8GdzlvcTY7He0yH7MnR6oUq7eBswFBsZqLl+HEdL6jwll+TGM2vbQVCFBdXUVfS9HR+3SrOuP
SyUm35uLmxBv6TWila9GXc2bmXg9nw1DtHd07b1TYXTo5JTs8QFuc7ytfktfsouyeEf6GMCsqn8Z
4wo9uOtwD4N73OoivpcWd6ZbRwxBKs04mbF1XdSx+oL+Kr4tNMV0VuBCZJw/sGJgiYzHQ77NTXrK
ZuspqWd0upNhEcniij04KnBNJcyo1SHDFK2IaG28myjSXtMeiEWnOfy/EGlwGHT6UymbNWwl3fHx
xociF7tkzS7rh6Hwc1cQPZ6wzmllRus9EXEu++7Yh0TkYe8nykWbH72RrUDitgmCU/LcrcEat8w7
631Gu7OZyZ3c8BE5J1dV+p7zXXsC/YEVNS6ET+T6FAgDmmBToBDRJiP3AVEpitrsVI0uaGGdyXkX
ueF2YRbFRJnJtjUqlglZKxDPMiTuLcRq4B7cwAEcfxN64YO0zWafd0gu0McEq5ZzB4syuWowSjgs
haYYoyonFzyjLwOocuXiMGJ6cjayEtBnFJ6ZTn7Xs3W8ANYqbFCnJPRDG702HnS+OUZh7b6fotse
DlRjaNcsVDmks+q16IFzbohdVXd6mDxqwrV3iSTYEdPGg2s138mUDRyreCpj+2nAvW7bkkI9Txmc
YHsl5T7cIHqaN1KPrnrYVEnTbqsZQZJekpoY1VDHJxNZuHt29ewrKsO9Z3f5LkUhDQuKgTQXC8ND
jvzMdr+ndveV1J1buyu9QNOzc5dbAOc0X8juLZf5R9wLuSN7/WXMe92PmTJt4GIdDSePIbGtDNlM
e3TH8j3qLKINxVOKkPnHwJh7U81hfnK85bBQPY6ywylTj/eVqV03GT+8RNtQqdqvQ6zVTSivWNLe
YbTZWPyrzdiGe7YaMB3H8lyQPQB2Pj6ugHPa7xcMSu6uaPInxOf5MVZdeVVF5FWl3bTD10y+Ym0X
WXeKaQ+WQM515u0aR0ff9fdryf8Al4Whm9Rv/7qMvH3vvv5F4IDg4Lef+afqVTcNYdj2Wtf/Rmv8
Q/VKpbjKVx30pp5L74SS4g99A7Untgcd1SsWDXOtMn+qItFFSFoF7Ki/159/R/dqrr/qLxYd7nkU
FPwpq2LCEL82cDnGRGiybhP0gIz33id/QvaGlvuRBZZiNsDijS7icmIF1M7qKpp3eTNhQ8vre6R7
NkosuIhygnIxfgIvMPk3W6GpkUe/lgf2SsbIFunc5istA2y2GXAigNBQc2x9GVRhPmiKYapOybzR
ZnOBVJJ0ORUtQYl3BbMHVg64Ns5at+I6vNQ8O2lzD/X2LQPoAfIuf7Zcha50WHkfmSE6wmpXCEjt
lPPbPA7TJVIGe+Rq5YWY0QzEKP/EiFgrUSRb2SIGzzI8JCrzGLMWkbUyaMbGIjUbNAmoO/HYfvJK
iEqGXUIlhZR+BZqIOHceFm9CzJElEVs3U78taM39cFlpKLqbk9Jdtc7XfgWm6FNhfOusvDq4K05l
LtiJditixTELmzOSgLcgRgXMztWO7K86H0a6aWmwr5O4rV5JjXUD9clyYWAHVDKEnHKlVtiLkcrm
KvskwJh5qiFHAAtTr4AYdq6wYpDtwo0R2D5e4NAYF57YsU/1BFKEdU72gJ0MAA2Ne75FEACWZqjl
bOwmaFI2uqyp/mauIBvjk2kTrXgbEL/x3qyilITl9dgrVxBOuyJxyhWOE3UrJwdwZ86h6uIfcWod
6LbmGDFjaPghoi+Kwuc5rZOA1rEfmBLe99SH3Y9F1POtbvF4kk5Fve3CyXTwOs7dvZwideH5unyZ
Ik/tkUzXIMfT8AoFOSV5+maMM9cITwab71F4+4Ip3FeL9cR9XnWEcJJ2Aek8U3q21bVSfLToEFmH
NkL7wsJKkJeBTPDZrZvM5C31erRdWqWdqPu/2W2D0WUhC4KRtlc8zTKZSDLAd/ucoxCpdnorCQEj
sXO4xQ0MHrhGMQAMqthgTmgex9oojmRdEAoyTuQcs5nqofBYxhdhoXycHOAXfgVy9jnUoCntCCDQ
oean/VWkWkaNsYlpyUUN/z7mM3nyMb//ZMBPZEqJWzjZlKXRTCfVDsivXZsM9B3TEtnhzpymRwr8
LhhYMRNx6phXmYiTE3z3nuLFE+G91Ig5K7ne9tCY3AtIOwieFfzUlLCyJDt4PEXOwszW0GHPOHWI
lXdWUiOLtBotUAJ6zlyL6TLX8wP37HjrGhM+XNg4JBGGNvXXho9IfBhhGF5nuLC8oJepFuGpnKcz
uqxmQTVZKxVkWrR8YXodPdemBQrRsS1waommdmOskVsxjpPcap6abyDgshKrld2+1iDmd6Iuxj25
TcOdqnrvYWmN6BrVvfdQepq9w1Vts18Q46MFAv1Qx0JGmyKjw9ygVWyJT2hsbgciX9OXPs6riAao
ZqalWWHvQGtJEN/rnR5X5L+Ey+hTLOr36/n9A0C5+yIIeuHIwXWZ+mrpyMtx+mmodwV/wFORlcVr
PDiN2oUAwF4WI8fR7HVmfGObVRZwHXc7omYSfyjr4nvbiGTvtrSgzRLqwaJ6eZpJDVhtPcVz46XG
TWFk2gMn2fxWFw3P+tY2nueZ6GtlFwgvaPCrj1KN7fUkVPicZELLfObj5mXw+ubDxN0WYCqo7yJi
62P0UIv4Qn1cfVnwvrGmC9uc1mbS8BUQ4gekpR3dezKWoxfa5v6A3FUdhyxCb1Zq7VcCEbrLVEGz
F8WK9wjNnOumrVvnKFCyfmuY7l4NQAGDMWT27QtnKK5nAwnBFvlb9CzcKDsPOlv4jbCwWVFr6eUV
mcWLc8gsNzyAwGyvqiK272x9jYXOrfBL3c5tctMR8fcipnreRVDU9qU5ExmO5RmtRhglm5hkD9Cq
SN2fk8IFjVTLbJ2EkuXNSgcYi/eJUYqlnGBAwVZS0cBFAGwe5BLjaANVAhymv18+/SeM4lb9JX6f
f1dCnd+Lj/f5O9Kdn8dxf/7gH3WUh9fnc2aGUein8DkXTiYWVpPBsyVc4Fs/FVHyH3BLdIZ3krn7
GlvHUPWPUZxDSi6Fl2eTVyeQO+Ar+hsiUVLmfimiLHSqHiQSXsYSJo/3v85v67JryHit6kAQMAVU
tjEHduWLXqktOAHzzUiS7suwpNtwURbDhE82rQcjHsnnMGHCh+PPwtSEj/O1GYwOpX1OVg2LT7N5
mXKynDYydOMVdTvbsKRDC5P5ME9rpr0cU545uRpxDrqFGSgvxfViOHb6OI4sbZCLg61HkSLrxA/1
SnM38TJyjudO4jwKBOSc0k5f/4iNYYLjZH7pHWnfca9EIC8iQ+LkbLwbNI8uKaCUID/sgoyjbYq6
hWYqbawf7DhwDEi5AP/hRjqYKTrYbWZJ7mRm5vKBMWv9Zqd5f5uUOPOpsxr3I7NJ1aKHjsMrxq3G
NV7ZEIxRbmQPdRIDfbMhqYHKZa31wPBhYgMoPD4aJG7zfemtKZapxxPRnjIRIGIAqPvprhWRx6m9
lHywG2QIOHClyDvDT7VCJId1xtnhmMKwKxqDhgyKEz5ez1gtvbWJu5fABUtHUrtGuzkP3uoAjlcv
MGgQbMG9IE8LbN5qF46EOWfBBAsPJkaH9oeJHuZit1vKO89dDAAsq/sYCSnPmBFQ9vowkYP7YA2m
fc03h6thCM2i3TkeR36QKdLnsKEQWsEgysFhutHLMl++EsC6hgrmXPEPJHHMft8hPGErHRMFTluf
Oi8VmIX0DH2QkqEjKfja8lQWHpJE51HVDB5aDqFJI91kE7cs3jCLJ1RejFjEjLp15aZUVaMf6woL
5v92i/3/LIe3/u1Z9/Be/p/Le9v/3/8qfz7sfvdK8qN/nHbr0eWQ4GYwHfn9VPuja3TYL8jPE8v6
PAj/aBn5EYJ+cVgCaqKtBI30z9NuFdnTZPK/YnBZXZZ/57CjM/zlsJO8vuDAZYjOfQm/+K+H3aCn
bQ/UPQ0EN86ZkT6Y9SR2fHgYy77t9PolIRfjtszxp6zGuy8DpI6NWJKy2RKX2VMSf1iyao94+LNt
CauQ+qPwnB2z1exhLqLwBbqnIjdGF+J+XjC+r5m95lFKkNZbG6BJkDL2uGtl2F4vqNb9yjIReQ0T
yPzR8/RTr2r0PM62gi5jeG2tNrFuNKcod4jrtsEE+oWmUQukNmQ5gjf3S5LIFxsv33OthdnJmj4S
FgI/6pEWymeS1gLd0+RNKDP93aXMfCMlh2y9CSvgFPSDYWwzvT0A4i0PbuKscPxFU4+LrSGfZWge
73unmx61tDEQ2g3wfuKyh/anzBofJ2FJL3Nh5ifpNMVFFumERMCRxwpe/RAoYoWOTSyxmNFyHbFi
6jsoqoSKJW7xOpKXdM2YE9mFiJaCGWPcztZZufjngmjMyx+g6hM2pkS8IXvv7fWAgS2QwhYoli3R
fTqpaWTerSfmLO5JRaJbpPKUyWYgOdRnyOS9ZCwXDknrLXuZGsTOLCxtTq7XL9SwfHVXkYGedAMh
xcOVCCqPyBWxOnNaj6oqA1Y5x33/aKoaS1BuP+Oqw3Cm7SuNglfxPKjC9q0ZoDCIot3WcfJQF6CW
9QX7rKWV3+zYnE4e2UyvCVThH57yAmZr+W1Bhf/V6qJjq431U2pGIihKT/K6i/ui5EKsFoWjsR3Q
nj8DUl229LC+7Q2QGEILlCPG8KRD92oxwjVaFwqRO5XI9LsQVk2O9kX4E6iAx6Hht/T4D0gbCEV+
oTh+J1603WqddgAOQF4apv5xDkiYGyy/KKuRV5i6W8D2Lg/jVHUjWkEFHwiIEaK7ErxlBeJpaN/d
thkuRS8ZPOTE1fAlWYnd+1xA4kSUgTxYSQE1iP372Xba6k7NBD6wpKJhC+zEkg8LoD5K3KEhlZso
o+lWc3GJHFqSBnLWIYxg9zDok+5AWlz30s0L1Xzh1C/puJBIptYmFVera0Ciz+GnCjyDvc8Tb0L6
5cjC24a8hwb5cSR37dRl7WbJzOrKxDba+AyuDTrZEjE5VX+MppjMAPy3zHFOoCKMC7aEGAqp43xL
EjRw2yI1yO9MET5h+ssjiL2Vhyp6i/KfrEYYwQXjAMXBgIBoXkfc+aazXACVxoAoDxE7Vgc9+hDG
RNyRY1wTQnI1eMulH8psX1c6GAidJncLCGkUG0ag9Y/e1Ye9S47nvZMLY0sFckyKyaFAsyBMZpF1
zpS5jkxadTumWfG1RWbVBVXXpW0waFEHyVRDVk+TrjCzDaB9Otcy7vIi9q5n2yNZNS7D73oZhTyS
7cb8tqQzWZmd7ti7Al4Gu5fBfOo6wyhJISrua2DVNxhAq5t0iGmmDLNlL+mOPzr+7UsWieGNzBDn
TsazcT3VyzWdI0Cf1nIYH/TWwlLMNf8feWfSFDmWZtFfpDLpSXqSli2fZ3DACdjIgAg0z7N+fR/R
FZ2R0Vllltuu3KRVZBE4jusN37333Cv1bN5rYTfpoeQPH1EYOBGoHRwpFwuDhL/Fb3WhlNm7SrWS
6o5W7VFCqXhz84R9rnvONIwVSsDFwqyO0GmNa1qGeHkS4gAT1vqNP+arriiZ1ZzDrq5cQE7AftM4
mnZZOWxgScbfbQykN21MIWjane7fa4Ekyud31bqM9JKpBrfApa0zBVlYbYzrtDCj+syz2ly8PgaB
grPe3HdTQHSQ2Z54i3HtCLeiXCNxecmAK+N8HDchahvDB4OGz2oyrLvSsiIdp/jEShU0WXNDgsvI
GtP7QSmNNTBLF/QQKyxHOPwVlWwvebOYZtAmbveyZjeFNpzJS96Z2YmnvHsCjF2Qzkjs7yFHvX2j
elh6h0YGq8pAW50JokMod2PfMyvTM5UKkQZdbBUqkyAgopLoHzqnbl0jYNGJdKteykz2lwqnZsO5
MrYql9N8jL+sGNQ3HiCVDL45qRtVCZn9xCCyyCNmPHOy18Wr2hpgURT8xt980adnSlkyorC4u0Lo
xOsiRNbw8+pq8BM2lLoce/BzR5Sq6iFQ0vfINBJMLApNzgkrutsztCzTkjCSEixMBKWjV0bpxoo+
S7ahSPo1Plt0NKNF2C7kA2sp5ZTEoDfDlOCmVuptmVV3xPbOOn//IpnnDiLZMRkk7hUx5pK9QV5b
5G+ZpXaZq6kTQ5mp3SR9T4UF0ACmqmO8VGL9pSgsdxrVtR4OL6VNC45UoxP90BhuwvpcB+l6JhIb
qfHqhPqTSW0P0yjibxre8Kl+BnakvJV6g8ESXfTka+lVFslNgIJdB+1wn5PEmp11qyh2UHVx0UoA
0aTwDrWO/No6utv1ucToGMegrgF7Y5IMFv6AoiWDp5ERtpOLfWEP9NJnlDbGRvBkmqWzI/oWLIag
iTe9nON9DMq98jVRkr2Huy6SPGmDF7wYsZ2cfT6S25ioL0OMtzYILpTtbqKU0FdqlwfKIrMDHUbZ
umFI7ZqK+qPSxUr19HUt6aRkZf3QTHEP0uymp/G2N3bcCqMdtZqY8HrUuihVxLqDswob9qPphzWP
0aKKqMkhqCXW9Oc5JBb9fB9hed1m2vjYKP6Vef9Olu2ZXsO3UE6XmD3WpWNvRUgQamF+aIr0MjJn
huFge5uOv5AuGiv+htYxLrC2Wkvdsy+KKLYUut6EN98qDMVZ1Ulwl5vNlbMR3T4KfbOlFFDrBgBx
wj7NHCRC99INBugUMZlKwstHrh3TpQ6T734CeNjtuspDTiWO0lnQ8YN8L2z7pdS0NT8RFVNm980S
qfISqyVCp/mpyw5WeeT164SK06ooj4MF/LjXtqL02ZOU1E7dXsHjrWVHThRrgQnbLeIR7l4YBYdY
scWeoZJ/JOGRcK5InJOi3nFKK/mOEIy8TFWXWWo0e7hJ+Dyq7DHzq4+6t6Y1+oPzavE9KCTCKqwF
jNIiFSRk4CCR9ykbXWBroPF5B8ciQuPHqLzzx24HXHvaSIh8W6Ns0S1JnDEqA23ZJUrJ02/3J0pn
nK01Je0m1rTeVVvbu0hhpFTK4BmhdOR7qRn+ejC7dBm09jsXULGxJNWydS43MojAxpX6wRbTI/3U
9SZsjHAXi4mwlSBFV0/cFAPRLMeBkExpU+bq5Pa0igGb8wK6MVzOHll/bONVqNdyb6bxs8OscZk6
/DI4DS4GO/eeNWXAOxBjA/aH5GPyahAHZUmAtTRexVwbMhqeuujHNtqEvKZV6Nk9D60KX8IW17YL
f0ypd4ff5dho4E5A7C3BDmHx7Uvv5GU1qXIzqBatafGZaWtyEn6wJeo++5B2BtwC9rmmvBvjlli9
R+MRi2h7pC8aJTi35J42CW2PvCPypQwd5ztpClgPFS2zRD+1Yd+Wmr9lkN1wjLCtp4n+hxu3jeHE
+uDsnHC2RzW2+Znrk9ihu5bPZm9aq1ErSHESmdinSMXUOZtdsh3nmAyIyozLTUG0AYt7438kRXJo
MM6nkY2NYNbFstax11YZBfcUWiqHmPE9TmG8FvcZqtuuyrN1bHA9sOKtj10Dmw6qfuWXg38Y2OFS
l4BufigK3f/hZBSsUVpMbMfz8r3T0J7rxBUCVpZwLKVngtxPkRnVY5FXyntQVM2+GopoZeW1ue0a
USxRMfwNFxnoTZRUupGIyQkz4d4ObZlsNDNXNsSEtJPfTTiCjVDd1gOg70Qy3oXxibPCweW0MkOq
XoNIH1d52YfM+xBW/5Z78f+/4izxCXOd/teK8+ItSd5+k5z/+UU/hwcWiD7kZg0P2cwyQu/9Y3Yg
TA2Lt4YX2fmfsP3P8QGgJSaYgIclVmXN1OdX8XNYSuHQ7GWEsWSaXBZIwP+NWanzu9WVaS3YcUN1
NEYcljnL3r9abPU2jmqjphcuK3g8yG9EQ0RgidwcefCYpqvQXtsDqb3izqEi0MdNxf2OFEutfowE
3sPSc5V+Y2XWWs/IQejTI5nEg6WOu7AdV7w1bpWytzr6nTHmbz1VoWjwqyK0MQHpi0BWOCq85SAZ
FdTWnjLt/UgGr86IUGqPNk81LF4sPBTmWG2yjYz2OsTl96wXFz+vN1mAqCXIatZ1esLjAav0isnO
R6dVAh1PTEUuqceq8qEAKjF6e6F12SqgSkjv8rusyZFzrUWS3Sj/cbu4osycRCb5PxHgxdI3KiiS
zHLn6YRTveTGpq1vZlIRl5OX0MIGlP8gZnIuqMnYKNVnr70QypH0JvaXCdhuRk4iBihvFedIO/zy
SfsLL/uXefw3micTdoNaKmDYjKd+c0eXGV1OCYnllU/esx7EIpxeFNIHRmzc0ZN2ZzU6N4Vw7wcd
pJgdHO6DZW1s7g2e1W0LsmHaOC216unfvy5d/u6E/fpMIa0zlxbCEub8339xwvqOGFXSiP2K9/dI
0EHqjJBab1FkwbbKhmevZmFCeqbO3b4jDutCN1rYSLhfN263A6GFne1ONWgYmq8xdMM30QPWTNKE
5HzGbWiUHIMA6JSAmRuiElg0OCdSF1GrD2yXDEU8F+dZ2M6OTGLENPZomGbNCihwu2nUbKkTx/W0
PbmOBSJahZnWtxeTn63VNFwUjPBlQihBqP6mRxzvVKINxab0w4880t2E6CRr+o+Je5fkyIAqPXjG
yTJ2scoHWWPYRcEJb/qmN+znpv+U9q4fiB5Suz4wSetCLlTTtZDVE1sgTXH2Q9oVB00050G2a9FV
p5xMcm6pl7jRDtk0Xacu2QQ6tcWifipaY5+a0SI1k/u5krDwBROJANBuzh7JUxt9ZrGz7NvmziC9
JbxNaDMDkgjQVaoSjOPMvMx958FPp7ccq5lmZJeON8fzqYPMxU1U8Vrxs0PkINNZKzsOA9fKhnUe
hd+a+plideMVAeJI0P3gxRPhjdraOMUA6CzEz2VcrOlOthfF+K6XT4IsSP0MLoGFwFh5AvC2ju3Y
+DESwKcCYpF04d7rUDc0jJ19BNeXmqOlImzsLdR9lrE3n2C2Q40aUiTnaKKwqY+5xiXxXoeXE0ce
g7Nb0ENjdLhdtAKSrSwOctcoR4UkMWfEJSU5i8F/7tr7xiT840XuED6mjDQm5VMfnhJV2fV0U6sM
Q2rrROWWm6JXYD2hWkHjaJQsC39XT+Om7kGxtZvOh4CaEjWG69gt2zY7+gMfqzosjQNtOGIpWm4k
MfQnjHJNuJ1VTB+GdZjFwMYNyjgvHhig5YSxJkmAWTobg6h+Nb5GxpWJEZNY7UV0SyLpE1QHLGNG
Dt3JSapp6ejxLXH8a5BGydrQs4XabOxwU3Alix6mrDwiAmnbiWCmpDBkESS3SL3vMY3OsKcu4/wS
6Cfd0GY9xrZcI5z22ZxGVLTzpL4a3gHdxG2b6Dja4YIM3mOT1CsdiEdkprzT5KrlkVnhsYQWlGGA
g6uOPI+48o4JaEcXE0ymRxPFiIAed45HX+GQChfW/+i0l2lMP6dCWzVh+DBB2QjseBGF92mskI8+
4wBiob1jUgtl4pSTUFW0S4j3MYAUXtrqS5TQ7dHGxyj+gLYBfc9YaAoTUNtc9KF/8WvavorP3LpK
sffGWzVeQ/kjjA6GeVJjrlXeQcKMqqFrYT14EjmXEQKJVUqrfbA3x304VjAirpVNOY94a+CzjvFV
rclmzb8csYQjkbb9Js8c+HXjIm2/FVO4BKFBDGtamzh4SVhxk34cu7ei6Ta6vWditDM4cgKAciGr
Lkvso6RP62bDqZ799WZ315JWKRuHc0XFX82tBeMwF+KSPDwu7+qllSCpzsYMu9PSF2C2cllVtX/+
9yu39lcL9wzVMfF3WJwIfpMSDLW0pSgwG8f2dLRwj4ThuQ4/JQE9el2ede+HZfJJcOq7r2/8t06T
/xkCPBhmk336X58of6+o/q/x7aP9CH4/Y/7PX/PzjCn+QTQGNBP9ShID3Myi/nnINP8BrhPV35xD
MPafSi05R0rqLDk+UOYg5izc/x4xzX/IWaln6AtsyTaxXf6NMyZcpt8kKkmnsWEYQjU1EtsUW/75
QJDIvGphgY2rjKqyCiZRsJwap6LAKvbsalMJJbwKJm9AFrlug4EbDXMxhOifdaJmF9szYsScFLqJ
WflMLOesrhlTZ7zAj83SZpPA6Ij9L4YRQZz4fZY/RR1T13Wcp4npKlUOZc4w2/zBYigSuD437kMw
TpBJCnopIQ7ODhThFShDvmOvoJMlkwtwBxeOVfg3EXj9yqty4y5MLGZnorNV1fWbWiVSks4un7ot
W3zsprhZWt1hok/am2dV07rT1fKdmLNyCHK6qxieOtisY4BOU2UMEJosfREaWZmsLN3U13L0fgQU
yN6bknmW6xgpD30A0zQG6BjSKFSO4Q3im3jgHoiIDFLNMVa45oYT5zEF43zfr6zYY/2UIVPzQJnI
Q+ea3KlQNS5dYO8UmtS2LfnNi5mHQG1ESs5S1bRq5wP3tF2kM2tdAM08V2Np3aySvIk7WwaeS12E
b03lRZB+TDv6FmVBdQdBA4uFH4ruIU2T/KirqbqqRSCXqVGGz4oXqm8hRd5PqRDDYxFOcj1mrfFS
NLiOMK0PPataG0Y7ZBv/Az0kuPjERxg+A75wdTOlwAJjNh3Siuw5DuqEmnZc+ZcAtuej+1g8Uoc8
fdpct2UWHtngTklCkWLdcWePMme8g00oN0arrQrFXkkRn2nUaJoIdEh/auuayji2LKAANigdhaDE
ujHGRdmqyO/jCrw5FgJl2aa8S4wVYwc2wzBUK+Hk75H9aoHDDIc2d6GYLAPnI/S6YyKnXQoDCDbj
qrbzqyT4vaUVAZNEQ8cnZEkIswto6tBa1MLCL5vpZ6+s2iOM5IYoWJ+jPgJ9hX5ZPZVJTjmemZQH
8re6RfaK3w4xnSGgiIzQEUO6vn5qMMTfeZMx5ZRppMTMWoviSbcxrY9Oer1cdkxQYYWDVSXrYKb1
LQg9WqephH6Y2qz4AO0U3nLkX+owDJuLl0U1POzZKSIP1QhDB5rEE8Ghgjuim/kAFVxOJx5e27rq
l9TkdPiM9YkTWhByKTHSK89JkS5pbm8vWRj37JEJxn4M9RwwqxYoAIG6ziHgwAh8GVSmsoX51H96
lmXNsS6lfG8NXVl7al9iMCWPljacP6y2i+9oSicZQcZobymd/UEDWLYOMyc51Rjk5l7xSAOomTS7
sm3CJ4t51KnQa+dYc3/nGpfZTHfjIDozCg/v1AZLBzVChOkxZud84Oi3yQHLT+XKw4qLepd3NN4m
QAtVUOCHXCchJD0zuAY0Y8TLqSBQw+g033XV1BxTs+o5PWrD7IYNJAk8ZnqIgwlSUeYtC8ex34cs
6Hd4Y6qVVqjNZwg1QHdhSqkby/TozMBatBvtpNtNjuPlCzaA9pmqds81eOuPfib0E6slsf2hI8WP
LIL82ZT+IcrppC3zvL1ATS7WHnrlMkWWDgC9QVUL1So8REkZPPTekD4ZTaouDdgvxyZvbKInmfZg
RqN+Hf0pPOVl2F3TGlPvPOpbWWXYf0hq0Kmf8RKKdCTG0TeFANVV5FpyHOOQyJDfaxNvYAknxGi7
fEGBB0aEye/e48KPzqT/43Vr0zw/2TzguHMgTAmLwX4whpAwiiYJzqFamjzg/H45DqGEbVvQIBtG
o+ai6dph9tDahLsSrX3wpVIBS4Jn+EPjdP0DL1O088oJWB2Wp/ABBM7YupZRDjcSATGeaQ079Vyn
a1YWBvi5YrfSAJNYdpDgtJwbeHleoyPyqPOBVAgCYq7qxa/VrORc32tNDniGBAAP1NH8XVp0sTux
wV3ag0tK3Hrm51XhGUOW6VYzpdeEXwAYa2b3CrNDJksi7mm02kcz3bfMR/0jAyV0D+CVspXhCwTc
KDMTuM6KJ3h6xkduODx0Mz3YFxMc4SHP+kX1hRcOYB4cqOpVr73e5zfiRVyca4OP6swmFqE6Pg14
kKhq4MhKIY8904xRTF/tGXFs24qyH0uwxzrmZxqN/O6pNYEiG1WRHkOqEXfg+4tFR+3PHBaCpRzF
XQMjL1T2JQyX17kD9rvK2f9AmVF+CRg1Mx+XMlp1GRd0bs3KQ1IBc87KSNAgPcI4ShRWoYzr6HNs
hzMGFgx06E/2k1rwVHGPGnAoI9FG2/aLIB180aQ5LljfZKJr1Ur94k2jHmTX0SmxmzgzlNqJy55e
mBlV3eaQ5Wbkb+N2ovwsgt4lqNg9YOVo7nzaFUzLooaw2Q2qUc16a+nf+UbanRJnJmUrlsS2rcFB
+i6/UNpJHOyDrKuuFsLZM919KqQPJ9ipdlmlC+MLzN2HprmvauBvmY0B0JwJ3kasDWeUfO0HXazN
W1/MqG8aMprTFMD/jr9Q4LYdcwPoh7xcmDUQ1ynotFdUSeDhcuaIJ2aM9TezGY3IJiWZOhPHY9Dj
YynxQSsZgyA3VOmrtfEbr4yZV64mTfE6El9ol2mmjnuEU5BpjbPJQ8ffsQ55b73MXuAd91tEAIjo
quiOBusZ2+5MTM9TDZ7LTFHvYuJSeS7sbHZodwezUNWDPpPXQ78o6OyYcez9F5rdrEV6S/XI4mIp
lC/3BjbGkaH2IUUdYGCt8XnKeGLHegvRmmfV655Npa+eR93PFxXazsYPdJ1iay4gU3gzcgQEx+qg
BMYmi7KMEDhgkFDd+tAn+bXvzUdga/aw6AGqLaMgPEUlIkNXYossAUTf0UWyaeSg7Ca9ZDgRGJw8
/eZiOAxIOhM2Y9t90wAqbarQmz45xd0h4e5ifczPpOzyRVkp3inoohpeenFrOHNtWjkmGx8bBxVj
Etd9gNncxyWwQ0SCkWslLxpFH8jBiUNYVfkwaAl32ZUBUaEJCsniMZlw10Z/G9nBlcvmXTSzx9ip
YSoJbVPFZbyY3ewV4szdYHK8jPNprhmLUbFmuB7L8lZzsGL0g/IqC+KFhlnCPkvMjyEzjwG0vWM5
NWCHsMqsrS5IHmKOjPdl6fBaRW8AjiMArtd+do5U/ExmvfSKtN4klsyhIY/+2mgGdVHFnro1g/rO
otKIbbkd9GVKnoe8nU4EpUCzbwcsAk2bpRutU2toFwBS/Wz4HuJ+XeSjRbunmeYbzQnxYlEeE18M
do1z2dnJ1pjgKaUjlD8sOr1BsbOpiGNVyHypOeVrBywGHEsr+Hw1FXzwO+Q0oDyM0Xh0go3XJGuT
7HFWKQyxRmYoSjVmq9RRr4ZVPbMGn/q0ujVeTlW2nGxOnKy9XV+s4BnNbqQWR7Mr9PhHjEdkDHva
q4drV8Q/IOZQF5Wo07KJKnmBAosSWeos44Nz6osQV79nH1WYTa9d0DkrMRkrwGFvA2bWVW3R1AWZ
+r4Y2yUiX7o3dO8e5BZVpEYB48jbWqI+dIFfEOPw+dkn/Ydf5Ue/keaVEsizAgj8XteHbJNoWrce
/Lq9OIr+MYpAXURFs02c1rwpdvFI+SsK1HQbBiPa14R3XMcedrSWPKUqVEoXmLa/Z+YzAt/mD3Xk
ww02vfbJsHrlnegGQXqKuM1dqCb5zq8sBwtYkGc7p+nDne0EEDmx2Q4/QhmTpBW9eLYKqR3GuhCc
Q4HfUoFMDAAGSvDcJ4a/oc5cNCvIb94iFXp/tWPhPebgtfxFTVuZYDuOqQnX+u6QDgUZbP6qH5HO
TrXqxFB+K4hDHaRpmffwu+SBzWFc9uB/1j7ztC0BKmsrs6K9Aukotn2WYDISYemvzK4PNn1QRxtj
6vy1oqTaZ2EUHOi1yn+ReoVtl0X7k3hafIpMNd3+/UHG/3dZ7J/+WGZH/3qK8dim7z/qv3DV8lX/
HFqQFdCEpHyEKAAd5L8WmtJ4pRrIUhSXGiatp7Mo9VMZo7OUcYap8o9uY7z9NUZAp4mOZ4jBhdBs
U4Uj/nfGFr/7ag2+s8VHzGJ6IS1tzjL8qmJkdsHIIuDi13ujuVI4US/NLvLW7ZAaSxt7DRTj6W3o
Ov00ZEIsfnm//kLdQRf8Uw50/u6MZTS0FI1/vmgjv2gomKIwe9UdYA8lfNYcmBME2yYXHTFZ//vv
9Fc/p60zODIgudMvO7+SX76Tlpuh5duNsqSTwVtLtZKrPFOVJZaw5Nz7HIJG6rm2uto36zHNkt2/
//bW7wqkYWqkSEzaxcAVWfBS//z9fbROWSZKuCIlNFwaS45iFWHT2rAIjsNmqnApxkqkMXMYHEBp
LRza3YAv/iVKI0h6bQu7npBjzIQ2ll70UggaO7Er5fGBRvOw24x9lDDB6GUHDpF92iqcR6XzsUGU
paGc4jrwU2bseb2NIzGYi25QBuwTdj44Lhk39WTBGeXKEanFscMQM984x7c+UFs0t1KB0BD5uf8+
xb0Vui1+4nxjDSNtHBYFXHREYI7cVfQIUEBhG+lec6J0WIiu9jASjFtyByo2JlXwUwQO54EJJaVz
48RsMd20Zt1ss9IYLKbvva5tGZTLJ/JeDzGHHfw5WrQPs9EDCTrAk12Q6pzaFaAyHOD20MbfAJlQ
U1V9VVbVbc7+yxiLKis11bILTRRmvSGyC6kj7Wpxqr7ar1iclWOqU4n19bv+W3Pe/5DlkdXiXy+P
/5W+TXn29lcLJF/3c6pLKkoXOtunrpqSZBQRgp9TXSIEeACIYFmGCvFLZ6T8c4EU/6DJmSwV2Sdp
2Swhf4x15fyfLJOYlYChCKfob1kHKHz6bY0yeWkOizR3KDJWPMN/fnK5L5tmFVP4qUGDe5N2Un5z
vOQhMqtzJczPrmwxp3rmHfZY19ataoETABtVxwyAUW8TNvYFiz5trI4kTew1p44aRSaLPog7HpS1
pkCrHEqHpnor0V/H2YgZUyqRIPnM/kwgtD7d9VKpO3f88nEGnsDTWX/5O6WfDJehtvQXRx38LeVC
zj4xoCnig2yC3UhNHo3RU+utxJd1dPiykWaw1+/TPuTS3s3O0272oCazG9Wvo/w04pm7UEKDWXWY
faviy8Ia4dRGW2oMDoz9kIgtA+/RJ0VhThYVsn324XRqcyuzmJGumvrdMSvHEnyphaFVyxpzN8YO
DvsvS23dm+MmUep2PypacBtt0/4IFFKsA32mzZCdlTpXH8YgDHd14OCX72bDLp339SdQO2CJOkEp
t+zH5uoUKgUcPnOHdVFk+YEpVXSvNr3FfQ8q0SL08FeCnUJ7I5Ll34sv2zBdu9atV5V0hlgRXUK7
K7i3tMG2baz+M2WzOhKVN65d0lfH+suy3Hy5lzvDOgezo3mkP+iifdmcpUgJt9mTxAdtfnmiKwd7
dOPArCxnyzTXdP1qyJCRdYNqflWJxq6d3hZnzN/WfYyt9rWZjdgjjcefiL71Y0ev6hYcdn5xQNZc
OOZdmy83ty9s/ZbNFu+4D3Gk4GOkLWu2gAeAhlmKZ2O4bNNyz2wYNvMgYDynRb8D8okhmhEPPVRt
Egl2w0HzH3XAWOcp6Av0QxuD2kDA2ZVlvmLQVFGhCIjvQE1wprmWOdR7vcucdRZyvu+suN8T4xPU
AWR+sKJ8CdvvmKR4EIOgn5A+TXWV8Gl9TZyO/kyznWtXOM+2roic5xYX7bbpvOqigwcwFlNiN3hX
EPo/MM6qlCuR7HGnRJTvYxcwMQSBa2ZDeh4cftl+prTPiRz1fQsGZpmyk75DqFJPTRtpKVChwHcJ
5mryfiwrXMCa0hrbsSQlxNk8pcxWCcp+G2SVxm0q9EYSuk1bH2lnNm5cd0vQl/QFrNs05TNiq3WB
DtxG2Vb4tUyxC0ki8vD1H4RMk0+LhjTCSaUW48bt42CnBRTrLB3NJCSj10qoHhVrGA7UIlHMCJ6K
/4cls73W2NErlW0Ud2LUHrZhRZuk6/XEBcmfeOoVxIV6QHxukJUq9bEnGLzU6JpZMx4nLJEB2Xqy
lbg8ALS0limNHkCupPOStiQGfZ/rfg0kmnCSzM/JmKJX64nt4GjCqQfrJVG/p42eVy5YgWzTelZz
wHk0O2ZGM2ekV2IXoI7EXgNQpbaCg6y2Gy3NFRA8zhqtVUPe3nJe2iIFlsSHDQIAoyjTGO71rETE
VgjTp+CDP6SIqGWgAKjAROEb/SKoVEYUVUgfsyPi6rtaaLGLifeYGMG5UqxkqwOZu3foSzuJJBGb
ruGuHvFDDlPF9GvUdhXw500pjWyliD5/VAlXPBAKwasYllWwHGKlxA0EK52Pe+rc7BItRUJ1Jt9t
1neJ5ZungZ6JXeOr6YZ6SeLxwlEEL0XtwIKgHNHPpEMlS9RvJjOWzi04OvEWhkarLFoCpD2WU1N+
1+TQv9XyvW9rCAZZOM58TyJX2Hen7rlIUZCSUYfSlOYz31Vn6nno7VjdyXBSvgX1ZG6CWJh3dc9p
3IVsrL+z4sN+Lsu8eagki2Lbq94uIJH6IbR4obfNB5qY/pnEGZzsNk8JKyWFs2vlUNxGumsXgjPb
Ro1yXkofxNrOURTcbplHIxRRGLQ3PzCfS/7QfuCjVN05Tq3e0LUYB0r4K3XkkxRWuty5wN8NOcGZ
HnEkVgzsGi3OUvwN8Jv0OOyBO/TTncDi9oHRqf1hT5S+coRNB3UXpTU0phHqxFFqBnblqRVn3Ya3
vhAJ0XuG6e0TmDXl02rUoXKLWmv7ZaMQNe4T9a3ySm/TjJlKvhdbPPtpVACM6g1IF70/5y1oe1qX
k043vD3YDqa6VnscWafeS9oYVoGdBAiR8+F0DPMeD26u0fCAfdi+bxDMSPaqPChFmsWXvrLM7+ZU
RPipjWwYMafUeHqAKy6HKJffDCgda2bGLBfcJmgtNF9ExJXJBfgdo25b/o02U9Nflcao3KhqwSzv
1J4OwZ4HxK07HdpEa2UPqgL3oVBx5g52VvObN0lWG1qiLurYh5QYo9O6xhDnVyNkS7B6nbDBlD5G
+Vg+hDSGnGItr4/VmI87GPzlIlN99eqNhHzDoAV1UyWMqlsmhqFVXj2YyiiuFSDdpMBpoWKEQkFN
tGvCTrcakSZYKL2ieVQjHNvsmfGzaM3oSAwqfMME3KzGtBvOQSFvf/+k/J/giPjnMAFDwL8+LS/e
orf0rfrLRlO+8I/jMkdR3dKwOgClxQXxx3EZgJNpc6NmOqDPaCe+6udx2YBYoNNZoKoG834JuvOP
8zLhXgmhCd8EyV/+7fytecL/7a6iWAsbhjm3mgqMNF9J3l9u2mqR2DIYyUdokClXXAibRZnPlR60
abe9hwONC55rFF25xJWKBXFgKNlPAYu5/9hW9qHT05CZcQKWr8vOyaRyuDMikrZBaZF3MuXZrEkf
tNgkaCjQ4hdMi+KJfvDqHGcA1LMIJy+KoZVfiA9FG4Bu1RPAO+OtU0OCOmVf7Kqoor136pODPXly
M9ObCiMLNmlUEQjlQF6WyiuTBJd8CyXDcPMQPMuNGHAtefLQeS2cvT5ctbQXuHnxOQHKFnq2dSDs
IGdYq6qnw8Jv4APm2V0+dW9gtc9V+toAHqqR7RmGapR1FUxVWJ9qn4c4Jne2NrqEFvDW8DZqUtxr
Xbu1AvWpsjuc7tqznxfTknKfftl2tAxmXA+MpFo6rfbR5+Kah0F8rWsM/C1MzyWDwHI7ttl7SsuO
a5TOtJ8TD0HLum2pUXfgeA2A0Xk2eiI2jUiDi+45D6FXtOtc96tTiEEbXjrbxcQ6ooblPquMI80h
pRtFvvc6GgTFuMhfdLIjx6az7iDGf9ppuEo1+EDlVBIVoPf5UPkVqRiKHzd6HTzZI80+AVQpu4Zq
b06hs5icpFslU3gWU/U8IImf6SDL3RTSFROb+ixr4x53ykNl6eTqwuhb2tA1OsObOnc+dC1KIK1S
mWJWaushKbxkbUlNLEiJeexhOrWQSU8tREHglG3MUxm0SKN5tJ0Sd8bI/+L6iZ7b5FuHvAMxzuMw
j9sR3dYUhL8FARKBM6+M2rxGTo1oHqevhZMSFMLY82rKfCubC69YYq15tVXmdTfijeMCYz52bfM9
+lqclXmdzucVe6CqZlHPq3gyr+cj/dEnYoflAxDaR70MgpM5r/8JHp+HPC46iB3z9uBHzMbBhbJp
OLpf0ycxbyXAopfFvLvU9kQpzdeWQy8bk/yvjaia9yTza3sK553KnPcs/Wv7GrJXn745uZXz3mbO
u9x/s3cmy5Ej55Z+lWu9R5k7Zix6E3MEGcF5yg2MTGZinh1wAG9zn+W+2P0QreqW1F0LrVtayEyl
IjMZjID/fv5zvgPJy30flpOvWs7AYag1rbDXo3FcTslmOS/b5eTsr4doNHGedtejleg8x6zvh+Mx
uR6+wDaybcM4/KNT5m+Rz9yBmqzD5DIuZ3dxPcZxi+YwoRwOd8/qGNjGDjsydfThfk6F+HSXdrNu
HnCbpyXWInOZGIj5Di/WMkWwh1gGimW28JYpY4oNxSS/jB7DdQwJriMJC7P+F1u78KfHLu3e/l/D
S+6QCryONE5kTRK6v4F7YXSSw6zm4K4rLAYhBwA9PnqeBOEyJzXLxNSMeeA/ucscxW30gbxlC4bo
OmaNy8TVCZfhy1rmMJpjKIn3w/qVeCdIxwQGPXwmRrcutXAmJQyH35klaFfqRcxasMIExvt/sjZJ
PPkkFSrVMsioHD+oTZnmq9dZ35NlDeuSDQN9v/Cf1ykb5h/U4tp3hjMVD3T/qF+YHXgyNHOb3tKF
/kllpT7msSgxV8/dpZj0psNLfWYF3OP71OaxJkuJ55Tker2maZnOj1AE/b1qXpve4TbhmFTFLSCp
mj0KuW1/n4zzY9Hn9Et57RPxw28AuC/Qz1ykQH8l7GajW9s65cVQ3rDAAlsQkzQop2cjC6FCTSBm
3F48NF4aXsJyui2CGP6bst4KglEbRY/eb2ot4ktnu1sVG9mrXbvuJTewpzpltJVNagcU4PkEb6lK
u3csXBHDUuRVGsMKM8FmksleZtKK1t6YEY2jAu4XdRTOuks+fM1zIjF9lvkEYglPFfRXj6P3w0Ub
32ibdaRFf+HaTAqC2h1LrLS3XoFff1Q+ZvTcMX60rUDQLA3sSaImNI5AmhGwdJISr3Qg2ZT6twPN
fK5nHJBTvdfKn+7bSIhjOPaIoOZ9LQXDdaqfkik0T33oNntS+PmtZzylhnGI5t95hRdvDEp/W+Jw
V612cMu78KJQg4Zbolk23WhmR9SAD8GxUD3dB1M1it/ar9JDZBrzr76deXcrOrLjFXnPJCfalqUP
dmCfI0+uvVaePE2bxICRZ0//5D6iPIEGWQpk+ylPb22OyzCdNA9vfhbiZzk0iWYgYNqY8IlN8TAL
wKbLP8UZBDqHL212Fo6tfDWnXPmNsT8NoNDoQwD86mV3pvQeOQDxi81xuTelPDpJm6xnFUHXghnk
Ss0NgbzYbhq4kszocDjvY+MdSYkft6Nvo1b3XeByimBVS6n8054YN0NJudOYjNO77OtwY1dYhFz4
qXXRHgPexWQbCAtyl9qHEdqJ4cWPeWFQu+0Xb0zj94wMPyHxBgTZk/lYZ0CIXDNeF0ZoUv+FPI01
I7BGWqO1fhYBzVWJiu39aBsWWBC/K/iW5E+nBmgcxh/UGSO2eby9lTQ3VkF4M/btco0P6nUXRL9z
UvhgGMWpqeT86XjCOZmSlry1bfvsYI2t377zkNnRHrEdS1Gt3Wn8SUwfRJ+9nZP5rAXlSDYNae+2
O4G0zYP7Lvd+Nk1or7nOQyYQBbY9b7hzMXZCv/Dcy8SeuY9c9+RHHI9R5E3n1k5frazutihP9P7S
xrwqaKTCDzSmOyHT5lzg4noyK+dNhFWF+c+cbktMZjsQhGJdGU169ijhWFV85leWDxuin125Ir7x
5sY2GBL8XRtvmuvb0upe55prLe6nfEvV2hNOdbEeBJpG21SwU8ao3Q1Vn2wSqktupy6L175MnJOs
k2lnlh2VjQOqQ8FzbhgH+6ufKH9GD7O+DZnLbeWRurcFl22IFPPeNBzn2bQoMm4HnBX+rEGSVO62
V8rdF3pk428y6QWscbCUhPVNEBbOyoLNxtYjWNde9FiCBKYHipHQe+GIKi+xL6iastxzo7p9P0K0
bukcn0lzBHO5oaWJxw21kFsGW/wApF8jE/9AhFGtXmxLjv45NGg2Yzoy185KcwmbectNuCsDGDdY
0TC0vFld80sOobPCGkXoEWOEv1gxRu+bq/0H1iQPGrE5EE6gkNSJ2gWO7Z6jWHm3mRqGY+7zgxjU
1OCQmN8cM1zbs/6VVMvoUT7Dln6Cof9kaDQfnj3ofvrOC/p3R3Tfo/Mw2fbWdTvU5HAXtoRFQg1Y
2huGauMl/nPcyIP0mGnbfnRfSMumB4Dk07Mcm4xoLaTyWlJ3Q1pC7HRhMznHrtxp0J0n3JtPWkyX
gD+lZHu66WL3yQ7qLzF0BhLKaB9NFzWtNxgd2/zItgpYySyGTa3ii80YsYsVfjqDjBQsoNandrLQ
3KjDT9Zk7qMjUoNYFOM0eNnnoc3SszVazoLgR/a2vJ5w8eRlD9oIv5SwsdwAwdkofMGMvGTTAz/Y
2Twf4W9nxS6EtHaQJAZpfZm2dFQToLMH49S53cfsux94rR8dQh5B3g+73hnv+lqv7Sm+FBEdZfPs
UK8I/4KpDfxob6vDLNP13Oc4sdPX0IzSr7G15SX3hnU26jMzrfsQjLhWYU7zeBQxFVh2md3DUCx+
mAqcaEUMukiyW7/IeJT4AUFlAjSrYS6wznS0iNbxHKwGP2WZqOUz2MRipxt3blZ1k37y+F0PCKWr
Oqch0k+qj24w76yq5kYRJEAqlK1P0ZTf5yjhfCww+AwTI9qQ5DS5Gsa8bWpKeuq+II9ltJpOew7Y
Dfr5SvmdPk9GQMKyoVKV6WpXlu6H9FW3xqblUSpI7S4PnQfLychtx2jkVHhPtACn+S9G2ObQmA/c
1R506pGnytpXo+Dpm0fw/quWZyZ9po9zaY/nXJlHOSfwwvU4U0IYrUUKHVXFc7Zjt7RjbGcyGkib
6b5+bA2ku9wcBSRyI7lwk77vzNo+GwuaKVOHFJfre1xN9apjZN45Q+/ewXw61jTP3pcEYFfYS34q
mjh5QYySC270wy+4A80D71GyUrzjjeDYzprHQdJvk0S/xqq+KYwJbZ9UIhvb9g4Uj+LOYcCkIu+Y
gdD3twARiERRKwT9k6kEonC6jpv0RzJjeGtn58MaiIFr8BfUaJ0D36Cws7uptGVgjiyGGypsq3WN
Ysvnk+7zXE7vlHoqGB+eBdwUBiXMv54TeXBhu3izve9gX606uFknTuX6uYVkTBOU9zApHHJJ8FXZ
k6T2xhqh7fL86JLePQ9xSzouIQBrhe1N1yJUK98a0dSR3Jc8u9O0tAPYw9rtJmflz9K99EPk70Sf
zLtcpBTHlYY+skWRrLhEdxgzHdGJhOfcKeLLUFbmRvszRexDVh/9sfK29uIaEmAiJtP88GAwBV3z
IbqR+Ty/KyboI0ZbP/3rstT/Jwtclpl/LUkd+v/6z7L/R9j436Qsvu5PRcr+wzGJaNtA/a+wcWSn
Pxe43h9oUcDaXPP/WuD6/F/YXtinus6y2/X4jv87mCNA0fGfgI2NKeFs/kvsODqU/nmDS9JrKQ0l
TkSIWASLN+TvFCk2VTF3tqTamnJU7znIGdKnPg+Fzietg6PqoR/1uHVmZ9jzFtT1zgwSLOjS1lG2
Fi5OY9ZV0HazwZz3k123Jxt76qqgZYI90GQz8dNjjSfa/VFlvqIkkUpoitCKsPewqy9kyJESXHrb
pJu+yza7nRfiVGa3ePhZUoABxs8NrrG64oGtKym4ZVA2FgQGU623c9I+eJoWtjC9HsFTzSfnQS7k
4WZhEOeq6j7iItHtfqZp7Y4fx9mMV3BxMKDzQ7Gx2cO0pr3UxE7TyAwfLPBjUc470QLRUV363lEr
xyDiwkdOr6xkuWCTDZL1X72oSfM2agKW6V0Zy1SOwO6gF5boaPN76sXTXJOl602gDDCTjG3E5met
FmJzGAvzRi4UZ+yR7e2wkJ1tLlYpl4gF+OzPjLmQLvCzLTxoFUTGY+31fUt/KLxoL0wp1AgdyBdt
OD4rKGSw1mfBg6WPM+Y4sFf0bHoOxs1j2jZusS5wxzyxWJVqO+IcjjYDswj1wHFlYZbOanPrFQGZ
VHvOspfQtFgl91Vav5Y+UZChH/ojdY/simzTDgcITgltxSN/mebcjRapUm4c82Z2AqKSeV75D42x
GOhFCTV9Sc+QpwUAQ+Se9XdYfUV55990U2EpctduRc67J5J2qEZdHKooMn/ZEbDAaYK4bkda3Jux
bO4d6Y8PPcD1blPX+FcINrNq20xt5cpN1bXms6B177lwhojfP2POmvHAh0yYiLcmZYW6aUSCYsAa
Nv5OUqPzt9KNhL0OO5fy9SocOh7ReUGuyHN5yerMiV/w2cxLB6gqlmKmhN01sfT+gKdRl290Qk58
HOpGHJgYOevZ6n1Oo0oKkmRucRlAJb9ULNr2aHfRDYebeuJ4nHibxFb5mkTpUjyb5kiNEfkYUZnR
gZ2TTxQ5EO6605Sikhgu6tsOPiU0QyMSrEIDZf7yoq6DVaJsZqFacOmtXLqRxDxBfRulSQ1iHOSf
NiLLJSUE59DJPPQfcu6WsTG31hrX6mHuO2LkIb3KVBAtwMY2B80c1Tm2+mvbSbegHVkkWQ/egnsk
sQ350WxgV2ElYr4aQIk/RldKpNtOwTtbvuxpsgQajkxQSXkeQJAzjPpUL8RJn5cC48HCoYyyQb/A
hYTJXifG/WCV9bsfjXQGkUWlVbxxNz6t8ndg39pdh5P1FGQUEJBtgyHQVvM2uRJPuPt5R7VgULwF
iBIvaBS9QFIc4h37aQGnCNPTh7zpqwvL4/Q+GZZs/8JbsbmmHjpuuluObJgOUmIxCK6glrbrSprO
F3xLuJBcxMJ0kQvdJW7sbqvQWH5RolndyKHlRzBaQMM3PZ7z99AxmtthQciQUIMmoxewDHXE0cMc
cr+hZb5r92ihw3tat+1jdcXTNIjEx/kKrQkWfg1LZ/DEZu/3eAkiZKIaPwmA3OZteZtjNYeDEy5E
HK1h48z0qZ/FwsvRCzknmU11Ml3F9LFwdbqFsJNcYTvJ1IXf1hXBE9QKCMLC5emVmRD8dZr8ITL0
ncB/zRtIUB9EFr0A+OhN+jT19os9O9YXjfLQqL5TYow5QPxBzDCLKkOsBjvatKFxU/TynLvqja13
/DWjRY68AdLu1yzaYY0McEgLC7ak7G/5FY9b2/SyBlXGrt5L+yOVlNYwQQX4FEIjN6ksoAnw4hH1
+YBNbp71DNwCFFTxEgQjJHXZ+BjHAaYjKASaewoXMsRmTUbuvTBLd8dL7m4ByjtblfPs25uEvkOH
Sd9zkehWTeONdIPnfbnzFDmrPPDkE1A3iPRRSiDj7JT0YoCAd94UmSOiiJxgDwEk0YDrK02feJGg
Oa4zJy/uRGIs4aWEt5bu/O63XXnWZm4Ey0fPI1tBti77jIdInb3cKO55yHaHZOSTG+XW05BYNA71
ejC/KF/uXkUv648s7oOd9mL/SjAb2B+Xn6LHz99RSQGmzqt+0zOtjyFs0mhHhoECZ/4kekaHqJxP
rTXXHwl7/8/SUcPz5LXtWdmBtaMm4ZuAz3RBDsMDA7sPHRcDaH0A59Xuh5CCD9bQgNFgO9enwZQH
PWFmCZgb9uMQKs4pk0aqwC6pKJgn/55ts/+zZ1ffbM088t5LLbtdFEzdF8Wg1S6KrN+9H30SYn32
VXnPgw1QS8buqVd186utrOfJRmwAa/qRUVs8pkN7EMl4moYKYrRM3jJ6a9c9rvhNUrvk49Mk2VtJ
uEuq4jNz+s9MtNOmYXonDeOrFdDSFc0UECWqnqK2muR9Zg+bxlX1JnIMHAXKj43nRObtAaolyIBk
39pRt3aZzl/TZKq3U9haJxEWxbdlzh6v0qIBj1lvxavZ9mx43vwmqwW778VEb8IFxW/OoTrgno/e
gXz6jwoN4K4YF3p/w4WdOzxVbPFah171Ei+o/4rGqCXb79UPdN1PvMKUAuAANcE0kPBhMT3PW35l
4Q38DOOcysH9UgR9ElI0pI/tlrYByHnztmx943lwW/XR2L1517X0E7j0DGynns6Cxso431t6DFAB
ySuWdBvErYWXwQi6nbM0H9RkWu7c0OAi9u+rw19Qp9k8//XV4eXn5/SZJ9wSShyO0/H7f/6Pv90c
+LI/bw6M+ThUXJhMno0J/u+tn84fAZtqmwJbEmXLMvv/7LK9P0wsT9TyLG2pHlCgv7s4SDqMiFbh
mrcx3GNp/5es8dY/m8bhYEuP8lpWRqYdcCX4x4tDXFs0oNskLtjFfiWSprS2r+s15pFu0xlts9Ud
B2sSbst+aPZUAvUEggkJA6CGN5iWm8mcGerxq66HIGAxED8ZBXwM6i8+RWucgGAWIQN+PZ0oS9oM
DQd7mm5q4nlJdIaDf+Pb3kfXRyEKWNxt0ETt1RSP4RrTJoM8Td03TRFrRGEDqKcIoSnSw7tR+DV3
IyzebThPGK2S6eJNg9i1qnNxWPXlqpGgaIAt6sfaQZ9zadCc1nYKOLFMm+bVk4m8KRyzWddmnTwT
VAuePY1sixhNaxHHyuw69efA6AQ6lCE6WMtZJg3jW9OwpYjUEfRC+dZrL+B/R0EMnHWK5D6t3RZy
agne1fFIMK14aIqlbDnvz1lk+Te5TbP5XNlbnkDG3le6KSFbqs4BJCChXYqpfJ8rV4OOl0N6qwW3
CrumTWlDbRlXKqbYi/Lm9tigvynfbee13+bOc1tr463J8vy2McY1P737LdIa2l3ijgcVGM25lEVc
n0Ym3V+WDdqmCkzre1Tg8hIZGIoWyFnfZ3TjnRyrDWiPyv2LKlJQJlIGNIfn9iBvEFtRiJn5AE6G
/fxlwuPbFUYSvao6AITosOuqRM3vfQbDFVGtzn4jTPBDYv5PH2tLJSxsSWm+UQcVPHkahvJKkTh+
C6Z0OErLqFuWndHCAhS+gDYlbCieslHZo5tLUVNgbhcYvow8Mne9DI3whGMtZlkyEb2UxJ/hmHvC
PMMqy+9i6ah+q3nEeuvOdNs32NDWpo1xD+U6fs9S1/uaYaQdAfYayIo6Mh8MdySviVtCX3qWzB9V
7/waiTZthJb7mu35W1wQAhsSRZZxzCu9D/mSfkUMLoBynSn3LqrvGH4wdFA5AYOIy8lpBvHYN+zw
M8CpaLymZe4KNa5dRWVXdDdTaL2aFCt8z6cZ3N/BoVmnWsNI9loKDDEn7hRr5yaH4T2n1XDXG4V3
AgmQ7eCATXx0ynRnB+zunZx2w3DQ5VPBQvtSpUH8xlJwumuiVNwnlgjWceoGWxok3aeUEtNdzoRw
MKUK9x6yOh4tXZ2oZ5puO+HYW1YGiPm1rN9SexFIAWmfDMuMDyMLDeyNvnvMWHFtlAaW1SelOPtO
mW+0lTZ7sMXFHkACEblexhueC7wkk9mrHcQItTEJmZ/RI25q3cX9DqTpuLE66znpa842EmVB0GRn
vxTOjU3OIQlz1qC19c7GmC72hhZQEknTfSakf7Rtr74ImfUvXkf2xJfu/KUHA8ETNgJWxl6+ERZh
xZ3xFnj1W9mdGj1+DBYbCjpI6dBgieTIPRViBIErD+hRE0cbV+A3xVF9KH0Co4sg0BlrO9T9viAf
/ZoIu/juOm4VG1U6uDYDMzzX9khFEpUcfPr4FxH47U98RtjoKaPChet6itjrNItLHBF6K0zdXMIQ
UkE4KRAflscG5mdHVQixJd/ldY+ScdsmsMX8Ju8u5P/p0qZ5dT/Tr3Y/AfN/JHXjLjZC7udG73mw
obqckcH2j0nTQPkdZdm9hIVP5WGPFxv1NYz0zkeSPTc68s8T7l6btrUoueRqmD4oddMHIvHVlwVb
VvISZFzryFzjMhQR/b3cfLZY/IvHqBYSN0aq1rmyu50fZLlazXigH8zCx5AjJ3GpwhJsJ8lU/8I1
CZy37iPsNK4iLy/0hoOyxsue8gahu37Vu9rayIEYwSb37Q7f1LI0y1Th7/0m/Grwrq7sjuitKLN+
43Q13N64T1huuETfgaFXE9deaXIx8UwC4nx4vrLCc260pKx2iAv1oPoJiUy7POiDbohYCXT1cwpu
/5JUBrvpVHbGe2K02XnsHXO7+MDvrCkEhqroof6t8fVgpubnW01dbrI3LdxzBZjjIR0S+7P0c/sU
5k3+ZM4CuWP26r2chuwFNIw6l2UyhDsr7ILPmLDBsypz110l3JbXUYL2MKlyYZYZ03gs5KQ+U1PI
xQYaz+t26AGuYiqY7+LSjrMNT1LCQtEkcH/PFdcYaSQDduQ8e8h9M7qHE2ef80GUpGsd9P7VPBMI
opmGv3k++j5rQ0uzqwYFgu3Kzfd123DUEBslvF07r1A1WrIN1PJuHCW9J9mNw8i5bHT3ohPJGx2q
s7Xu2B7eBWViPVddbP8GKcFUjXm2531nlo4+8SdbB1jxgBSyKrbe0iS17n1otTikZu92JiP1OOH7
w9sMu1KUtPg6lnxgm9/czlnuS4LeeiJEocxvo/XxHwW47myRZ4/ois2HtZSzrKy4BsHWKr4oDp7H
kPo/NJZQ3WcDAf4SIvmpKP1y6+dBaWwC6PMbu6vnHcyNADBu3+BuC+Mn3lXuZQ6tagtl0DWZ71O9
OIyBx3HuBuZOa7u4aQHMPONkLMTKkMo9iz4oT0Eq0fvTGWvxmQ1L8YxjkQ1PZ9sqw8nRcEJHon4A
DlN8M01h60oZ8u7iVi8ItUHqfc49Yu9bFbbwrJXPXj4F3/nsEwmT5ji9hawLyJ607eCs4ib8aTs6
3GYqGS4VFuBuVaCMxTueR22znmOhv/EU53dDYbQ0OHZFvW4MR/zA7NY/ht7oU/GQ22INbMh/qEbj
JiJrfTQakDkRH9iDDrryuNgpVlWmg3c8+16K6ooChWRYY21M6wZ9ISsHSH9pQEVgXBBLWwtbjo85
Hb8UFndzfprYu2o+L+FQ7RBM1e/OJB4Q6gWB7RBJp2AHFi/kUGWlx9wV3e3YOoxrTfAsKnHXSY48
T/DGTnIYEChmTfdYpTFfzS4GdFE7lB+NC/+mrYrdrHFiQmRP4bCMY+PfWKGliaO3GZu5Li33hRqa
hxjVYCeI+mGNN9ZeOj02dVeDskBO8n0PlzVdltD96REkZOD793HZiN/woYefHt8pX+ErTwieZ2o3
BuQT1yRhYbY02TsLIdovDYlwEeDCKLZuEZszV1zO3bwI5w9/TrHKKJlZvK5zYz9i3weIGcY2b8Oi
B0MClce2ug3V4smGlo6Di5S1qy2RvIoiTB7rpI4ZCv3JvLc1XIF1j5/+YF7VxIZYDC+qYYzbpd2X
Jqir9sj2lPAWgJgD/h57BzoEldId4TO5VQSJPm1rFONFyiThq55mzWheLkonvvv4pbyqn1ZWAjVx
M+foLcJoOBhyI4ZFprvqpuVVQ6WsYdLbjiDcrZ22xQ1iUcnABTiHR7qTJyiwk0dnwaLLdlxpaS7B
90Nbek31MU1d0BISHvzANbXvf7I52TWaL429SLyyTED1LQst3iKn9y8xXPJ1j5us2hFD6Z7b2YUa
b5nPCQAa5GETixQ58UVbVledOedkAFEYtfdsHMT9vAjSziJN14tIXWV2ccC9wKKD6YnfQlv41oYt
K39K5+F928WLzt0r7ebbzqGL7wYPUkFAU/gI4vNVHO9nGzOKNeY00Rd1fymdmbCredXTu15ZZ7fB
bWQESKCr0m5Q3V0LcIITVTF/+SxHjddGwIoh8HHfukbg3TCmI98j9KQvllwaXMWi79vxIvX3V9lf
9Rp21xQP6kgIWB86NWGV06Vrr+ii1E8DQLViPVi5IY5zF4JQVPSUk7kpVjhcmvEmjZZ1jryWXsoR
ZOhwrcLMAEt+RpacQEB6i4i3tGZOmvM+uFZpluy+3jQzDaq5yqcNx575kpGEuAxLE6e6lnKC/SiO
9dLUOfkCOGy2VKPEFHlqRwz3AvMkzuBpKfocfeW+4Upkwb1gZF+7aymo09IPGuvxOPqTjfyylIf6
tYTfCiXLeoNGNkdbvTSNkkOLwYN6Jn2Y2VJF2jK277NrQamGVPGYL62ljt0F+/BaZdrzcYfeqN9o
CNvES9+pYTT1s146UCVFPi9yMtU5cabuMYvm0NsEkWVzXat1uRuGcLxXU98BGunyFeUj9Y577uJ+
tvjgrAMuVfRkRxSzlnoxiy9trTx5MmOta5NmBBbz8FitpErGlZ95+2Lyubei3w6UAM2+/UNmcfDL
4pn2s+6rER1igOpmWhwtvpnvizHFNiWWcFFTO/k2liRJsCQN43fLv4osVRQ+SDEIkKOV2/u5n4NN
rpd9tJHWHj0mEP0xR9uAYfms7duSnqYVNEoQe8OE5TkAlxQwF5JjXAnaAO21JXmO6a6tvhxETJrO
pdNvq0G5LxIi9T07Dcq4q5oDL1I8oRlVIrGvHG4tM41x3V53g12vRZbDuTXawH7OZop+FJjYb0/F
8nbMuFkmxvCFBya6K/EhzMS4DNQAfmC1IaiqzG1VRfuWAvbnMWh7bq4mP6pj1f1vg1nxqwvFcKoC
aRK0cgDg8d/Jz8If/A/HhqfltkvgqRk6/DGqJ15ozhE/IpGrUYYvM1ws9mtzT4VSqF4HSZtD1vK+
7xkUl8scUPykwU1lYNUTFZuhFeltSLVD05ZrhUa474jGV2s4CfZuGMmHbwyb17N0EiI8wWDtJ+4y
3ITr+Y7i4mSnlG1d0rS0Tl6DRpmUkq7xhq6B2JqHu7Cx5N5waAKbM6VPVRk7NwNbE6gaZ3hOjNHk
cBjSDQ4xNY8bFoE9+goXycQbyzeBuIOLeim3hw1yK0VUbyzmURZPdOBugm50IAzhuxoDg66UpHVu
NWYkbEzYMIwYsl3QqAHPFse42SPfRH1q79rBfPP5K8G2i5FX++GGtTnfLc/wbFSgcRkl4006AH8J
2b5U/PBZi6MGs8OuTQXr5VSrA8HiJQlr6I0/yuRpUPiRKI/wb4LeO3HmWDvTUPaOB37BH8Id0rHd
Y2S0xt7pvPrA8agoBBiygxpVvbUGwz1wL7TXEZ1KDxl67k2VoBKwRAJVwt74RAoNcWvUw48aOWct
vdn9tzL6V318hGv+Whk9f363v/7j+9d/0PPT/T/0Ub74b/qo6//hOhIAvuQiiunTQgT901lh/kG4
BqAI2A7xt9T8n1mf4A+2pYvLwUYnvSL3/04gBSzC0M1yEzUTmdQJ/hWB1LbwdvwDv8Nj0WYJT/Ct
BCpp8E/Z+CBb2OxpHWyqLLYAAkfk4epNalS09e3JwbNfnTrrmPERWOtsxlEGTu1QGIouj3JQh8lr
ggeiQDwOYFMvOVlxTnrRHf104fMmEJSjbCq2k5GYBz9s3Vcqp7P1tNRCx3lWrdhltbeYGgiFllV/
NsGtHEltkjNtenksUvyU5Cj0RrPMvSGKRNEEF0E+tH18pOIlX9cteVRrDoy9S94VWjWIkAwLK3S8
wVwam7IJi7WYMU/Y/srzK7yCn6yeHuFkxT+81iK2P8v4xZNjfkod5WzA7yVHtD99LMxg3gA4GVe6
xZiNty57ceOsexCW2Bl0mj3h8Xc2UrJhRgmZT4gG/cFXGdeltog3oa4sujQd9v017m6PUXznppH9
GGILa8zTZMlIPvtYFWZY/TK2q1dKtbv53PcIWC3GjCLubpAY3X2iQ2fjtazCyWKNp9HV4LnCctfZ
kX10gNZSk2IGj1HjtAeWpcnJxDi4DwQm8rH0ygciAqzcgjgghzgtty06ZTce6vgmDg0HINQUbRjv
XcqBFM1hcg4PcdKX3wo72xbfD9dE/Ne72S2IuZdmcpoBmCH0FWpLLWz2Tpc9hSEmwM8cXGpmdEdG
YPO+9Cn7i5fSG4PN3zbx0NyhlkMpyRPjq5ml3Lo5GVxDuJGxigUmczeu9I4Y/LSieoTKhbC4neck
W6MUxyDiIkC5GoM7KTQdf9Zz7A4I9ENEMrer7c1IrdJzEAA7jXLTId1Cycjaj1o0GqFwsNsKndJb
vLNpOKvfQ3o0a22ivZdxOG6iOErl2ZrRv4xbc+ZIRNddNFM7HXD3TIuSShjN+1KGn/+SnBlNhNOC
PFj7NlxFWKhAXb+dKpVTvIBKG8dQR7f56BLCwClOl2/WheFJu0Yod1OIwWDlBgmybyyIfqksRwxO
shhhmJwvMbQ4UwjGRHb6I8UtMRKf4oTvTQTsxDLrN2nZhE3SRXsGAhAS59KLJB1yZ9mVi04t5GJF
rGQCPMA0XnrpD7vQ1V/F6NMAMYYLzhgfi7ypmb1psGC9CEWf5c0lB/76lC96uV9U+j69iuh5ijeg
XpR1e9HYA7oIfrWBNKpTv2jwVPeMB7no8iMUgu+WExrLf347WInxFiw6fpzESPqo+et+UfmzoI8v
2aL8O9clAPvwcSnvTW/FdUlgRnn5Pjgdl+zrEoFtJQuFIgFGwBp+O2qnXHdS+egVbCBqk0jMikv+
spiw6GJi+8q6whjZXKBPssTojYqFRgKe4y230N7cqGxoGV1WH3lTg1zrrysRsWxHat2jyxVa9o+M
GsutpqpxUlKFAqMt9Ct0asXVxk1tLv9mZ19yu0tgu6dccjCgpPuKT8ZJL2TexEJtpnJZrwu6BF49
j6dZFWb6UXD9+u25PQj7cPC8XwHIuLVvQWFAZAWiqnCbFKhihEzo6fwxFdpB4ZR9eEvwhyqpOE5g
w8ugjOl+dJubInGMjVdOSM9msJM1OIbCmSgQ0QoD/h6hKtD7/2bvvJbbRtI9/ipTew8XcjhVu1VL
EAyighUdblC0xEEGGjm80z7Fvtj+YFkeSw4zs9w6x6dqeSWJVBOh0f2Ff6DiEQFTlkI0RKkGG3dG
Ea71oIX4XYbNpWRkqYdcbPgmd7C/aIueRErSO9n3etmKPC0d0nNhDSVcGDFelm2lbqqYBWEBPu9B
Jk1dUjidjdwEvD9+YAHDJhm0/4dEbpDNNzQ4DLZGE1spwnRba9PkEilK1aqV4trrWeIFsr5lvW0K
BBRbnKyB9SClBqZbzjAoQ8Q5JfvfWRM71gJmV3ViNlN12TWpvw1UX648+FvdteJr5YOE4fsOo4qS
jQVMFPqHU8aqqFjWGWxtSh2F2gW/ohFbN4sSaQ0qqo3TXQ90l98HBpJDLYzTs1T21bNY0x4s2AsD
y8xlrqYXCinnvd9MKxGKJeCetaJAXAGbHu0kOSCvxj9yVaBE7QaVcM7hkAovNJzarWOHOqPdyMuM
stW1ldriIbLV6L2UOlq4K00hrlJ6Owt8MbFAaWsjO61QHaBwI6ntuuwa9P6CSFkrFfuOFV63Uh7i
devPlqwAAE/CoZ4ufdNH3RHNqPS6FGGFzWquWmdNHSQ7LSnSDzLYfgO0H4J8iAiTIod2V54j1Ct2
VpGeRIbf0hcbJcifUm9aG0nJ9buQs1/GpKkB9xt5JiKElurLxCK3rejhvBFyHr9pbBWraKo1OhCG
UEJFZoxBu02+KnlT2euYakD8i1YoI6TT0oiTG6EpHwZJRLvEKfxLaPfTmd41EFoCSVz6EVoKvTRZ
G3h/JfG3nqbbXtIz7D3jJjR1Zf1fIMB3gAB0zb8f7m6/SWjnX55AAFDTdctS2RLoCNuwtH8Lck1U
8ExNQ+zOUhBPmyHCT0Eu9lCOSUveMYh/kd23viC0K9hSzy7RBMCOpiqq/aeCXLoFL4JcVKZkGxiy
pSFThxXP/P4X8GGW6rKleqh46PQZ18KSswTRBIVqI6bv/ioQmUVVqsKFd0krjTDQyeJkNp9jCq47
YLBvdRx51XUoY9GIsWZg7bH6rWeOuANXI7LSSqKTZ4IyG+uexm4uQ5zq0LH4ADICqWeNPcVtRN/d
BnlWvyu7jC2aPYeulxI3WrQwRY7JPNFUjKNk7VDl4bopl7qUtjTwTIuE2dCi95mJXzyy6SbmblE9
J+1Y5OLQqzZEsZ1Qy+1oUEB3E0cvrRVRjEOFRC4qiEk6+EPqe6ZfQuRXmg18W7h2UY+2l9dxpzZk
6TFd0VThUVYhZG7VUYAdrmFwL2oo3jEk9b46NTOn2o1m2ZyEuhyT3pqU5lx2HrXbFLmO0GbVxPpF
WnXjddX7fbRGY7hj0W0HrDXT2NQu4riZHUx75DyI3lEhcIuGfrNcDfYba4zxRFLAqiFoExQ2XUvK
xrBLZ4pvkTSjN8Zwftyuap113I1GO9PBfZ9uTGYgPt22Hdjtoq2wGwSaijHBSLEuLh08Coo0OrXo
queeFpljsZBqleAU8HZ7LsIAmXYsuDLbK1u705GPNcUpbOYMjVGQnQMt5SI4t1OW40UDYheCdjFG
lUurxAndKEqC18HUC+piUJR+HcZRui1kvAgXyJXTeCekI5Wgqyve4TgVSW5X5JD4E13u/GVQqhqr
2NAXl2DDa22HLnXrZ/pdWY3hzJ2Kq37dID0M2Dxt9UR1TRTuzZUwhgggcAwZftUbohCeATxNOfGn
oIap0QP4wMEhVx8S3P6SO3A+dHv01p7NvLVuZNpV6Ia5VgOiZNEVTV8vVTAeoQdgtcLBQAE7w5Hb
GIH2TQOpRlfETWuG5a0O0BGJHlWvrjszL0/qoaAUH6RTACtfDiHTwInja6oU8g/huRMfLMOmAo7u
f2wvNNUcbhzImNR0bKQtVojy23vwiebtoOjVPtDpzMziLZhzyWGeyTjISrNMMaTRS+yZ7GI5wUx1
R18qQbbZAOFPaQ7Ga00YWbXuHWKXa80SU33BNMuddRllzQfknOPD0PoVMkll44RLZpy4LB0et7UJ
u3wzIetLioiNJIJGqDHRuK2nElfyOKgOAzIWV+yO8Yh4jBKhajDifuM20UhOKotgQFfC6tDdajML
1B5Ft/LqvzvSt3ek2eTl+zsScv7tIWj3X9de5v97qr1QRXFo+bLqqk9iKk+1F0Bms3GQjZ4KFQ+q
ul9sS+DWAIxBM8EZXaPawF5BdtuEf/2LpFivbFXRLSgo7CRUAZQ/U3sBIfdiW4LPAD0CABybnwYU
jsP4cluSe9C0w+gjDFK1EX4dEM4zYXgCyT8k+n3ESuLwRsNl/kJLMAQx7In6ZmHL9Mcp6yNljpGZ
2gwbySJ6rwLbX/KMxF7e25XnB9mu1fv2FHZr6o5zvxuctepiWTJ4qcz6C2i7ddGake5kcE9rQOjW
jkcbft0Q4jRlgL4wOhKbNsAgwTT7CNZmby+aTLmBS5gQKaJujNwb9FTg+LWRsMkA/1zA+s62hjKx
uaBChSifsuqo4Gy0poih9NUX6JIpd7AXxApeu7LOO0jguE+8H4R0IXpw4MQRyCyNMlrKRabC8Ifw
b9eSjoq/gobEqN+1+J7gT3weDuFJ3IhkYfQdgPigYN2MQqlA3KwNX8Pga29jxziXKMPsHBGYC1Pv
zZWhxlfoLMALTQPh9tUozgO1e0uCxGaVhCuEUcUK0XhQE8JeyroO1hYsEV1Kac/CH6yHjIpxRpK5
aMfxvjXr5lx0xQU76lyPrputFVMPjw18VkeKwyvgNdWmBE6wDVHSW1sZgiM+3qfQefg1G+fCQydy
TwaY4qKNhkNzp+4jYD4LmoRvRKXfQqTIN5NW6ci1wNHOk/A2LsVb3SpAcpnQbbsKMIZ5HXatfWb6
4VsJFw20UunJBI0h7Su7rbw+LN5lsv+QznKDiFjs5DCYVpWPR4g2MIdiw78sTbAJUh7MGIq4WU2g
DpdJYBgrlEbQbKSahkhrWeLHq92kup6sNTiiW3LgDJR8Ji16Mz5gbn7RsW4va7U5jVL5YAMwQBML
YWwkK8tlSfCxaJGdkMe+QpltuEYmNzwlAlFpdyUfZBWOa9lP9EUiAC3FAPjIEjqRTzYkVyKdxpPZ
+GidY4jrNn57RmNZYC0SS5uYhND1DTNaybmZoWHo05SaxNWgVAMIAZSIhknV50dGXEMeuQv9UF1P
IqWyBVkE3ukgNjSi0dqnbeMqo37r67CTUdVA3UYMiuenOCgmhv4hj8qdXlLKUFWsbYYOvz0w/uIc
bd9LOaO+ZIyhcEPqAuvB8fvXE26e7xyzp69UdvTIjDpY6IVIaVFFt0HUaDWaBsEBDFEOIgNykNGx
7To3TuXUOwy1y9VkWO81oB7g9HDgzgFr1SETxkdeh+0w0l2atY6Xp3H9OgiCcJ0q3QPFCGUTmL6y
xKJHOVXV2t+SzkIHN8AAgKGTIbmZCDkhkWMOMywna8Izv8AxMkxj8FzThVyAH8JzvDwzlYgua4x8
gYxOvdcMhu8J/LDuSjl3zsI8sQhiKGSM4wyC6/GGG31j3as4X3aZKJcgenQgFY29nEJA7xVPlSeF
GH0O/mCudDlUL1MHy50yaVVvDLUGV2m9cBYJ9QD6/K22Rgwi3yYDOb+mR/paFUlEKJPfBkCElmjm
iV0HZZ3sEGH5AR7PCoCX8OIxHtZD11jbAVnOkxljhVJ/4VmSuK5otKIEoRNdGsqwSJT0Cq6rgkPx
3AgdW4o26k2TOJQodf9dygV0jYqKMin2tPIHlhMTeo0bWrqLgGS2AoUD9iH1bzQzfGM1UK+nKa93
OqxEd8gFFhuhZniV358VOI274C9wtcAjmuoTKoVIMTWrRCLeL8b6FoKf+SZTmttezosN+Im3WW3H
q1mm8WSopNuIxW1203DoRxrv6TdsYaeZV9QNA7dUfPkOz5R7+rT5TlGQViDtKLx+wMY6k5IdguLy
AgJS6WV97qN5RaFFi7BVAAa2qaNROcXxA2GrMemXGYeJIEryXu7E+9Dkoc30oNxVmZ+6fpOzK8TS
PeRnfxeZNLUmOO9wScxZ41NHDnchN8lFnIwXmg4YB1fRyzRtP4hOO8+o6iNnaVyHlo2opqSujZmA
rozUPLXRSV21BqSi1UALLV9pPZ6kA516UB19ky2lNkOHQxAaI9FJXwGgVqbPIhPjWdDn3RIvHYLP
GBWcsUGsAukJyhNUXap6HzR9slXxR5d8K11jFUAkjzRIgEPCMg9GbQGoJVxknQE/UyoPcYIfu4ic
AcC4tCnNfoRaoaGKQ0v+LpEBMaAGAEsspAQVEuBGbRCs+qmEC4beKN077Mrk6taS6U4Lu0F6oYhb
ispwGkrDoMijkQC0iNwsKgcdSKXMqDtjYrOwInrJcTull3LZ3cY9ZKQht6mgxBQs6TTf4MKCGSy1
0kWZ54LHqUXrdBhTe9N1tDnRgRwvTASOdlk1nlNEai6tCFK/wIF44fh+7VYpCrNB18XXqm2VSI71
OQWhjjsXOMWyJx6iPDxwSnl539X1GbJJCeCB8X4qcDy1lGCtOB5mlYhYZGg+OhJswiGgqmeUqA9r
Mj0jUnLEl5smXTu92i4HCstX/twRxTAPjwU5w2Z2nN6l5OXchTbZRmp+X0GDHBqlcBO5Pg/j6kq2
kTmO7YdaMkBAdzjihgB63FTSaHaPwV6N83MItFh51sAJARNg0Rllb/w2Zo3oAjo0TUpPK+hj6P7B
NiRDPbEyKT2EljOtFNOwPUkPJldJ4uswVK9MSekWOY2fheEPQK3iWkMNttPvVJ8mRidrGZS7tLrM
YTNdGWUNX4yb4mZpaVD5xGl+moOaiQevRe9qaYc9sp0B+xZIQ6tfdW1qoT4XiK0kjb6HPC7pYNCe
WKoK9DIR9olhlOu0SbNTOUACOsQ1ZTlEKKwqRWd7mt7emlKtIN/aeR16r+91fQLl3dyAZoaZRIl3
jdzpDaSm95iyKxvLd9plZfS/4rWRuGZpvu6Er3qBiZsqq6UG1t2awfa5AYJQTHnhpQYFhjbFaFVW
+wCMaAzlNVEHr06ANg+GA06lnehOBwM2eHp/Tm6EXclcu0a+861Vyggqh2HvTkl8VxvKiTF1hVdi
HLICLx9ibGIMyBCDZcUoCdEiVZPYEcHJAR/BKzkOjWUllJPWoL/RqcY5jUT6lLm6C6zoWlVHmJnD
SdpmlQvm80GUTrn2xdRsCHOY/fEobWUR3mXOrNeiD2LRU8RZ1BhnLQxaByTmZPWACiVP1FG1mYKC
z4KrgCDGNdTYb63ReKs0srH3k7a70hJNIFgQX42VSOFRcE0biNAUN/k1zoA3OXUSod1Np8ApYgNV
LgnJnrQhmg+dbOkXjXxldTI0KbR50lrNVib69bRmKteIDYYW72APr8M0uwYGeFMxD5KkQVqrMYBY
dDSzYFbdG0qxLFI9X3fIjKy6qVsrEgCuQsmw3cvXZgDXK+nD83Ks39amtq5KmkuExpu6yNgT+1u5
zU7ayUi34SBB+NOmh6yfvF5BU8pMmJ1tHqgueYXwoILRFpp8FJwj3MGbCS0fIEjEjn3mScH4pjC1
Ge+ShdghBaetXW61sIBdY6l4oUBi02tLvp699BZSgdqfnUqkAG01rIXMKoGl4n2BxL9QA2yEY1yw
/NGnDaJX2zoW78s8uELzDPPbaB+HzWkW5Gs5CM50ud9N0ngyphws8uDUvPBvoXnzYaR8DgQNjUID
TqFpCsLN/lwdknd1XgNSm7JTo+vqBWIBXHIciQ8liK/hVk8NLSZgUVe+qu5YOBK0KdGrlWqo7UV+
C5ApdVu7WeYDnu0NKih5Vgzu/9/s/pNTwnLf7L2P9K/L9lCNV4e6TZv6yWJ1fvc1YiHNTfHvfejH
A30int2M4vDXv+wfsgiqJLDe6L75Mu+nMjnnzi/KBR8P6+Mx/2iUFF/kpn1gePLGV6oMCMLRkZ5I
MfB8esMyX6m2IQPeoIg8vyCrUZn44gJ97xL8+Ower+WPP/Ps2O+LNm/mexBERf7lFYB898fO/sUI
X5y9+crm7EzH1kGBzC8qFc8ugoHRjWHjfILcx/zi/f+Ti/CjaYA3DO2FZ1WjPz0NXt58+9XjkP/7
t/u7Z/qRhKmZj3fgfvif4FB8fhD/zIx35lN7dpOREf7pznb2AGHaHXtfFUZ4dq487j/huVKVPH4O
K8pXd/YnPFUDI8Gj5zCr9stJ/PEvP9fa9EibNh43jiOeWMrP5vyiXvxiNsuvtPll2Pbj8v24IfxE
ixa7NIY+lNKPW55f3uyfcF5DXTdfNi/+9Db04jyxoPvJ7++nKX70DVZenLn16N73h2byH/jQ59AV
wnz68DFojQ71t2Lb733gKWD7+v1PwdpHnQQismcfnGPYx+8+fIym59//9myH/xhQfvHmU4D58Xs+
/funE/z6q59919NZPf1xEx0qTAnC8eMb46fDPN9nhL2v8al61kXjOX2cv78dylex9+dH+Icj7+v7
4ssolZFVReP2HjvyaVEdmpdDPy4uRw8dZS+vxmNucfTA++zDfjyU7eHp/OdpwiXBNJFt4fjhfzmN
PhyqZv/wNNjn8ed44tjxT9r8n/94lnNw6I+hyrFDu+1X8+RTZHD0yEVez+ldQ7q0T395XRVdlN8f
fil+/cXdp+n+xRQyZWvGxh/7rX8f9/ftffhycHQLSS2OHrxiCkXixRz9FCAfPXh+v6/Dp4P8LPfy
MdM4duwf2qx+XhH/vZXmdzwKjxz99zxdjhz+ep//cravmheP1yehnf/A0vA7AqBHHv6PNYKOHPyP
0GyO/IpNu2fWd4c0+ibG8T/wyH4fPHnkof9dtNU//5Ht7796YgG1PP3tm7WzP7Z/t/mzNey3AO/Y
teB3wDtHXpab/X3+bH38Lfn68YF/K7j6XOb7OuR6Kt9969+ex5PzJ+7Tw776278AAAD//w==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866775</xdr:colOff>
      <xdr:row>1</xdr:row>
      <xdr:rowOff>90487</xdr:rowOff>
    </xdr:from>
    <xdr:to>
      <xdr:col>8</xdr:col>
      <xdr:colOff>123825</xdr:colOff>
      <xdr:row>10</xdr:row>
      <xdr:rowOff>171450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4DCABE8-1B2F-B59E-242A-E63276E213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280987"/>
              <a:ext cx="1905000" cy="1795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247650</xdr:colOff>
      <xdr:row>27</xdr:row>
      <xdr:rowOff>185737</xdr:rowOff>
    </xdr:from>
    <xdr:to>
      <xdr:col>15</xdr:col>
      <xdr:colOff>533400</xdr:colOff>
      <xdr:row>42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F97CD8-B618-66BD-FC0A-76F5BDD01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800100</xdr:colOff>
      <xdr:row>43</xdr:row>
      <xdr:rowOff>138112</xdr:rowOff>
    </xdr:from>
    <xdr:to>
      <xdr:col>8</xdr:col>
      <xdr:colOff>285750</xdr:colOff>
      <xdr:row>58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AD73326-54D1-228C-F1BA-953246EE0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58</xdr:row>
      <xdr:rowOff>14287</xdr:rowOff>
    </xdr:from>
    <xdr:to>
      <xdr:col>13</xdr:col>
      <xdr:colOff>438150</xdr:colOff>
      <xdr:row>72</xdr:row>
      <xdr:rowOff>90487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243AC3D-E0B5-D86E-E04B-7737D2F3E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352426</xdr:colOff>
      <xdr:row>0</xdr:row>
      <xdr:rowOff>114300</xdr:rowOff>
    </xdr:from>
    <xdr:to>
      <xdr:col>11</xdr:col>
      <xdr:colOff>114300</xdr:colOff>
      <xdr:row>3</xdr:row>
      <xdr:rowOff>28575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3197BCF-F1AF-4F26-85A4-2A97C2B36823}"/>
            </a:ext>
          </a:extLst>
        </xdr:cNvPr>
        <xdr:cNvSpPr txBox="1"/>
      </xdr:nvSpPr>
      <xdr:spPr>
        <a:xfrm>
          <a:off x="3400426" y="114300"/>
          <a:ext cx="5095874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DASHBOARD</a:t>
          </a:r>
          <a:r>
            <a:rPr lang="es-PE" sz="1100" b="1" baseline="0">
              <a:solidFill>
                <a:schemeClr val="bg1"/>
              </a:solidFill>
            </a:rPr>
            <a:t> DE ORDENES DE PAGO</a:t>
          </a:r>
          <a:endParaRPr lang="es-PE" sz="1100" b="1">
            <a:solidFill>
              <a:schemeClr val="bg1"/>
            </a:solidFill>
          </a:endParaRPr>
        </a:p>
        <a:p>
          <a:pPr algn="ctr"/>
          <a:r>
            <a:rPr lang="es-PE" sz="1100" b="0">
              <a:solidFill>
                <a:schemeClr val="bg1"/>
              </a:solidFill>
            </a:rPr>
            <a:t>Analisis</a:t>
          </a:r>
          <a:r>
            <a:rPr lang="es-PE" sz="1100" b="0" baseline="0">
              <a:solidFill>
                <a:schemeClr val="bg1"/>
              </a:solidFill>
            </a:rPr>
            <a:t> de datos del 2025</a:t>
          </a:r>
          <a:endParaRPr lang="es-PE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219074</xdr:colOff>
      <xdr:row>2</xdr:row>
      <xdr:rowOff>161926</xdr:rowOff>
    </xdr:from>
    <xdr:to>
      <xdr:col>4</xdr:col>
      <xdr:colOff>66675</xdr:colOff>
      <xdr:row>5</xdr:row>
      <xdr:rowOff>79288</xdr:rowOff>
    </xdr:to>
    <xdr:sp macro="" textlink="TD!E26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F5B1653-EE11-4AD9-B04D-6063487D5B9C}"/>
            </a:ext>
          </a:extLst>
        </xdr:cNvPr>
        <xdr:cNvSpPr/>
      </xdr:nvSpPr>
      <xdr:spPr>
        <a:xfrm>
          <a:off x="219074" y="542926"/>
          <a:ext cx="2895601" cy="488862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B14E112-F457-4372-AD49-F9620B4FEE33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S/ 8,813.00</a:t>
          </a:fld>
          <a:endParaRPr lang="es-PE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461631</xdr:colOff>
      <xdr:row>2</xdr:row>
      <xdr:rowOff>126813</xdr:rowOff>
    </xdr:from>
    <xdr:to>
      <xdr:col>3</xdr:col>
      <xdr:colOff>719343</xdr:colOff>
      <xdr:row>5</xdr:row>
      <xdr:rowOff>95249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1602BA0-DACC-47E4-BF01-1BF8D777388D}"/>
            </a:ext>
          </a:extLst>
        </xdr:cNvPr>
        <xdr:cNvSpPr txBox="1"/>
      </xdr:nvSpPr>
      <xdr:spPr>
        <a:xfrm>
          <a:off x="1985631" y="507813"/>
          <a:ext cx="1019712" cy="539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>
              <a:solidFill>
                <a:schemeClr val="bg1"/>
              </a:solidFill>
            </a:rPr>
            <a:t>Ingresos Totales</a:t>
          </a:r>
        </a:p>
      </xdr:txBody>
    </xdr:sp>
    <xdr:clientData/>
  </xdr:twoCellAnchor>
  <xdr:twoCellAnchor>
    <xdr:from>
      <xdr:col>0</xdr:col>
      <xdr:colOff>228599</xdr:colOff>
      <xdr:row>6</xdr:row>
      <xdr:rowOff>95251</xdr:rowOff>
    </xdr:from>
    <xdr:to>
      <xdr:col>4</xdr:col>
      <xdr:colOff>76200</xdr:colOff>
      <xdr:row>9</xdr:row>
      <xdr:rowOff>12613</xdr:rowOff>
    </xdr:to>
    <xdr:sp macro="" textlink="TD!F43">
      <xdr:nvSpPr>
        <xdr:cNvPr id="6" name="Rectángulo: esquinas redondeadas 5">
          <a:extLst>
            <a:ext uri="{FF2B5EF4-FFF2-40B4-BE49-F238E27FC236}">
              <a16:creationId xmlns:a16="http://schemas.microsoft.com/office/drawing/2014/main" id="{F58929F5-2A49-4930-8A6B-287D65B1CF4C}"/>
            </a:ext>
          </a:extLst>
        </xdr:cNvPr>
        <xdr:cNvSpPr/>
      </xdr:nvSpPr>
      <xdr:spPr>
        <a:xfrm>
          <a:off x="228599" y="1238251"/>
          <a:ext cx="2895601" cy="488862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0F8A809-3B44-4373-A78D-76B6BEDAA660}" type="TxLink">
            <a:rPr lang="en-US" sz="3600" b="1" i="0" u="none" strike="noStrike">
              <a:solidFill>
                <a:schemeClr val="bg1"/>
              </a:solidFill>
              <a:latin typeface="Calibri"/>
              <a:cs typeface="Calibri"/>
            </a:rPr>
            <a:t>200</a:t>
          </a:fld>
          <a:endParaRPr lang="es-PE" sz="34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461631</xdr:colOff>
      <xdr:row>6</xdr:row>
      <xdr:rowOff>50613</xdr:rowOff>
    </xdr:from>
    <xdr:to>
      <xdr:col>3</xdr:col>
      <xdr:colOff>719343</xdr:colOff>
      <xdr:row>9</xdr:row>
      <xdr:rowOff>19049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F4C8022-B281-41C8-A94B-82E8301ACB9E}"/>
            </a:ext>
          </a:extLst>
        </xdr:cNvPr>
        <xdr:cNvSpPr txBox="1"/>
      </xdr:nvSpPr>
      <xdr:spPr>
        <a:xfrm>
          <a:off x="1985631" y="1193613"/>
          <a:ext cx="1019712" cy="539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>
              <a:solidFill>
                <a:schemeClr val="bg1"/>
              </a:solidFill>
            </a:rPr>
            <a:t>Total de Pedidos</a:t>
          </a:r>
        </a:p>
      </xdr:txBody>
    </xdr:sp>
    <xdr:clientData/>
  </xdr:twoCellAnchor>
  <xdr:twoCellAnchor>
    <xdr:from>
      <xdr:col>0</xdr:col>
      <xdr:colOff>209549</xdr:colOff>
      <xdr:row>10</xdr:row>
      <xdr:rowOff>38101</xdr:rowOff>
    </xdr:from>
    <xdr:to>
      <xdr:col>4</xdr:col>
      <xdr:colOff>57150</xdr:colOff>
      <xdr:row>12</xdr:row>
      <xdr:rowOff>145963</xdr:rowOff>
    </xdr:to>
    <xdr:sp macro="" textlink="TD!E66">
      <xdr:nvSpPr>
        <xdr:cNvPr id="8" name="Rectángulo: esquinas redondeadas 7">
          <a:extLst>
            <a:ext uri="{FF2B5EF4-FFF2-40B4-BE49-F238E27FC236}">
              <a16:creationId xmlns:a16="http://schemas.microsoft.com/office/drawing/2014/main" id="{E854CB54-9EAE-4416-A048-162C587940E8}"/>
            </a:ext>
          </a:extLst>
        </xdr:cNvPr>
        <xdr:cNvSpPr/>
      </xdr:nvSpPr>
      <xdr:spPr>
        <a:xfrm>
          <a:off x="209549" y="1943101"/>
          <a:ext cx="2895601" cy="488862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A13EBA8C-44D0-4C87-ACFE-13FE111FE23B}" type="TxLink">
            <a:rPr lang="en-US" sz="3200" b="1" i="0" u="none" strike="noStrike">
              <a:solidFill>
                <a:schemeClr val="bg1"/>
              </a:solidFill>
              <a:latin typeface="Calibri"/>
              <a:cs typeface="Calibri"/>
            </a:rPr>
            <a:t>4.3</a:t>
          </a:fld>
          <a:endParaRPr lang="es-PE" sz="857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227978</xdr:colOff>
      <xdr:row>10</xdr:row>
      <xdr:rowOff>12513</xdr:rowOff>
    </xdr:from>
    <xdr:to>
      <xdr:col>4</xdr:col>
      <xdr:colOff>1412</xdr:colOff>
      <xdr:row>12</xdr:row>
      <xdr:rowOff>171449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08B08E1-6B5C-4222-BF78-0C0584E5C63D}"/>
            </a:ext>
          </a:extLst>
        </xdr:cNvPr>
        <xdr:cNvSpPr txBox="1"/>
      </xdr:nvSpPr>
      <xdr:spPr>
        <a:xfrm>
          <a:off x="1751978" y="1917513"/>
          <a:ext cx="1297434" cy="539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>
              <a:solidFill>
                <a:schemeClr val="bg1"/>
              </a:solidFill>
            </a:rPr>
            <a:t>Promedio Dias</a:t>
          </a:r>
          <a:r>
            <a:rPr lang="es-PE" sz="1400" baseline="0">
              <a:solidFill>
                <a:schemeClr val="bg1"/>
              </a:solidFill>
            </a:rPr>
            <a:t> de Entrega</a:t>
          </a:r>
          <a:endParaRPr lang="es-PE" sz="1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209552</xdr:colOff>
      <xdr:row>13</xdr:row>
      <xdr:rowOff>133351</xdr:rowOff>
    </xdr:from>
    <xdr:to>
      <xdr:col>5</xdr:col>
      <xdr:colOff>209550</xdr:colOff>
      <xdr:row>21</xdr:row>
      <xdr:rowOff>95251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F5AB28A-D216-471B-9CBD-49A0A2DEC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695327</xdr:colOff>
      <xdr:row>13</xdr:row>
      <xdr:rowOff>114300</xdr:rowOff>
    </xdr:from>
    <xdr:to>
      <xdr:col>11</xdr:col>
      <xdr:colOff>180975</xdr:colOff>
      <xdr:row>21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40A925C-C1E8-4F13-93CD-98BC8687B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514349</xdr:colOff>
      <xdr:row>2</xdr:row>
      <xdr:rowOff>190499</xdr:rowOff>
    </xdr:from>
    <xdr:to>
      <xdr:col>11</xdr:col>
      <xdr:colOff>447674</xdr:colOff>
      <xdr:row>13</xdr:row>
      <xdr:rowOff>104774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6188F5E-9E25-4D03-82A7-3363F7B4A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561975</xdr:colOff>
      <xdr:row>11</xdr:row>
      <xdr:rowOff>57151</xdr:rowOff>
    </xdr:from>
    <xdr:to>
      <xdr:col>15</xdr:col>
      <xdr:colOff>228600</xdr:colOff>
      <xdr:row>22</xdr:row>
      <xdr:rowOff>61915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72C5CFEB-41B7-4E93-AE15-710073AC0F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1975" y="2152651"/>
              <a:ext cx="3476625" cy="21002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0</xdr:row>
      <xdr:rowOff>152400</xdr:rowOff>
    </xdr:from>
    <xdr:to>
      <xdr:col>14</xdr:col>
      <xdr:colOff>291674</xdr:colOff>
      <xdr:row>10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Transportista">
              <a:extLst>
                <a:ext uri="{FF2B5EF4-FFF2-40B4-BE49-F238E27FC236}">
                  <a16:creationId xmlns:a16="http://schemas.microsoft.com/office/drawing/2014/main" id="{DF86746B-BC03-497F-9064-73935FCD0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is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3075" y="152400"/>
              <a:ext cx="1596599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447675</xdr:colOff>
      <xdr:row>11</xdr:row>
      <xdr:rowOff>85724</xdr:rowOff>
    </xdr:from>
    <xdr:to>
      <xdr:col>16</xdr:col>
      <xdr:colOff>291675</xdr:colOff>
      <xdr:row>16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Estado">
              <a:extLst>
                <a:ext uri="{FF2B5EF4-FFF2-40B4-BE49-F238E27FC236}">
                  <a16:creationId xmlns:a16="http://schemas.microsoft.com/office/drawing/2014/main" id="{D2C243BA-D22A-4BB8-B8D7-7B8BD985B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5675" y="2181224"/>
              <a:ext cx="1368000" cy="876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438149</xdr:colOff>
      <xdr:row>0</xdr:row>
      <xdr:rowOff>161925</xdr:rowOff>
    </xdr:from>
    <xdr:to>
      <xdr:col>16</xdr:col>
      <xdr:colOff>282149</xdr:colOff>
      <xdr:row>10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Meses (Fecha)">
              <a:extLst>
                <a:ext uri="{FF2B5EF4-FFF2-40B4-BE49-F238E27FC236}">
                  <a16:creationId xmlns:a16="http://schemas.microsoft.com/office/drawing/2014/main" id="{6FC4B070-E1C1-4DE7-812B-C68E031DE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6149" y="161925"/>
              <a:ext cx="13680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nol" refreshedDate="46036.948420486115" createdVersion="8" refreshedVersion="8" minRefreshableVersion="3" recordCount="200" xr:uid="{BBF79671-EE17-4C6D-AB21-657F9E415585}">
  <cacheSource type="worksheet">
    <worksheetSource name="T_Orden"/>
  </cacheSource>
  <cacheFields count="11">
    <cacheField name="ID_Orden" numFmtId="0">
      <sharedItems/>
    </cacheField>
    <cacheField name="Fecha" numFmtId="14">
      <sharedItems containsSemiMixedTypes="0" containsNonDate="0" containsDate="1" containsString="0" minDate="2025-01-02T00:00:00" maxDate="2026-01-12T00:00:00" count="158">
        <d v="2025-06-19T00:00:00"/>
        <d v="2025-01-18T00:00:00"/>
        <d v="2025-11-12T00:00:00"/>
        <d v="2025-07-09T00:00:00"/>
        <d v="2025-08-02T00:00:00"/>
        <d v="2025-07-25T00:00:00"/>
        <d v="2025-08-27T00:00:00"/>
        <d v="2025-10-21T00:00:00"/>
        <d v="2025-10-23T00:00:00"/>
        <d v="2025-05-29T00:00:00"/>
        <d v="2025-06-12T00:00:00"/>
        <d v="2025-05-21T00:00:00"/>
        <d v="2025-10-13T00:00:00"/>
        <d v="2025-03-22T00:00:00"/>
        <d v="2025-02-08T00:00:00"/>
        <d v="2025-10-31T00:00:00"/>
        <d v="2025-08-18T00:00:00"/>
        <d v="2025-08-05T00:00:00"/>
        <d v="2025-12-31T00:00:00"/>
        <d v="2025-09-21T00:00:00"/>
        <d v="2025-07-28T00:00:00"/>
        <d v="2025-09-18T00:00:00"/>
        <d v="2025-10-28T00:00:00"/>
        <d v="2025-02-13T00:00:00"/>
        <d v="2025-04-13T00:00:00"/>
        <d v="2025-05-11T00:00:00"/>
        <d v="2025-01-30T00:00:00"/>
        <d v="2025-11-29T00:00:00"/>
        <d v="2025-04-19T00:00:00"/>
        <d v="2025-12-15T00:00:00"/>
        <d v="2025-12-03T00:00:00"/>
        <d v="2025-03-26T00:00:00"/>
        <d v="2025-05-10T00:00:00"/>
        <d v="2025-11-06T00:00:00"/>
        <d v="2025-07-18T00:00:00"/>
        <d v="2025-06-30T00:00:00"/>
        <d v="2025-12-09T00:00:00"/>
        <d v="2025-11-01T00:00:00"/>
        <d v="2025-06-04T00:00:00"/>
        <d v="2025-05-03T00:00:00"/>
        <d v="2025-10-02T00:00:00"/>
        <d v="2025-07-16T00:00:00"/>
        <d v="2025-08-07T00:00:00"/>
        <d v="2025-04-02T00:00:00"/>
        <d v="2025-01-11T00:00:00"/>
        <d v="2025-11-04T00:00:00"/>
        <d v="2025-06-20T00:00:00"/>
        <d v="2025-04-07T00:00:00"/>
        <d v="2025-08-10T00:00:00"/>
        <d v="2025-09-05T00:00:00"/>
        <d v="2025-04-21T00:00:00"/>
        <d v="2025-07-23T00:00:00"/>
        <d v="2025-03-10T00:00:00"/>
        <d v="2025-09-09T00:00:00"/>
        <d v="2025-11-08T00:00:00"/>
        <d v="2025-11-16T00:00:00"/>
        <d v="2025-06-25T00:00:00"/>
        <d v="2025-10-25T00:00:00"/>
        <d v="2025-04-27T00:00:00"/>
        <d v="2025-09-27T00:00:00"/>
        <d v="2025-07-10T00:00:00"/>
        <d v="2025-09-04T00:00:00"/>
        <d v="2025-03-13T00:00:00"/>
        <d v="2025-01-06T00:00:00"/>
        <d v="2025-10-15T00:00:00"/>
        <d v="2025-11-07T00:00:00"/>
        <d v="2025-09-11T00:00:00"/>
        <d v="2025-07-26T00:00:00"/>
        <d v="2025-12-21T00:00:00"/>
        <d v="2025-07-05T00:00:00"/>
        <d v="2025-02-18T00:00:00"/>
        <d v="2025-04-28T00:00:00"/>
        <d v="2025-04-20T00:00:00"/>
        <d v="2025-02-28T00:00:00"/>
        <d v="2025-12-30T00:00:00"/>
        <d v="2025-06-02T00:00:00"/>
        <d v="2025-03-27T00:00:00"/>
        <d v="2025-03-09T00:00:00"/>
        <d v="2025-07-20T00:00:00"/>
        <d v="2025-02-22T00:00:00"/>
        <d v="2025-05-14T00:00:00"/>
        <d v="2025-01-24T00:00:00"/>
        <d v="2025-07-21T00:00:00"/>
        <d v="2025-06-29T00:00:00"/>
        <d v="2025-02-05T00:00:00"/>
        <d v="2025-12-16T00:00:00"/>
        <d v="2025-11-02T00:00:00"/>
        <d v="2025-07-08T00:00:00"/>
        <d v="2025-05-01T00:00:00"/>
        <d v="2025-08-21T00:00:00"/>
        <d v="2025-10-08T00:00:00"/>
        <d v="2025-09-08T00:00:00"/>
        <d v="2025-01-17T00:00:00"/>
        <d v="2025-01-03T00:00:00"/>
        <d v="2025-09-19T00:00:00"/>
        <d v="2025-01-20T00:00:00"/>
        <d v="2025-03-12T00:00:00"/>
        <d v="2025-06-07T00:00:00"/>
        <d v="2025-02-06T00:00:00"/>
        <d v="2025-03-05T00:00:00"/>
        <d v="2025-01-02T00:00:00"/>
        <d v="2025-04-18T00:00:00"/>
        <d v="2025-07-22T00:00:00"/>
        <d v="2025-03-17T00:00:00"/>
        <d v="2025-05-26T00:00:00"/>
        <d v="2025-04-30T00:00:00"/>
        <d v="2025-04-06T00:00:00"/>
        <d v="2025-04-16T00:00:00"/>
        <d v="2025-06-17T00:00:00"/>
        <d v="2025-06-26T00:00:00"/>
        <d v="2025-06-15T00:00:00"/>
        <d v="2025-09-02T00:00:00"/>
        <d v="2025-03-30T00:00:00"/>
        <d v="2025-10-05T00:00:00"/>
        <d v="2025-04-29T00:00:00"/>
        <d v="2025-06-01T00:00:00"/>
        <d v="2025-04-03T00:00:00"/>
        <d v="2025-09-07T00:00:00"/>
        <d v="2025-09-06T00:00:00"/>
        <d v="2025-01-28T00:00:00"/>
        <d v="2025-11-18T00:00:00"/>
        <d v="2025-02-23T00:00:00"/>
        <d v="2025-09-16T00:00:00"/>
        <d v="2025-11-19T00:00:00"/>
        <d v="2025-03-29T00:00:00"/>
        <d v="2025-06-10T00:00:00"/>
        <d v="2025-03-01T00:00:00"/>
        <d v="2025-03-06T00:00:00"/>
        <d v="2025-01-22T00:00:00"/>
        <d v="2025-02-12T00:00:00"/>
        <d v="2025-05-30T00:00:00"/>
        <d v="2025-03-14T00:00:00"/>
        <d v="2025-05-04T00:00:00"/>
        <d v="2025-11-17T00:00:00"/>
        <d v="2025-08-28T00:00:00"/>
        <d v="2025-05-31T00:00:00"/>
        <d v="2025-09-12T00:00:00"/>
        <d v="2025-07-19T00:00:00"/>
        <d v="2025-09-03T00:00:00"/>
        <d v="2025-03-07T00:00:00"/>
        <d v="2025-04-23T00:00:00"/>
        <d v="2025-08-30T00:00:00"/>
        <d v="2025-08-17T00:00:00"/>
        <d v="2025-11-27T00:00:00"/>
        <d v="2025-12-27T00:00:00"/>
        <d v="2025-06-14T00:00:00"/>
        <d v="2025-12-26T00:00:00"/>
        <d v="2025-05-06T00:00:00"/>
        <d v="2025-07-11T00:00:00"/>
        <d v="2025-09-15T00:00:00"/>
        <d v="2025-06-16T00:00:00"/>
        <d v="2025-04-01T00:00:00"/>
        <d v="2025-02-15T00:00:00"/>
        <d v="2025-12-24T00:00:00"/>
        <d v="2026-01-11T00:00:00" u="1"/>
        <d v="2026-01-06T00:00:00" u="1"/>
        <d v="2026-01-03T00:00:00" u="1"/>
        <d v="2026-01-02T00:00:00" u="1"/>
      </sharedItems>
      <fieldGroup par="10"/>
    </cacheField>
    <cacheField name="Departamento" numFmtId="49">
      <sharedItems count="10">
        <s v="La Libertad"/>
        <s v="Piura"/>
        <s v="Arequipa"/>
        <s v="Áncash"/>
        <s v="Junín"/>
        <s v="Loreto"/>
        <s v="Cusco"/>
        <s v="Lima"/>
        <s v="Puno"/>
        <s v="Tacna"/>
      </sharedItems>
    </cacheField>
    <cacheField name="Ciudad" numFmtId="49">
      <sharedItems/>
    </cacheField>
    <cacheField name="Transportista" numFmtId="49">
      <sharedItems count="5">
        <s v="Transportista 4"/>
        <s v="Transportista 2"/>
        <s v="Transportista 5"/>
        <s v="Transportista 3"/>
        <s v="Transportista 1"/>
      </sharedItems>
    </cacheField>
    <cacheField name="Costo_Envío" numFmtId="170">
      <sharedItems containsSemiMixedTypes="0" containsString="0" containsNumber="1" containsInteger="1" minValue="10" maxValue="70"/>
    </cacheField>
    <cacheField name="Dias_Entrega" numFmtId="49">
      <sharedItems containsSemiMixedTypes="0" containsString="0" containsNumber="1" containsInteger="1" minValue="1" maxValue="7"/>
    </cacheField>
    <cacheField name="Estado" numFmtId="49">
      <sharedItems count="2">
        <s v="Retrasado"/>
        <s v="A tiempo"/>
      </sharedItems>
    </cacheField>
    <cacheField name="Meses (Fecha)" numFmtId="0" databaseField="0">
      <fieldGroup base="1">
        <rangePr groupBy="months" startDate="2025-01-02T00:00:00" endDate="2026-01-01T00:00:00"/>
        <groupItems count="14">
          <s v="&lt;2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6"/>
        </groupItems>
      </fieldGroup>
    </cacheField>
    <cacheField name="Trimestres (Fecha)" numFmtId="0" databaseField="0">
      <fieldGroup base="1">
        <rangePr groupBy="quarters" startDate="2025-01-02T00:00:00" endDate="2026-01-01T00:00:00"/>
        <groupItems count="6">
          <s v="&lt;2/01/2025"/>
          <s v="Trim.1"/>
          <s v="Trim.2"/>
          <s v="Trim.3"/>
          <s v="Trim.4"/>
          <s v="&gt;1/01/2026"/>
        </groupItems>
      </fieldGroup>
    </cacheField>
    <cacheField name="Años (Fecha)" numFmtId="0" databaseField="0">
      <fieldGroup base="1">
        <rangePr groupBy="years" startDate="2025-01-02T00:00:00" endDate="2026-01-01T00:00:00"/>
        <groupItems count="4">
          <s v="&lt;2/01/2025"/>
          <s v="2025"/>
          <s v="2026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15838528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-101"/>
    <x v="0"/>
    <x v="0"/>
    <s v="Trujillo"/>
    <x v="0"/>
    <n v="61"/>
    <n v="6"/>
    <x v="0"/>
  </r>
  <r>
    <s v="ORD-102"/>
    <x v="1"/>
    <x v="1"/>
    <s v="Piura"/>
    <x v="1"/>
    <n v="22"/>
    <n v="5"/>
    <x v="0"/>
  </r>
  <r>
    <s v="ORD-103"/>
    <x v="2"/>
    <x v="2"/>
    <s v="Arequipa"/>
    <x v="0"/>
    <n v="48"/>
    <n v="4"/>
    <x v="1"/>
  </r>
  <r>
    <s v="ORD-104"/>
    <x v="3"/>
    <x v="3"/>
    <s v="Huaraz"/>
    <x v="2"/>
    <n v="53"/>
    <n v="3"/>
    <x v="1"/>
  </r>
  <r>
    <s v="ORD-105"/>
    <x v="4"/>
    <x v="3"/>
    <s v="Huaraz"/>
    <x v="1"/>
    <n v="37"/>
    <n v="7"/>
    <x v="0"/>
  </r>
  <r>
    <s v="ORD-106"/>
    <x v="5"/>
    <x v="4"/>
    <s v="Huancayo"/>
    <x v="2"/>
    <n v="61"/>
    <n v="3"/>
    <x v="1"/>
  </r>
  <r>
    <s v="ORD-107"/>
    <x v="6"/>
    <x v="5"/>
    <s v="Iquitos"/>
    <x v="2"/>
    <n v="40"/>
    <n v="5"/>
    <x v="0"/>
  </r>
  <r>
    <s v="ORD-108"/>
    <x v="7"/>
    <x v="2"/>
    <s v="Arequipa"/>
    <x v="3"/>
    <n v="47"/>
    <n v="4"/>
    <x v="1"/>
  </r>
  <r>
    <s v="ORD-109"/>
    <x v="8"/>
    <x v="5"/>
    <s v="Iquitos"/>
    <x v="2"/>
    <n v="64"/>
    <n v="6"/>
    <x v="0"/>
  </r>
  <r>
    <s v="ORD-110"/>
    <x v="9"/>
    <x v="6"/>
    <s v="Cusco"/>
    <x v="3"/>
    <n v="40"/>
    <n v="7"/>
    <x v="0"/>
  </r>
  <r>
    <s v="ORD-111"/>
    <x v="10"/>
    <x v="7"/>
    <s v="Lima"/>
    <x v="1"/>
    <n v="11"/>
    <n v="2"/>
    <x v="1"/>
  </r>
  <r>
    <s v="ORD-112"/>
    <x v="11"/>
    <x v="1"/>
    <s v="Piura"/>
    <x v="1"/>
    <n v="70"/>
    <n v="5"/>
    <x v="0"/>
  </r>
  <r>
    <s v="ORD-113"/>
    <x v="12"/>
    <x v="6"/>
    <s v="Cusco"/>
    <x v="3"/>
    <n v="34"/>
    <n v="3"/>
    <x v="1"/>
  </r>
  <r>
    <s v="ORD-114"/>
    <x v="13"/>
    <x v="0"/>
    <s v="Trujillo"/>
    <x v="1"/>
    <n v="22"/>
    <n v="4"/>
    <x v="1"/>
  </r>
  <r>
    <s v="ORD-115"/>
    <x v="14"/>
    <x v="1"/>
    <s v="Piura"/>
    <x v="2"/>
    <n v="46"/>
    <n v="5"/>
    <x v="0"/>
  </r>
  <r>
    <s v="ORD-116"/>
    <x v="15"/>
    <x v="2"/>
    <s v="Arequipa"/>
    <x v="0"/>
    <n v="45"/>
    <n v="5"/>
    <x v="0"/>
  </r>
  <r>
    <s v="ORD-117"/>
    <x v="16"/>
    <x v="8"/>
    <s v="Puno"/>
    <x v="3"/>
    <n v="63"/>
    <n v="6"/>
    <x v="0"/>
  </r>
  <r>
    <s v="ORD-118"/>
    <x v="17"/>
    <x v="1"/>
    <s v="Piura"/>
    <x v="2"/>
    <n v="21"/>
    <n v="4"/>
    <x v="1"/>
  </r>
  <r>
    <s v="ORD-119"/>
    <x v="18"/>
    <x v="4"/>
    <s v="Huancayo"/>
    <x v="3"/>
    <n v="54"/>
    <n v="3"/>
    <x v="1"/>
  </r>
  <r>
    <s v="ORD-120"/>
    <x v="19"/>
    <x v="6"/>
    <s v="Cusco"/>
    <x v="1"/>
    <n v="28"/>
    <n v="3"/>
    <x v="1"/>
  </r>
  <r>
    <s v="ORD-121"/>
    <x v="20"/>
    <x v="9"/>
    <s v="Tacna"/>
    <x v="1"/>
    <n v="45"/>
    <n v="7"/>
    <x v="0"/>
  </r>
  <r>
    <s v="ORD-122"/>
    <x v="21"/>
    <x v="5"/>
    <s v="Iquitos"/>
    <x v="4"/>
    <n v="40"/>
    <n v="7"/>
    <x v="0"/>
  </r>
  <r>
    <s v="ORD-123"/>
    <x v="22"/>
    <x v="6"/>
    <s v="Cusco"/>
    <x v="3"/>
    <n v="31"/>
    <n v="4"/>
    <x v="1"/>
  </r>
  <r>
    <s v="ORD-124"/>
    <x v="23"/>
    <x v="5"/>
    <s v="Iquitos"/>
    <x v="4"/>
    <n v="45"/>
    <n v="3"/>
    <x v="1"/>
  </r>
  <r>
    <s v="ORD-125"/>
    <x v="24"/>
    <x v="5"/>
    <s v="Iquitos"/>
    <x v="1"/>
    <n v="41"/>
    <n v="7"/>
    <x v="0"/>
  </r>
  <r>
    <s v="ORD-126"/>
    <x v="25"/>
    <x v="9"/>
    <s v="Tacna"/>
    <x v="1"/>
    <n v="68"/>
    <n v="5"/>
    <x v="0"/>
  </r>
  <r>
    <s v="ORD-127"/>
    <x v="26"/>
    <x v="0"/>
    <s v="Trujillo"/>
    <x v="4"/>
    <n v="47"/>
    <n v="5"/>
    <x v="0"/>
  </r>
  <r>
    <s v="ORD-128"/>
    <x v="27"/>
    <x v="2"/>
    <s v="Arequipa"/>
    <x v="4"/>
    <n v="60"/>
    <n v="6"/>
    <x v="0"/>
  </r>
  <r>
    <s v="ORD-129"/>
    <x v="28"/>
    <x v="1"/>
    <s v="Piura"/>
    <x v="0"/>
    <n v="28"/>
    <n v="3"/>
    <x v="1"/>
  </r>
  <r>
    <s v="ORD-130"/>
    <x v="29"/>
    <x v="4"/>
    <s v="Huancayo"/>
    <x v="2"/>
    <n v="70"/>
    <n v="7"/>
    <x v="0"/>
  </r>
  <r>
    <s v="ORD-131"/>
    <x v="30"/>
    <x v="7"/>
    <s v="Lima"/>
    <x v="3"/>
    <n v="16"/>
    <n v="2"/>
    <x v="1"/>
  </r>
  <r>
    <s v="ORD-132"/>
    <x v="31"/>
    <x v="7"/>
    <s v="Lima"/>
    <x v="4"/>
    <n v="16"/>
    <n v="1"/>
    <x v="1"/>
  </r>
  <r>
    <s v="ORD-133"/>
    <x v="32"/>
    <x v="6"/>
    <s v="Cusco"/>
    <x v="4"/>
    <n v="45"/>
    <n v="4"/>
    <x v="1"/>
  </r>
  <r>
    <s v="ORD-134"/>
    <x v="11"/>
    <x v="1"/>
    <s v="Piura"/>
    <x v="3"/>
    <n v="36"/>
    <n v="4"/>
    <x v="1"/>
  </r>
  <r>
    <s v="ORD-135"/>
    <x v="33"/>
    <x v="8"/>
    <s v="Puno"/>
    <x v="2"/>
    <n v="67"/>
    <n v="7"/>
    <x v="0"/>
  </r>
  <r>
    <s v="ORD-136"/>
    <x v="34"/>
    <x v="0"/>
    <s v="Trujillo"/>
    <x v="2"/>
    <n v="28"/>
    <n v="3"/>
    <x v="1"/>
  </r>
  <r>
    <s v="ORD-137"/>
    <x v="35"/>
    <x v="6"/>
    <s v="Cusco"/>
    <x v="3"/>
    <n v="70"/>
    <n v="3"/>
    <x v="1"/>
  </r>
  <r>
    <s v="ORD-138"/>
    <x v="36"/>
    <x v="7"/>
    <s v="Lima"/>
    <x v="3"/>
    <n v="11"/>
    <n v="2"/>
    <x v="1"/>
  </r>
  <r>
    <s v="ORD-139"/>
    <x v="37"/>
    <x v="4"/>
    <s v="Huancayo"/>
    <x v="2"/>
    <n v="30"/>
    <n v="5"/>
    <x v="0"/>
  </r>
  <r>
    <s v="ORD-140"/>
    <x v="2"/>
    <x v="2"/>
    <s v="Arequipa"/>
    <x v="4"/>
    <n v="24"/>
    <n v="6"/>
    <x v="0"/>
  </r>
  <r>
    <s v="ORD-141"/>
    <x v="38"/>
    <x v="3"/>
    <s v="Huaraz"/>
    <x v="2"/>
    <n v="69"/>
    <n v="5"/>
    <x v="0"/>
  </r>
  <r>
    <s v="ORD-142"/>
    <x v="3"/>
    <x v="0"/>
    <s v="Trujillo"/>
    <x v="4"/>
    <n v="61"/>
    <n v="6"/>
    <x v="0"/>
  </r>
  <r>
    <s v="ORD-143"/>
    <x v="39"/>
    <x v="9"/>
    <s v="Tacna"/>
    <x v="0"/>
    <n v="48"/>
    <n v="4"/>
    <x v="1"/>
  </r>
  <r>
    <s v="ORD-144"/>
    <x v="40"/>
    <x v="6"/>
    <s v="Cusco"/>
    <x v="0"/>
    <n v="57"/>
    <n v="4"/>
    <x v="1"/>
  </r>
  <r>
    <s v="ORD-145"/>
    <x v="41"/>
    <x v="5"/>
    <s v="Iquitos"/>
    <x v="4"/>
    <n v="36"/>
    <n v="4"/>
    <x v="1"/>
  </r>
  <r>
    <s v="ORD-146"/>
    <x v="29"/>
    <x v="8"/>
    <s v="Puno"/>
    <x v="1"/>
    <n v="61"/>
    <n v="5"/>
    <x v="0"/>
  </r>
  <r>
    <s v="ORD-147"/>
    <x v="42"/>
    <x v="9"/>
    <s v="Tacna"/>
    <x v="0"/>
    <n v="37"/>
    <n v="4"/>
    <x v="1"/>
  </r>
  <r>
    <s v="ORD-148"/>
    <x v="43"/>
    <x v="9"/>
    <s v="Tacna"/>
    <x v="1"/>
    <n v="55"/>
    <n v="5"/>
    <x v="0"/>
  </r>
  <r>
    <s v="ORD-149"/>
    <x v="44"/>
    <x v="6"/>
    <s v="Cusco"/>
    <x v="2"/>
    <n v="51"/>
    <n v="6"/>
    <x v="0"/>
  </r>
  <r>
    <s v="ORD-150"/>
    <x v="45"/>
    <x v="4"/>
    <s v="Huancayo"/>
    <x v="2"/>
    <n v="45"/>
    <n v="7"/>
    <x v="0"/>
  </r>
  <r>
    <s v="ORD-151"/>
    <x v="46"/>
    <x v="7"/>
    <s v="Lima"/>
    <x v="1"/>
    <n v="17"/>
    <n v="2"/>
    <x v="1"/>
  </r>
  <r>
    <s v="ORD-152"/>
    <x v="47"/>
    <x v="4"/>
    <s v="Huancayo"/>
    <x v="2"/>
    <n v="26"/>
    <n v="7"/>
    <x v="0"/>
  </r>
  <r>
    <s v="ORD-153"/>
    <x v="48"/>
    <x v="4"/>
    <s v="Huancayo"/>
    <x v="0"/>
    <n v="69"/>
    <n v="5"/>
    <x v="0"/>
  </r>
  <r>
    <s v="ORD-154"/>
    <x v="49"/>
    <x v="2"/>
    <s v="Arequipa"/>
    <x v="4"/>
    <n v="28"/>
    <n v="5"/>
    <x v="0"/>
  </r>
  <r>
    <s v="ORD-155"/>
    <x v="19"/>
    <x v="1"/>
    <s v="Piura"/>
    <x v="4"/>
    <n v="21"/>
    <n v="4"/>
    <x v="1"/>
  </r>
  <r>
    <s v="ORD-156"/>
    <x v="50"/>
    <x v="2"/>
    <s v="Arequipa"/>
    <x v="0"/>
    <n v="68"/>
    <n v="4"/>
    <x v="1"/>
  </r>
  <r>
    <s v="ORD-157"/>
    <x v="51"/>
    <x v="8"/>
    <s v="Puno"/>
    <x v="2"/>
    <n v="38"/>
    <n v="5"/>
    <x v="0"/>
  </r>
  <r>
    <s v="ORD-158"/>
    <x v="52"/>
    <x v="1"/>
    <s v="Piura"/>
    <x v="2"/>
    <n v="39"/>
    <n v="7"/>
    <x v="0"/>
  </r>
  <r>
    <s v="ORD-159"/>
    <x v="53"/>
    <x v="5"/>
    <s v="Iquitos"/>
    <x v="4"/>
    <n v="59"/>
    <n v="3"/>
    <x v="1"/>
  </r>
  <r>
    <s v="ORD-160"/>
    <x v="54"/>
    <x v="3"/>
    <s v="Huaraz"/>
    <x v="2"/>
    <n v="43"/>
    <n v="6"/>
    <x v="0"/>
  </r>
  <r>
    <s v="ORD-161"/>
    <x v="55"/>
    <x v="0"/>
    <s v="Trujillo"/>
    <x v="4"/>
    <n v="67"/>
    <n v="4"/>
    <x v="1"/>
  </r>
  <r>
    <s v="ORD-162"/>
    <x v="56"/>
    <x v="1"/>
    <s v="Piura"/>
    <x v="4"/>
    <n v="46"/>
    <n v="3"/>
    <x v="1"/>
  </r>
  <r>
    <s v="ORD-163"/>
    <x v="6"/>
    <x v="3"/>
    <s v="Huaraz"/>
    <x v="3"/>
    <n v="50"/>
    <n v="4"/>
    <x v="1"/>
  </r>
  <r>
    <s v="ORD-164"/>
    <x v="40"/>
    <x v="9"/>
    <s v="Tacna"/>
    <x v="0"/>
    <n v="41"/>
    <n v="6"/>
    <x v="0"/>
  </r>
  <r>
    <s v="ORD-165"/>
    <x v="57"/>
    <x v="0"/>
    <s v="Trujillo"/>
    <x v="4"/>
    <n v="33"/>
    <n v="5"/>
    <x v="0"/>
  </r>
  <r>
    <s v="ORD-166"/>
    <x v="58"/>
    <x v="8"/>
    <s v="Puno"/>
    <x v="2"/>
    <n v="22"/>
    <n v="3"/>
    <x v="1"/>
  </r>
  <r>
    <s v="ORD-167"/>
    <x v="59"/>
    <x v="0"/>
    <s v="Trujillo"/>
    <x v="1"/>
    <n v="21"/>
    <n v="6"/>
    <x v="0"/>
  </r>
  <r>
    <s v="ORD-168"/>
    <x v="60"/>
    <x v="8"/>
    <s v="Puno"/>
    <x v="2"/>
    <n v="33"/>
    <n v="6"/>
    <x v="0"/>
  </r>
  <r>
    <s v="ORD-169"/>
    <x v="61"/>
    <x v="2"/>
    <s v="Arequipa"/>
    <x v="4"/>
    <n v="58"/>
    <n v="7"/>
    <x v="0"/>
  </r>
  <r>
    <s v="ORD-170"/>
    <x v="62"/>
    <x v="0"/>
    <s v="Trujillo"/>
    <x v="4"/>
    <n v="32"/>
    <n v="6"/>
    <x v="0"/>
  </r>
  <r>
    <s v="ORD-171"/>
    <x v="63"/>
    <x v="7"/>
    <s v="Lima"/>
    <x v="0"/>
    <n v="16"/>
    <n v="2"/>
    <x v="1"/>
  </r>
  <r>
    <s v="ORD-172"/>
    <x v="64"/>
    <x v="2"/>
    <s v="Arequipa"/>
    <x v="2"/>
    <n v="45"/>
    <n v="6"/>
    <x v="0"/>
  </r>
  <r>
    <s v="ORD-173"/>
    <x v="65"/>
    <x v="5"/>
    <s v="Iquitos"/>
    <x v="4"/>
    <n v="34"/>
    <n v="7"/>
    <x v="0"/>
  </r>
  <r>
    <s v="ORD-174"/>
    <x v="66"/>
    <x v="1"/>
    <s v="Piura"/>
    <x v="2"/>
    <n v="28"/>
    <n v="4"/>
    <x v="1"/>
  </r>
  <r>
    <s v="ORD-175"/>
    <x v="67"/>
    <x v="0"/>
    <s v="Trujillo"/>
    <x v="3"/>
    <n v="67"/>
    <n v="3"/>
    <x v="1"/>
  </r>
  <r>
    <s v="ORD-176"/>
    <x v="62"/>
    <x v="6"/>
    <s v="Cusco"/>
    <x v="3"/>
    <n v="21"/>
    <n v="6"/>
    <x v="0"/>
  </r>
  <r>
    <s v="ORD-177"/>
    <x v="68"/>
    <x v="3"/>
    <s v="Huaraz"/>
    <x v="1"/>
    <n v="65"/>
    <n v="6"/>
    <x v="0"/>
  </r>
  <r>
    <s v="ORD-178"/>
    <x v="69"/>
    <x v="6"/>
    <s v="Cusco"/>
    <x v="2"/>
    <n v="69"/>
    <n v="5"/>
    <x v="0"/>
  </r>
  <r>
    <s v="ORD-179"/>
    <x v="70"/>
    <x v="3"/>
    <s v="Huaraz"/>
    <x v="0"/>
    <n v="39"/>
    <n v="7"/>
    <x v="0"/>
  </r>
  <r>
    <s v="ORD-180"/>
    <x v="71"/>
    <x v="1"/>
    <s v="Piura"/>
    <x v="1"/>
    <n v="67"/>
    <n v="3"/>
    <x v="1"/>
  </r>
  <r>
    <s v="ORD-181"/>
    <x v="72"/>
    <x v="8"/>
    <s v="Puno"/>
    <x v="2"/>
    <n v="62"/>
    <n v="7"/>
    <x v="0"/>
  </r>
  <r>
    <s v="ORD-182"/>
    <x v="73"/>
    <x v="7"/>
    <s v="Lima"/>
    <x v="2"/>
    <n v="12"/>
    <n v="1"/>
    <x v="1"/>
  </r>
  <r>
    <s v="ORD-183"/>
    <x v="69"/>
    <x v="5"/>
    <s v="Iquitos"/>
    <x v="4"/>
    <n v="24"/>
    <n v="5"/>
    <x v="0"/>
  </r>
  <r>
    <s v="ORD-184"/>
    <x v="14"/>
    <x v="3"/>
    <s v="Huaraz"/>
    <x v="4"/>
    <n v="68"/>
    <n v="7"/>
    <x v="0"/>
  </r>
  <r>
    <s v="ORD-185"/>
    <x v="74"/>
    <x v="1"/>
    <s v="Piura"/>
    <x v="4"/>
    <n v="32"/>
    <n v="5"/>
    <x v="0"/>
  </r>
  <r>
    <s v="ORD-186"/>
    <x v="75"/>
    <x v="9"/>
    <s v="Tacna"/>
    <x v="2"/>
    <n v="48"/>
    <n v="4"/>
    <x v="1"/>
  </r>
  <r>
    <s v="ORD-187"/>
    <x v="76"/>
    <x v="3"/>
    <s v="Huaraz"/>
    <x v="0"/>
    <n v="41"/>
    <n v="3"/>
    <x v="1"/>
  </r>
  <r>
    <s v="ORD-188"/>
    <x v="77"/>
    <x v="9"/>
    <s v="Tacna"/>
    <x v="1"/>
    <n v="38"/>
    <n v="7"/>
    <x v="0"/>
  </r>
  <r>
    <s v="ORD-189"/>
    <x v="78"/>
    <x v="2"/>
    <s v="Arequipa"/>
    <x v="1"/>
    <n v="22"/>
    <n v="7"/>
    <x v="0"/>
  </r>
  <r>
    <s v="ORD-190"/>
    <x v="79"/>
    <x v="6"/>
    <s v="Cusco"/>
    <x v="0"/>
    <n v="40"/>
    <n v="3"/>
    <x v="1"/>
  </r>
  <r>
    <s v="ORD-191"/>
    <x v="80"/>
    <x v="0"/>
    <s v="Trujillo"/>
    <x v="1"/>
    <n v="51"/>
    <n v="6"/>
    <x v="0"/>
  </r>
  <r>
    <s v="ORD-192"/>
    <x v="81"/>
    <x v="5"/>
    <s v="Iquitos"/>
    <x v="1"/>
    <n v="47"/>
    <n v="6"/>
    <x v="0"/>
  </r>
  <r>
    <s v="ORD-193"/>
    <x v="82"/>
    <x v="3"/>
    <s v="Huaraz"/>
    <x v="4"/>
    <n v="43"/>
    <n v="6"/>
    <x v="0"/>
  </r>
  <r>
    <s v="ORD-194"/>
    <x v="13"/>
    <x v="1"/>
    <s v="Piura"/>
    <x v="2"/>
    <n v="56"/>
    <n v="5"/>
    <x v="0"/>
  </r>
  <r>
    <s v="ORD-195"/>
    <x v="83"/>
    <x v="8"/>
    <s v="Puno"/>
    <x v="0"/>
    <n v="41"/>
    <n v="5"/>
    <x v="0"/>
  </r>
  <r>
    <s v="ORD-196"/>
    <x v="84"/>
    <x v="2"/>
    <s v="Arequipa"/>
    <x v="3"/>
    <n v="69"/>
    <n v="6"/>
    <x v="0"/>
  </r>
  <r>
    <s v="ORD-197"/>
    <x v="85"/>
    <x v="1"/>
    <s v="Piura"/>
    <x v="0"/>
    <n v="53"/>
    <n v="6"/>
    <x v="0"/>
  </r>
  <r>
    <s v="ORD-198"/>
    <x v="86"/>
    <x v="5"/>
    <s v="Iquitos"/>
    <x v="2"/>
    <n v="36"/>
    <n v="7"/>
    <x v="0"/>
  </r>
  <r>
    <s v="ORD-199"/>
    <x v="10"/>
    <x v="4"/>
    <s v="Huancayo"/>
    <x v="1"/>
    <n v="66"/>
    <n v="7"/>
    <x v="0"/>
  </r>
  <r>
    <s v="ORD-200"/>
    <x v="53"/>
    <x v="9"/>
    <s v="Tacna"/>
    <x v="1"/>
    <n v="35"/>
    <n v="4"/>
    <x v="1"/>
  </r>
  <r>
    <s v="ORD-201"/>
    <x v="87"/>
    <x v="0"/>
    <s v="Trujillo"/>
    <x v="2"/>
    <n v="57"/>
    <n v="3"/>
    <x v="1"/>
  </r>
  <r>
    <s v="ORD-202"/>
    <x v="43"/>
    <x v="9"/>
    <s v="Tacna"/>
    <x v="4"/>
    <n v="52"/>
    <n v="7"/>
    <x v="0"/>
  </r>
  <r>
    <s v="ORD-203"/>
    <x v="88"/>
    <x v="4"/>
    <s v="Huancayo"/>
    <x v="4"/>
    <n v="44"/>
    <n v="6"/>
    <x v="0"/>
  </r>
  <r>
    <s v="ORD-204"/>
    <x v="89"/>
    <x v="2"/>
    <s v="Arequipa"/>
    <x v="2"/>
    <n v="26"/>
    <n v="7"/>
    <x v="0"/>
  </r>
  <r>
    <s v="ORD-205"/>
    <x v="87"/>
    <x v="5"/>
    <s v="Iquitos"/>
    <x v="4"/>
    <n v="34"/>
    <n v="5"/>
    <x v="0"/>
  </r>
  <r>
    <s v="ORD-206"/>
    <x v="90"/>
    <x v="1"/>
    <s v="Piura"/>
    <x v="0"/>
    <n v="39"/>
    <n v="6"/>
    <x v="0"/>
  </r>
  <r>
    <s v="ORD-207"/>
    <x v="67"/>
    <x v="8"/>
    <s v="Puno"/>
    <x v="0"/>
    <n v="51"/>
    <n v="4"/>
    <x v="1"/>
  </r>
  <r>
    <s v="ORD-208"/>
    <x v="91"/>
    <x v="6"/>
    <s v="Cusco"/>
    <x v="3"/>
    <n v="46"/>
    <n v="7"/>
    <x v="0"/>
  </r>
  <r>
    <s v="ORD-209"/>
    <x v="63"/>
    <x v="4"/>
    <s v="Huancayo"/>
    <x v="3"/>
    <n v="42"/>
    <n v="3"/>
    <x v="1"/>
  </r>
  <r>
    <s v="ORD-210"/>
    <x v="50"/>
    <x v="4"/>
    <s v="Huancayo"/>
    <x v="3"/>
    <n v="32"/>
    <n v="5"/>
    <x v="0"/>
  </r>
  <r>
    <s v="ORD-211"/>
    <x v="92"/>
    <x v="3"/>
    <s v="Huaraz"/>
    <x v="2"/>
    <n v="35"/>
    <n v="4"/>
    <x v="1"/>
  </r>
  <r>
    <s v="ORD-212"/>
    <x v="93"/>
    <x v="2"/>
    <s v="Arequipa"/>
    <x v="0"/>
    <n v="35"/>
    <n v="7"/>
    <x v="0"/>
  </r>
  <r>
    <s v="ORD-213"/>
    <x v="94"/>
    <x v="0"/>
    <s v="Trujillo"/>
    <x v="0"/>
    <n v="46"/>
    <n v="4"/>
    <x v="1"/>
  </r>
  <r>
    <s v="ORD-214"/>
    <x v="79"/>
    <x v="7"/>
    <s v="Lima"/>
    <x v="3"/>
    <n v="16"/>
    <n v="1"/>
    <x v="1"/>
  </r>
  <r>
    <s v="ORD-215"/>
    <x v="95"/>
    <x v="2"/>
    <s v="Arequipa"/>
    <x v="1"/>
    <n v="25"/>
    <n v="3"/>
    <x v="1"/>
  </r>
  <r>
    <s v="ORD-216"/>
    <x v="96"/>
    <x v="6"/>
    <s v="Cusco"/>
    <x v="2"/>
    <n v="68"/>
    <n v="3"/>
    <x v="1"/>
  </r>
  <r>
    <s v="ORD-217"/>
    <x v="97"/>
    <x v="0"/>
    <s v="Trujillo"/>
    <x v="2"/>
    <n v="62"/>
    <n v="6"/>
    <x v="0"/>
  </r>
  <r>
    <s v="ORD-218"/>
    <x v="98"/>
    <x v="3"/>
    <s v="Huaraz"/>
    <x v="4"/>
    <n v="44"/>
    <n v="7"/>
    <x v="0"/>
  </r>
  <r>
    <s v="ORD-219"/>
    <x v="32"/>
    <x v="9"/>
    <s v="Tacna"/>
    <x v="1"/>
    <n v="43"/>
    <n v="4"/>
    <x v="1"/>
  </r>
  <r>
    <s v="ORD-220"/>
    <x v="33"/>
    <x v="8"/>
    <s v="Puno"/>
    <x v="1"/>
    <n v="34"/>
    <n v="7"/>
    <x v="0"/>
  </r>
  <r>
    <s v="ORD-221"/>
    <x v="99"/>
    <x v="8"/>
    <s v="Puno"/>
    <x v="4"/>
    <n v="58"/>
    <n v="6"/>
    <x v="0"/>
  </r>
  <r>
    <s v="ORD-222"/>
    <x v="100"/>
    <x v="8"/>
    <s v="Puno"/>
    <x v="3"/>
    <n v="39"/>
    <n v="5"/>
    <x v="0"/>
  </r>
  <r>
    <s v="ORD-223"/>
    <x v="0"/>
    <x v="5"/>
    <s v="Iquitos"/>
    <x v="1"/>
    <n v="33"/>
    <n v="5"/>
    <x v="0"/>
  </r>
  <r>
    <s v="ORD-224"/>
    <x v="15"/>
    <x v="8"/>
    <s v="Puno"/>
    <x v="0"/>
    <n v="47"/>
    <n v="7"/>
    <x v="0"/>
  </r>
  <r>
    <s v="ORD-225"/>
    <x v="101"/>
    <x v="0"/>
    <s v="Trujillo"/>
    <x v="1"/>
    <n v="49"/>
    <n v="7"/>
    <x v="0"/>
  </r>
  <r>
    <s v="ORD-226"/>
    <x v="102"/>
    <x v="1"/>
    <s v="Piura"/>
    <x v="1"/>
    <n v="48"/>
    <n v="5"/>
    <x v="0"/>
  </r>
  <r>
    <s v="ORD-227"/>
    <x v="103"/>
    <x v="8"/>
    <s v="Puno"/>
    <x v="0"/>
    <n v="67"/>
    <n v="5"/>
    <x v="0"/>
  </r>
  <r>
    <s v="ORD-228"/>
    <x v="70"/>
    <x v="3"/>
    <s v="Huaraz"/>
    <x v="1"/>
    <n v="29"/>
    <n v="4"/>
    <x v="1"/>
  </r>
  <r>
    <s v="ORD-229"/>
    <x v="104"/>
    <x v="7"/>
    <s v="Lima"/>
    <x v="1"/>
    <n v="17"/>
    <n v="1"/>
    <x v="1"/>
  </r>
  <r>
    <s v="ORD-230"/>
    <x v="86"/>
    <x v="0"/>
    <s v="Trujillo"/>
    <x v="4"/>
    <n v="65"/>
    <n v="3"/>
    <x v="1"/>
  </r>
  <r>
    <s v="ORD-231"/>
    <x v="105"/>
    <x v="6"/>
    <s v="Cusco"/>
    <x v="3"/>
    <n v="21"/>
    <n v="6"/>
    <x v="0"/>
  </r>
  <r>
    <s v="ORD-232"/>
    <x v="106"/>
    <x v="8"/>
    <s v="Puno"/>
    <x v="1"/>
    <n v="32"/>
    <n v="3"/>
    <x v="1"/>
  </r>
  <r>
    <s v="ORD-233"/>
    <x v="28"/>
    <x v="6"/>
    <s v="Cusco"/>
    <x v="4"/>
    <n v="26"/>
    <n v="3"/>
    <x v="1"/>
  </r>
  <r>
    <s v="ORD-234"/>
    <x v="107"/>
    <x v="7"/>
    <s v="Lima"/>
    <x v="3"/>
    <n v="11"/>
    <n v="1"/>
    <x v="1"/>
  </r>
  <r>
    <s v="ORD-235"/>
    <x v="108"/>
    <x v="5"/>
    <s v="Iquitos"/>
    <x v="1"/>
    <n v="38"/>
    <n v="6"/>
    <x v="0"/>
  </r>
  <r>
    <s v="ORD-236"/>
    <x v="109"/>
    <x v="7"/>
    <s v="Lima"/>
    <x v="4"/>
    <n v="10"/>
    <n v="1"/>
    <x v="1"/>
  </r>
  <r>
    <s v="ORD-237"/>
    <x v="110"/>
    <x v="4"/>
    <s v="Huancayo"/>
    <x v="0"/>
    <n v="51"/>
    <n v="6"/>
    <x v="0"/>
  </r>
  <r>
    <s v="ORD-238"/>
    <x v="111"/>
    <x v="8"/>
    <s v="Puno"/>
    <x v="1"/>
    <n v="63"/>
    <n v="7"/>
    <x v="0"/>
  </r>
  <r>
    <s v="ORD-239"/>
    <x v="112"/>
    <x v="5"/>
    <s v="Iquitos"/>
    <x v="1"/>
    <n v="56"/>
    <n v="4"/>
    <x v="1"/>
  </r>
  <r>
    <s v="ORD-240"/>
    <x v="113"/>
    <x v="1"/>
    <s v="Piura"/>
    <x v="2"/>
    <n v="67"/>
    <n v="4"/>
    <x v="1"/>
  </r>
  <r>
    <s v="ORD-241"/>
    <x v="114"/>
    <x v="5"/>
    <s v="Iquitos"/>
    <x v="1"/>
    <n v="39"/>
    <n v="3"/>
    <x v="1"/>
  </r>
  <r>
    <s v="ORD-242"/>
    <x v="115"/>
    <x v="9"/>
    <s v="Tacna"/>
    <x v="3"/>
    <n v="29"/>
    <n v="6"/>
    <x v="0"/>
  </r>
  <r>
    <s v="ORD-243"/>
    <x v="116"/>
    <x v="3"/>
    <s v="Huaraz"/>
    <x v="2"/>
    <n v="48"/>
    <n v="5"/>
    <x v="0"/>
  </r>
  <r>
    <s v="ORD-244"/>
    <x v="117"/>
    <x v="9"/>
    <s v="Tacna"/>
    <x v="4"/>
    <n v="22"/>
    <n v="3"/>
    <x v="1"/>
  </r>
  <r>
    <s v="ORD-245"/>
    <x v="54"/>
    <x v="8"/>
    <s v="Puno"/>
    <x v="3"/>
    <n v="67"/>
    <n v="4"/>
    <x v="1"/>
  </r>
  <r>
    <s v="ORD-246"/>
    <x v="118"/>
    <x v="3"/>
    <s v="Huaraz"/>
    <x v="2"/>
    <n v="47"/>
    <n v="5"/>
    <x v="0"/>
  </r>
  <r>
    <s v="ORD-247"/>
    <x v="59"/>
    <x v="8"/>
    <s v="Puno"/>
    <x v="3"/>
    <n v="67"/>
    <n v="4"/>
    <x v="1"/>
  </r>
  <r>
    <s v="ORD-248"/>
    <x v="13"/>
    <x v="0"/>
    <s v="Trujillo"/>
    <x v="0"/>
    <n v="33"/>
    <n v="3"/>
    <x v="1"/>
  </r>
  <r>
    <s v="ORD-249"/>
    <x v="119"/>
    <x v="7"/>
    <s v="Lima"/>
    <x v="4"/>
    <n v="15"/>
    <n v="2"/>
    <x v="1"/>
  </r>
  <r>
    <s v="ORD-250"/>
    <x v="13"/>
    <x v="9"/>
    <s v="Tacna"/>
    <x v="0"/>
    <n v="61"/>
    <n v="7"/>
    <x v="0"/>
  </r>
  <r>
    <s v="ORD-251"/>
    <x v="120"/>
    <x v="9"/>
    <s v="Tacna"/>
    <x v="0"/>
    <n v="48"/>
    <n v="6"/>
    <x v="0"/>
  </r>
  <r>
    <s v="ORD-252"/>
    <x v="87"/>
    <x v="9"/>
    <s v="Tacna"/>
    <x v="1"/>
    <n v="54"/>
    <n v="3"/>
    <x v="1"/>
  </r>
  <r>
    <s v="ORD-253"/>
    <x v="121"/>
    <x v="5"/>
    <s v="Iquitos"/>
    <x v="1"/>
    <n v="47"/>
    <n v="5"/>
    <x v="0"/>
  </r>
  <r>
    <s v="ORD-254"/>
    <x v="122"/>
    <x v="6"/>
    <s v="Cusco"/>
    <x v="3"/>
    <n v="65"/>
    <n v="6"/>
    <x v="0"/>
  </r>
  <r>
    <s v="ORD-255"/>
    <x v="123"/>
    <x v="9"/>
    <s v="Tacna"/>
    <x v="2"/>
    <n v="21"/>
    <n v="3"/>
    <x v="1"/>
  </r>
  <r>
    <s v="ORD-256"/>
    <x v="124"/>
    <x v="2"/>
    <s v="Arequipa"/>
    <x v="3"/>
    <n v="34"/>
    <n v="3"/>
    <x v="1"/>
  </r>
  <r>
    <s v="ORD-257"/>
    <x v="23"/>
    <x v="8"/>
    <s v="Puno"/>
    <x v="3"/>
    <n v="65"/>
    <n v="5"/>
    <x v="0"/>
  </r>
  <r>
    <s v="ORD-258"/>
    <x v="125"/>
    <x v="4"/>
    <s v="Huancayo"/>
    <x v="0"/>
    <n v="59"/>
    <n v="3"/>
    <x v="1"/>
  </r>
  <r>
    <s v="ORD-259"/>
    <x v="126"/>
    <x v="9"/>
    <s v="Tacna"/>
    <x v="2"/>
    <n v="28"/>
    <n v="7"/>
    <x v="0"/>
  </r>
  <r>
    <s v="ORD-260"/>
    <x v="127"/>
    <x v="0"/>
    <s v="Trujillo"/>
    <x v="3"/>
    <n v="38"/>
    <n v="7"/>
    <x v="0"/>
  </r>
  <r>
    <s v="ORD-261"/>
    <x v="128"/>
    <x v="8"/>
    <s v="Puno"/>
    <x v="3"/>
    <n v="46"/>
    <n v="3"/>
    <x v="1"/>
  </r>
  <r>
    <s v="ORD-262"/>
    <x v="129"/>
    <x v="3"/>
    <s v="Huaraz"/>
    <x v="3"/>
    <n v="42"/>
    <n v="6"/>
    <x v="0"/>
  </r>
  <r>
    <s v="ORD-263"/>
    <x v="15"/>
    <x v="5"/>
    <s v="Iquitos"/>
    <x v="2"/>
    <n v="56"/>
    <n v="7"/>
    <x v="0"/>
  </r>
  <r>
    <s v="ORD-264"/>
    <x v="130"/>
    <x v="9"/>
    <s v="Tacna"/>
    <x v="1"/>
    <n v="24"/>
    <n v="4"/>
    <x v="1"/>
  </r>
  <r>
    <s v="ORD-265"/>
    <x v="131"/>
    <x v="1"/>
    <s v="Piura"/>
    <x v="2"/>
    <n v="37"/>
    <n v="5"/>
    <x v="0"/>
  </r>
  <r>
    <s v="ORD-266"/>
    <x v="132"/>
    <x v="6"/>
    <s v="Cusco"/>
    <x v="3"/>
    <n v="27"/>
    <n v="3"/>
    <x v="1"/>
  </r>
  <r>
    <s v="ORD-267"/>
    <x v="133"/>
    <x v="4"/>
    <s v="Huancayo"/>
    <x v="2"/>
    <n v="67"/>
    <n v="7"/>
    <x v="0"/>
  </r>
  <r>
    <s v="ORD-268"/>
    <x v="134"/>
    <x v="4"/>
    <s v="Huancayo"/>
    <x v="1"/>
    <n v="68"/>
    <n v="3"/>
    <x v="1"/>
  </r>
  <r>
    <s v="ORD-269"/>
    <x v="94"/>
    <x v="4"/>
    <s v="Huancayo"/>
    <x v="3"/>
    <n v="34"/>
    <n v="4"/>
    <x v="1"/>
  </r>
  <r>
    <s v="ORD-270"/>
    <x v="96"/>
    <x v="3"/>
    <s v="Huaraz"/>
    <x v="0"/>
    <n v="31"/>
    <n v="5"/>
    <x v="0"/>
  </r>
  <r>
    <s v="ORD-271"/>
    <x v="135"/>
    <x v="4"/>
    <s v="Huancayo"/>
    <x v="1"/>
    <n v="27"/>
    <n v="3"/>
    <x v="1"/>
  </r>
  <r>
    <s v="ORD-272"/>
    <x v="40"/>
    <x v="8"/>
    <s v="Puno"/>
    <x v="2"/>
    <n v="65"/>
    <n v="3"/>
    <x v="1"/>
  </r>
  <r>
    <s v="ORD-273"/>
    <x v="110"/>
    <x v="6"/>
    <s v="Cusco"/>
    <x v="1"/>
    <n v="67"/>
    <n v="4"/>
    <x v="1"/>
  </r>
  <r>
    <s v="ORD-274"/>
    <x v="119"/>
    <x v="2"/>
    <s v="Arequipa"/>
    <x v="0"/>
    <n v="32"/>
    <n v="4"/>
    <x v="1"/>
  </r>
  <r>
    <s v="ORD-275"/>
    <x v="52"/>
    <x v="7"/>
    <s v="Lima"/>
    <x v="1"/>
    <n v="12"/>
    <n v="1"/>
    <x v="1"/>
  </r>
  <r>
    <s v="ORD-276"/>
    <x v="97"/>
    <x v="8"/>
    <s v="Puno"/>
    <x v="4"/>
    <n v="49"/>
    <n v="3"/>
    <x v="1"/>
  </r>
  <r>
    <s v="ORD-277"/>
    <x v="136"/>
    <x v="0"/>
    <s v="Trujillo"/>
    <x v="0"/>
    <n v="62"/>
    <n v="5"/>
    <x v="0"/>
  </r>
  <r>
    <s v="ORD-278"/>
    <x v="137"/>
    <x v="2"/>
    <s v="Arequipa"/>
    <x v="2"/>
    <n v="69"/>
    <n v="3"/>
    <x v="1"/>
  </r>
  <r>
    <s v="ORD-279"/>
    <x v="138"/>
    <x v="1"/>
    <s v="Piura"/>
    <x v="0"/>
    <n v="62"/>
    <n v="6"/>
    <x v="0"/>
  </r>
  <r>
    <s v="ORD-280"/>
    <x v="139"/>
    <x v="9"/>
    <s v="Tacna"/>
    <x v="2"/>
    <n v="36"/>
    <n v="3"/>
    <x v="1"/>
  </r>
  <r>
    <s v="ORD-281"/>
    <x v="140"/>
    <x v="6"/>
    <s v="Cusco"/>
    <x v="3"/>
    <n v="38"/>
    <n v="3"/>
    <x v="1"/>
  </r>
  <r>
    <s v="ORD-282"/>
    <x v="141"/>
    <x v="4"/>
    <s v="Huancayo"/>
    <x v="2"/>
    <n v="23"/>
    <n v="4"/>
    <x v="1"/>
  </r>
  <r>
    <s v="ORD-283"/>
    <x v="142"/>
    <x v="5"/>
    <s v="Iquitos"/>
    <x v="4"/>
    <n v="67"/>
    <n v="4"/>
    <x v="1"/>
  </r>
  <r>
    <s v="ORD-284"/>
    <x v="73"/>
    <x v="0"/>
    <s v="Trujillo"/>
    <x v="1"/>
    <n v="68"/>
    <n v="4"/>
    <x v="1"/>
  </r>
  <r>
    <s v="ORD-285"/>
    <x v="143"/>
    <x v="1"/>
    <s v="Piura"/>
    <x v="1"/>
    <n v="46"/>
    <n v="3"/>
    <x v="1"/>
  </r>
  <r>
    <s v="ORD-286"/>
    <x v="31"/>
    <x v="6"/>
    <s v="Cusco"/>
    <x v="4"/>
    <n v="59"/>
    <n v="6"/>
    <x v="0"/>
  </r>
  <r>
    <s v="ORD-287"/>
    <x v="144"/>
    <x v="4"/>
    <s v="Huancayo"/>
    <x v="3"/>
    <n v="64"/>
    <n v="7"/>
    <x v="0"/>
  </r>
  <r>
    <s v="ORD-288"/>
    <x v="18"/>
    <x v="8"/>
    <s v="Puno"/>
    <x v="4"/>
    <n v="41"/>
    <n v="6"/>
    <x v="0"/>
  </r>
  <r>
    <s v="ORD-289"/>
    <x v="23"/>
    <x v="3"/>
    <s v="Huaraz"/>
    <x v="3"/>
    <n v="58"/>
    <n v="7"/>
    <x v="0"/>
  </r>
  <r>
    <s v="ORD-290"/>
    <x v="145"/>
    <x v="6"/>
    <s v="Cusco"/>
    <x v="3"/>
    <n v="65"/>
    <n v="3"/>
    <x v="1"/>
  </r>
  <r>
    <s v="ORD-291"/>
    <x v="146"/>
    <x v="3"/>
    <s v="Huaraz"/>
    <x v="4"/>
    <n v="53"/>
    <n v="7"/>
    <x v="0"/>
  </r>
  <r>
    <s v="ORD-292"/>
    <x v="147"/>
    <x v="1"/>
    <s v="Piura"/>
    <x v="0"/>
    <n v="67"/>
    <n v="6"/>
    <x v="0"/>
  </r>
  <r>
    <s v="ORD-293"/>
    <x v="72"/>
    <x v="5"/>
    <s v="Iquitos"/>
    <x v="2"/>
    <n v="65"/>
    <n v="3"/>
    <x v="1"/>
  </r>
  <r>
    <s v="ORD-294"/>
    <x v="74"/>
    <x v="4"/>
    <s v="Huancayo"/>
    <x v="2"/>
    <n v="25"/>
    <n v="5"/>
    <x v="0"/>
  </r>
  <r>
    <s v="ORD-295"/>
    <x v="148"/>
    <x v="7"/>
    <s v="Lima"/>
    <x v="4"/>
    <n v="13"/>
    <n v="2"/>
    <x v="1"/>
  </r>
  <r>
    <s v="ORD-296"/>
    <x v="149"/>
    <x v="4"/>
    <s v="Huancayo"/>
    <x v="4"/>
    <n v="68"/>
    <n v="6"/>
    <x v="0"/>
  </r>
  <r>
    <s v="ORD-297"/>
    <x v="150"/>
    <x v="0"/>
    <s v="Trujillo"/>
    <x v="0"/>
    <n v="69"/>
    <n v="7"/>
    <x v="0"/>
  </r>
  <r>
    <s v="ORD-298"/>
    <x v="151"/>
    <x v="5"/>
    <s v="Iquitos"/>
    <x v="0"/>
    <n v="48"/>
    <n v="7"/>
    <x v="0"/>
  </r>
  <r>
    <s v="ORD-299"/>
    <x v="152"/>
    <x v="4"/>
    <s v="Huancayo"/>
    <x v="4"/>
    <n v="37"/>
    <n v="4"/>
    <x v="1"/>
  </r>
  <r>
    <s v="ORD-300"/>
    <x v="153"/>
    <x v="2"/>
    <s v="Arequipa"/>
    <x v="1"/>
    <n v="30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20A52-F7BA-43C0-A5BF-80ADC20DA047}" name="INDICADOR_5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55:B61" firstHeaderRow="1" firstDataRow="1" firstDataCol="1"/>
  <pivotFields count="11">
    <pivotField showAll="0"/>
    <pivotField numFmtId="14" showAll="0">
      <items count="159">
        <item x="100"/>
        <item x="93"/>
        <item x="63"/>
        <item x="44"/>
        <item x="92"/>
        <item x="1"/>
        <item x="95"/>
        <item x="128"/>
        <item x="81"/>
        <item x="119"/>
        <item x="26"/>
        <item x="84"/>
        <item x="98"/>
        <item x="14"/>
        <item x="129"/>
        <item x="23"/>
        <item x="152"/>
        <item x="70"/>
        <item x="79"/>
        <item x="121"/>
        <item x="73"/>
        <item x="126"/>
        <item x="99"/>
        <item x="127"/>
        <item x="139"/>
        <item x="77"/>
        <item x="52"/>
        <item x="96"/>
        <item x="62"/>
        <item x="131"/>
        <item x="103"/>
        <item x="13"/>
        <item x="31"/>
        <item x="76"/>
        <item x="124"/>
        <item x="112"/>
        <item x="151"/>
        <item x="43"/>
        <item x="116"/>
        <item x="106"/>
        <item x="47"/>
        <item x="24"/>
        <item x="107"/>
        <item x="101"/>
        <item x="28"/>
        <item x="72"/>
        <item x="50"/>
        <item x="140"/>
        <item x="58"/>
        <item x="71"/>
        <item x="114"/>
        <item x="105"/>
        <item x="88"/>
        <item x="39"/>
        <item x="132"/>
        <item x="147"/>
        <item x="32"/>
        <item x="25"/>
        <item x="80"/>
        <item x="11"/>
        <item x="104"/>
        <item x="9"/>
        <item x="130"/>
        <item x="135"/>
        <item x="115"/>
        <item x="75"/>
        <item x="38"/>
        <item x="97"/>
        <item x="125"/>
        <item x="10"/>
        <item x="145"/>
        <item x="110"/>
        <item x="150"/>
        <item x="108"/>
        <item x="0"/>
        <item x="46"/>
        <item x="56"/>
        <item x="109"/>
        <item x="83"/>
        <item x="35"/>
        <item x="69"/>
        <item x="87"/>
        <item x="3"/>
        <item x="60"/>
        <item x="148"/>
        <item x="41"/>
        <item x="34"/>
        <item x="137"/>
        <item x="78"/>
        <item x="82"/>
        <item x="102"/>
        <item x="51"/>
        <item x="5"/>
        <item x="67"/>
        <item x="20"/>
        <item x="4"/>
        <item x="17"/>
        <item x="42"/>
        <item x="48"/>
        <item x="142"/>
        <item x="16"/>
        <item x="89"/>
        <item x="6"/>
        <item x="134"/>
        <item x="141"/>
        <item x="111"/>
        <item x="138"/>
        <item x="61"/>
        <item x="49"/>
        <item x="118"/>
        <item x="117"/>
        <item x="91"/>
        <item x="53"/>
        <item x="66"/>
        <item x="136"/>
        <item x="149"/>
        <item x="122"/>
        <item x="21"/>
        <item x="94"/>
        <item x="19"/>
        <item x="59"/>
        <item x="40"/>
        <item x="113"/>
        <item x="90"/>
        <item x="12"/>
        <item x="64"/>
        <item x="7"/>
        <item x="8"/>
        <item x="57"/>
        <item x="22"/>
        <item x="15"/>
        <item x="37"/>
        <item x="86"/>
        <item x="45"/>
        <item x="33"/>
        <item x="65"/>
        <item x="54"/>
        <item x="2"/>
        <item x="55"/>
        <item x="133"/>
        <item x="120"/>
        <item x="123"/>
        <item x="143"/>
        <item x="27"/>
        <item x="30"/>
        <item x="36"/>
        <item x="29"/>
        <item x="85"/>
        <item x="68"/>
        <item x="153"/>
        <item x="146"/>
        <item x="144"/>
        <item x="74"/>
        <item x="18"/>
        <item m="1" x="157"/>
        <item m="1" x="156"/>
        <item m="1" x="155"/>
        <item m="1" x="154"/>
        <item t="default"/>
      </items>
    </pivotField>
    <pivotField axis="axisRow" showAll="0" measureFilter="1" sortType="ascending">
      <items count="11">
        <item x="3"/>
        <item x="2"/>
        <item x="6"/>
        <item x="4"/>
        <item x="0"/>
        <item x="7"/>
        <item x="5"/>
        <item x="1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numFmtId="170" showAll="0"/>
    <pivotField dataField="1" numFmtId="49" showAll="0"/>
    <pivotField showAll="0">
      <items count="3"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 v="5"/>
    </i>
    <i>
      <x v="2"/>
    </i>
    <i>
      <x v="7"/>
    </i>
    <i>
      <x v="4"/>
    </i>
    <i>
      <x v="9"/>
    </i>
    <i t="grand">
      <x/>
    </i>
  </rowItems>
  <colItems count="1">
    <i/>
  </colItems>
  <dataFields count="1">
    <dataField name="Promedio de Dias_Entrega" fld="6" subtotal="average" baseField="0" baseItem="0"/>
  </dataFields>
  <formats count="2">
    <format dxfId="161">
      <pivotArea collapsedLevelsAreSubtotals="1" fieldPosition="0">
        <references count="1">
          <reference field="2" count="0"/>
        </references>
      </pivotArea>
    </format>
    <format dxfId="157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8DF0D-5172-4503-8643-AAE6C1E5BD3F}" name="INDICADOR_4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6:B52" firstHeaderRow="1" firstDataRow="1" firstDataCol="1" rowPageCount="1" colPageCount="1"/>
  <pivotFields count="11">
    <pivotField showAll="0"/>
    <pivotField numFmtId="14" showAll="0">
      <items count="159">
        <item x="100"/>
        <item x="93"/>
        <item x="63"/>
        <item x="44"/>
        <item x="92"/>
        <item x="1"/>
        <item x="95"/>
        <item x="128"/>
        <item x="81"/>
        <item x="119"/>
        <item x="26"/>
        <item x="84"/>
        <item x="98"/>
        <item x="14"/>
        <item x="129"/>
        <item x="23"/>
        <item x="152"/>
        <item x="70"/>
        <item x="79"/>
        <item x="121"/>
        <item x="73"/>
        <item x="126"/>
        <item x="99"/>
        <item x="127"/>
        <item x="139"/>
        <item x="77"/>
        <item x="52"/>
        <item x="96"/>
        <item x="62"/>
        <item x="131"/>
        <item x="103"/>
        <item x="13"/>
        <item x="31"/>
        <item x="76"/>
        <item x="124"/>
        <item x="112"/>
        <item x="151"/>
        <item x="43"/>
        <item x="116"/>
        <item x="106"/>
        <item x="47"/>
        <item x="24"/>
        <item x="107"/>
        <item x="101"/>
        <item x="28"/>
        <item x="72"/>
        <item x="50"/>
        <item x="140"/>
        <item x="58"/>
        <item x="71"/>
        <item x="114"/>
        <item x="105"/>
        <item x="88"/>
        <item x="39"/>
        <item x="132"/>
        <item x="147"/>
        <item x="32"/>
        <item x="25"/>
        <item x="80"/>
        <item x="11"/>
        <item x="104"/>
        <item x="9"/>
        <item x="130"/>
        <item x="135"/>
        <item x="115"/>
        <item x="75"/>
        <item x="38"/>
        <item x="97"/>
        <item x="125"/>
        <item x="10"/>
        <item x="145"/>
        <item x="110"/>
        <item x="150"/>
        <item x="108"/>
        <item x="0"/>
        <item x="46"/>
        <item x="56"/>
        <item x="109"/>
        <item x="83"/>
        <item x="35"/>
        <item x="69"/>
        <item x="87"/>
        <item x="3"/>
        <item x="60"/>
        <item x="148"/>
        <item x="41"/>
        <item x="34"/>
        <item x="137"/>
        <item x="78"/>
        <item x="82"/>
        <item x="102"/>
        <item x="51"/>
        <item x="5"/>
        <item x="67"/>
        <item x="20"/>
        <item x="4"/>
        <item x="17"/>
        <item x="42"/>
        <item x="48"/>
        <item x="142"/>
        <item x="16"/>
        <item x="89"/>
        <item x="6"/>
        <item x="134"/>
        <item x="141"/>
        <item x="111"/>
        <item x="138"/>
        <item x="61"/>
        <item x="49"/>
        <item x="118"/>
        <item x="117"/>
        <item x="91"/>
        <item x="53"/>
        <item x="66"/>
        <item x="136"/>
        <item x="149"/>
        <item x="122"/>
        <item x="21"/>
        <item x="94"/>
        <item x="19"/>
        <item x="59"/>
        <item x="40"/>
        <item x="113"/>
        <item x="90"/>
        <item x="12"/>
        <item x="64"/>
        <item x="7"/>
        <item x="8"/>
        <item x="57"/>
        <item x="22"/>
        <item x="15"/>
        <item x="37"/>
        <item x="86"/>
        <item x="45"/>
        <item x="33"/>
        <item x="65"/>
        <item x="54"/>
        <item x="2"/>
        <item x="55"/>
        <item x="133"/>
        <item x="120"/>
        <item x="123"/>
        <item x="143"/>
        <item x="27"/>
        <item x="30"/>
        <item x="36"/>
        <item x="29"/>
        <item x="85"/>
        <item x="68"/>
        <item x="153"/>
        <item x="146"/>
        <item x="144"/>
        <item x="74"/>
        <item x="18"/>
        <item m="1" x="157"/>
        <item m="1" x="156"/>
        <item m="1" x="155"/>
        <item m="1" x="154"/>
        <item t="default"/>
      </items>
    </pivotField>
    <pivotField showAll="0"/>
    <pivotField showAll="0"/>
    <pivotField axis="axisRow" showAll="0" sortType="a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0" showAll="0"/>
    <pivotField numFmtId="49" showAll="0"/>
    <pivotField axis="axisPage" dataField="1" showAll="0">
      <items count="3"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pageFields count="1">
    <pageField fld="7" hier="-1"/>
  </pageFields>
  <dataFields count="1">
    <dataField name="Cuenta de Estado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A0C1C-3F3F-4D92-B2A0-D5FF707E229D}" name="INDICADOR_3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9:C43" firstHeaderRow="1" firstDataRow="2" firstDataCol="1"/>
  <pivotFields count="11">
    <pivotField dataField="1" showAll="0"/>
    <pivotField numFmtId="14" showAll="0">
      <items count="159">
        <item x="92"/>
        <item x="1"/>
        <item x="95"/>
        <item x="128"/>
        <item x="81"/>
        <item x="119"/>
        <item x="26"/>
        <item x="84"/>
        <item x="98"/>
        <item x="14"/>
        <item x="129"/>
        <item x="23"/>
        <item x="152"/>
        <item x="70"/>
        <item x="79"/>
        <item x="121"/>
        <item x="73"/>
        <item x="126"/>
        <item x="99"/>
        <item x="127"/>
        <item x="139"/>
        <item x="77"/>
        <item x="52"/>
        <item x="96"/>
        <item x="62"/>
        <item x="131"/>
        <item x="103"/>
        <item x="13"/>
        <item x="31"/>
        <item x="76"/>
        <item x="124"/>
        <item x="112"/>
        <item x="151"/>
        <item x="43"/>
        <item x="116"/>
        <item x="106"/>
        <item x="47"/>
        <item x="24"/>
        <item x="107"/>
        <item x="101"/>
        <item x="28"/>
        <item x="72"/>
        <item x="50"/>
        <item x="140"/>
        <item x="58"/>
        <item x="71"/>
        <item x="114"/>
        <item x="105"/>
        <item x="88"/>
        <item x="39"/>
        <item x="132"/>
        <item x="147"/>
        <item x="32"/>
        <item x="25"/>
        <item x="80"/>
        <item x="11"/>
        <item x="104"/>
        <item x="9"/>
        <item x="130"/>
        <item x="135"/>
        <item x="115"/>
        <item x="75"/>
        <item x="38"/>
        <item x="97"/>
        <item x="125"/>
        <item x="10"/>
        <item x="145"/>
        <item x="110"/>
        <item x="150"/>
        <item x="108"/>
        <item x="0"/>
        <item x="46"/>
        <item x="56"/>
        <item x="109"/>
        <item x="83"/>
        <item x="35"/>
        <item x="69"/>
        <item x="87"/>
        <item x="3"/>
        <item x="60"/>
        <item x="148"/>
        <item x="41"/>
        <item x="34"/>
        <item x="137"/>
        <item x="78"/>
        <item x="82"/>
        <item x="102"/>
        <item x="51"/>
        <item x="5"/>
        <item x="67"/>
        <item x="20"/>
        <item x="4"/>
        <item x="17"/>
        <item x="42"/>
        <item x="48"/>
        <item x="142"/>
        <item x="16"/>
        <item x="89"/>
        <item x="6"/>
        <item x="134"/>
        <item x="141"/>
        <item x="111"/>
        <item x="138"/>
        <item x="61"/>
        <item x="49"/>
        <item x="118"/>
        <item x="117"/>
        <item x="91"/>
        <item x="53"/>
        <item x="66"/>
        <item x="136"/>
        <item x="149"/>
        <item x="122"/>
        <item x="21"/>
        <item x="94"/>
        <item x="19"/>
        <item x="59"/>
        <item x="40"/>
        <item x="113"/>
        <item x="90"/>
        <item x="12"/>
        <item x="64"/>
        <item x="7"/>
        <item x="8"/>
        <item x="57"/>
        <item x="22"/>
        <item x="15"/>
        <item x="37"/>
        <item x="86"/>
        <item x="45"/>
        <item x="33"/>
        <item x="65"/>
        <item x="54"/>
        <item x="2"/>
        <item x="55"/>
        <item x="133"/>
        <item x="120"/>
        <item x="123"/>
        <item x="143"/>
        <item x="27"/>
        <item x="30"/>
        <item x="36"/>
        <item x="29"/>
        <item x="85"/>
        <item x="68"/>
        <item x="153"/>
        <item x="146"/>
        <item x="144"/>
        <item x="74"/>
        <item x="18"/>
        <item m="1" x="157"/>
        <item m="1" x="156"/>
        <item m="1" x="155"/>
        <item m="1" x="154"/>
        <item x="100"/>
        <item x="44"/>
        <item x="63"/>
        <item x="93"/>
        <item t="default"/>
      </items>
    </pivotField>
    <pivotField showAll="0"/>
    <pivotField showAll="0"/>
    <pivotField showAll="0">
      <items count="6">
        <item x="4"/>
        <item x="1"/>
        <item x="3"/>
        <item x="0"/>
        <item x="2"/>
        <item t="default"/>
      </items>
    </pivotField>
    <pivotField numFmtId="170" showAll="0"/>
    <pivotField numFmtId="49" showAll="0"/>
    <pivotField showAll="0">
      <items count="3"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5">
        <item sd="0" x="1"/>
        <item sd="0" x="2"/>
        <item x="0"/>
        <item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0"/>
  </colFields>
  <colItems count="2">
    <i>
      <x/>
    </i>
    <i t="grand">
      <x/>
    </i>
  </colItems>
  <dataFields count="1">
    <dataField name="Cuenta de ID_Orden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E3182-8235-4D93-9C05-0DD71B5A9E71}" name="INDICADOR_2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5:B26" firstHeaderRow="1" firstDataRow="1" firstDataCol="1"/>
  <pivotFields count="11">
    <pivotField showAll="0"/>
    <pivotField numFmtId="14" showAll="0">
      <items count="159">
        <item x="92"/>
        <item x="1"/>
        <item x="95"/>
        <item x="128"/>
        <item x="81"/>
        <item x="119"/>
        <item x="26"/>
        <item x="84"/>
        <item x="98"/>
        <item x="14"/>
        <item x="129"/>
        <item x="23"/>
        <item x="152"/>
        <item x="70"/>
        <item x="79"/>
        <item x="121"/>
        <item x="73"/>
        <item x="126"/>
        <item x="99"/>
        <item x="127"/>
        <item x="139"/>
        <item x="77"/>
        <item x="52"/>
        <item x="96"/>
        <item x="62"/>
        <item x="131"/>
        <item x="103"/>
        <item x="13"/>
        <item x="31"/>
        <item x="76"/>
        <item x="124"/>
        <item x="112"/>
        <item x="151"/>
        <item x="43"/>
        <item x="116"/>
        <item x="106"/>
        <item x="47"/>
        <item x="24"/>
        <item x="107"/>
        <item x="101"/>
        <item x="28"/>
        <item x="72"/>
        <item x="50"/>
        <item x="140"/>
        <item x="58"/>
        <item x="71"/>
        <item x="114"/>
        <item x="105"/>
        <item x="88"/>
        <item x="39"/>
        <item x="132"/>
        <item x="147"/>
        <item x="32"/>
        <item x="25"/>
        <item x="80"/>
        <item x="11"/>
        <item x="104"/>
        <item x="9"/>
        <item x="130"/>
        <item x="135"/>
        <item x="115"/>
        <item x="75"/>
        <item x="38"/>
        <item x="97"/>
        <item x="125"/>
        <item x="10"/>
        <item x="145"/>
        <item x="110"/>
        <item x="150"/>
        <item x="108"/>
        <item x="0"/>
        <item x="46"/>
        <item x="56"/>
        <item x="109"/>
        <item x="83"/>
        <item x="35"/>
        <item x="69"/>
        <item x="87"/>
        <item x="3"/>
        <item x="60"/>
        <item x="148"/>
        <item x="41"/>
        <item x="34"/>
        <item x="137"/>
        <item x="78"/>
        <item x="82"/>
        <item x="102"/>
        <item x="51"/>
        <item x="5"/>
        <item x="67"/>
        <item x="20"/>
        <item x="4"/>
        <item x="17"/>
        <item x="42"/>
        <item x="48"/>
        <item x="142"/>
        <item x="16"/>
        <item x="89"/>
        <item x="6"/>
        <item x="134"/>
        <item x="141"/>
        <item x="111"/>
        <item x="138"/>
        <item x="61"/>
        <item x="49"/>
        <item x="118"/>
        <item x="117"/>
        <item x="91"/>
        <item x="53"/>
        <item x="66"/>
        <item x="136"/>
        <item x="149"/>
        <item x="122"/>
        <item x="21"/>
        <item x="94"/>
        <item x="19"/>
        <item x="59"/>
        <item x="40"/>
        <item x="113"/>
        <item x="90"/>
        <item x="12"/>
        <item x="64"/>
        <item x="7"/>
        <item x="8"/>
        <item x="57"/>
        <item x="22"/>
        <item x="15"/>
        <item x="37"/>
        <item x="86"/>
        <item x="45"/>
        <item x="33"/>
        <item x="65"/>
        <item x="54"/>
        <item x="2"/>
        <item x="55"/>
        <item x="133"/>
        <item x="120"/>
        <item x="123"/>
        <item x="143"/>
        <item x="27"/>
        <item x="30"/>
        <item x="36"/>
        <item x="29"/>
        <item x="85"/>
        <item x="68"/>
        <item x="153"/>
        <item x="146"/>
        <item x="144"/>
        <item x="74"/>
        <item x="18"/>
        <item m="1" x="157"/>
        <item m="1" x="156"/>
        <item m="1" x="155"/>
        <item m="1" x="154"/>
        <item x="100"/>
        <item x="44"/>
        <item x="63"/>
        <item x="93"/>
        <item t="default"/>
      </items>
    </pivotField>
    <pivotField axis="axisRow" showAll="0">
      <items count="11">
        <item x="3"/>
        <item x="2"/>
        <item x="6"/>
        <item x="4"/>
        <item x="0"/>
        <item x="7"/>
        <item x="5"/>
        <item x="1"/>
        <item x="8"/>
        <item x="9"/>
        <item t="default"/>
      </items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dataField="1" numFmtId="170" showAll="0"/>
    <pivotField numFmtId="49"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Costo_Envío" fld="5" baseField="0" baseItem="0"/>
  </dataFields>
  <formats count="3">
    <format dxfId="160">
      <pivotArea collapsedLevelsAreSubtotals="1" fieldPosition="0">
        <references count="1">
          <reference field="2" count="0"/>
        </references>
      </pivotArea>
    </format>
    <format dxfId="159">
      <pivotArea collapsedLevelsAreSubtotals="1" fieldPosition="0">
        <references count="1">
          <reference field="2" count="1">
            <x v="0"/>
          </reference>
        </references>
      </pivotArea>
    </format>
    <format dxfId="1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B4A4B-587A-4735-96FD-7F6B822AFDBC}" name="INDICADOR_1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11">
    <pivotField showAll="0"/>
    <pivotField numFmtId="14" showAll="0">
      <items count="159">
        <item x="92"/>
        <item x="1"/>
        <item x="95"/>
        <item x="128"/>
        <item x="81"/>
        <item x="119"/>
        <item x="26"/>
        <item x="84"/>
        <item x="98"/>
        <item x="14"/>
        <item x="129"/>
        <item x="23"/>
        <item x="152"/>
        <item x="70"/>
        <item x="79"/>
        <item x="121"/>
        <item x="73"/>
        <item x="126"/>
        <item x="99"/>
        <item x="127"/>
        <item x="139"/>
        <item x="77"/>
        <item x="52"/>
        <item x="96"/>
        <item x="62"/>
        <item x="131"/>
        <item x="103"/>
        <item x="13"/>
        <item x="31"/>
        <item x="76"/>
        <item x="124"/>
        <item x="112"/>
        <item x="151"/>
        <item x="43"/>
        <item x="116"/>
        <item x="106"/>
        <item x="47"/>
        <item x="24"/>
        <item x="107"/>
        <item x="101"/>
        <item x="28"/>
        <item x="72"/>
        <item x="50"/>
        <item x="140"/>
        <item x="58"/>
        <item x="71"/>
        <item x="114"/>
        <item x="105"/>
        <item x="88"/>
        <item x="39"/>
        <item x="132"/>
        <item x="147"/>
        <item x="32"/>
        <item x="25"/>
        <item x="80"/>
        <item x="11"/>
        <item x="104"/>
        <item x="9"/>
        <item x="130"/>
        <item x="135"/>
        <item x="115"/>
        <item x="75"/>
        <item x="38"/>
        <item x="97"/>
        <item x="125"/>
        <item x="10"/>
        <item x="145"/>
        <item x="110"/>
        <item x="150"/>
        <item x="108"/>
        <item x="0"/>
        <item x="46"/>
        <item x="56"/>
        <item x="109"/>
        <item x="83"/>
        <item x="35"/>
        <item x="69"/>
        <item x="87"/>
        <item x="3"/>
        <item x="60"/>
        <item x="148"/>
        <item x="41"/>
        <item x="34"/>
        <item x="137"/>
        <item x="78"/>
        <item x="82"/>
        <item x="102"/>
        <item x="51"/>
        <item x="5"/>
        <item x="67"/>
        <item x="20"/>
        <item x="4"/>
        <item x="17"/>
        <item x="42"/>
        <item x="48"/>
        <item x="142"/>
        <item x="16"/>
        <item x="89"/>
        <item x="6"/>
        <item x="134"/>
        <item x="141"/>
        <item x="111"/>
        <item x="138"/>
        <item x="61"/>
        <item x="49"/>
        <item x="118"/>
        <item x="117"/>
        <item x="91"/>
        <item x="53"/>
        <item x="66"/>
        <item x="136"/>
        <item x="149"/>
        <item x="122"/>
        <item x="21"/>
        <item x="94"/>
        <item x="19"/>
        <item x="59"/>
        <item x="40"/>
        <item x="113"/>
        <item x="90"/>
        <item x="12"/>
        <item x="64"/>
        <item x="7"/>
        <item x="8"/>
        <item x="57"/>
        <item x="22"/>
        <item x="15"/>
        <item x="37"/>
        <item x="86"/>
        <item x="45"/>
        <item x="33"/>
        <item x="65"/>
        <item x="54"/>
        <item x="2"/>
        <item x="55"/>
        <item x="133"/>
        <item x="120"/>
        <item x="123"/>
        <item x="143"/>
        <item x="27"/>
        <item x="30"/>
        <item x="36"/>
        <item x="29"/>
        <item x="85"/>
        <item x="68"/>
        <item x="153"/>
        <item x="146"/>
        <item x="144"/>
        <item x="74"/>
        <item x="18"/>
        <item m="1" x="157"/>
        <item m="1" x="156"/>
        <item m="1" x="155"/>
        <item m="1" x="154"/>
        <item x="100"/>
        <item x="44"/>
        <item x="63"/>
        <item x="93"/>
        <item t="default"/>
      </items>
    </pivotField>
    <pivotField axis="axisRow" showAll="0">
      <items count="11">
        <item x="3"/>
        <item x="2"/>
        <item x="6"/>
        <item x="4"/>
        <item x="0"/>
        <item x="7"/>
        <item x="5"/>
        <item x="1"/>
        <item x="8"/>
        <item x="9"/>
        <item t="default"/>
      </items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dataField="1" numFmtId="170" showAll="0"/>
    <pivotField numFmtId="49"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romedio de Costo_Envío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portista" xr10:uid="{19AE791B-D581-431B-AEE2-0AF78C35EC40}" sourceName="Transportista">
  <pivotTables>
    <pivotTable tabId="2" name="INDICADOR_1"/>
    <pivotTable tabId="2" name="INDICADOR_2"/>
    <pivotTable tabId="2" name="INDICADOR_3"/>
    <pivotTable tabId="2" name="INDICADOR_4"/>
    <pivotTable tabId="2" name="INDICADOR_5"/>
  </pivotTables>
  <data>
    <tabular pivotCacheId="1583852805">
      <items count="5">
        <i x="4" s="1"/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436EE87B-1C0A-4B9D-91B6-8DE74966D5A7}" sourceName="Estado">
  <pivotTables>
    <pivotTable tabId="2" name="INDICADOR_1"/>
    <pivotTable tabId="2" name="INDICADOR_2"/>
    <pivotTable tabId="2" name="INDICADOR_3"/>
    <pivotTable tabId="2" name="INDICADOR_4"/>
    <pivotTable tabId="2" name="INDICADOR_5"/>
  </pivotTables>
  <data>
    <tabular pivotCacheId="1583852805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EAEC706D-776E-4EEA-862E-CAD6759E36EE}" sourceName="Meses (Fecha)">
  <pivotTables>
    <pivotTable tabId="2" name="INDICADOR_1"/>
    <pivotTable tabId="2" name="INDICADOR_2"/>
    <pivotTable tabId="2" name="INDICADOR_3"/>
    <pivotTable tabId="2" name="INDICADOR_4"/>
    <pivotTable tabId="2" name="INDICADOR_5"/>
  </pivotTables>
  <data>
    <tabular pivotCacheId="1583852805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ista" xr10:uid="{1992BCCC-810A-4F65-87A5-135830ED5004}" cache="SegmentaciónDeDatos_Transportista" caption="Transportista" style="SlicerStyleDark5 2" rowHeight="241300"/>
  <slicer name="Estado" xr10:uid="{80C0023E-9C3C-4133-9C3B-394BF7309124}" cache="SegmentaciónDeDatos_Estado" caption="Estado" style="SlicerStyleDark5 2" rowHeight="241300"/>
  <slicer name="Meses (Fecha)" xr10:uid="{F6C647AB-66C0-4AA0-832B-4AF50D1D29CF}" cache="SegmentaciónDeDatos_Meses__Fecha" caption="Meses (Fecha)" style="SlicerStyleDark5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6A0A9-3C6C-4540-8524-DF767DF3457C}" name="T_Orden" displayName="T_Orden" ref="A1:H201" totalsRowShown="0" headerRowDxfId="162">
  <autoFilter ref="A1:H201" xr:uid="{A136A0A9-3C6C-4540-8524-DF767DF3457C}"/>
  <tableColumns count="8">
    <tableColumn id="1" xr3:uid="{62032906-1361-4903-9C4F-8F7EBDC9824E}" name="ID_Orden"/>
    <tableColumn id="2" xr3:uid="{9DE6AEE3-B8E7-42F7-9266-D21D2FC237F1}" name="Fecha" dataDxfId="169"/>
    <tableColumn id="3" xr3:uid="{F67CD2D7-9934-484C-938B-9C13A6A779AB}" name="Departamento" dataDxfId="168"/>
    <tableColumn id="4" xr3:uid="{1FAE0BA2-BD55-4AEC-8FBE-0FDBA1E51707}" name="Ciudad" dataDxfId="167"/>
    <tableColumn id="5" xr3:uid="{D532757D-65C2-4404-8441-C7D0573B15F4}" name="Transportista" dataDxfId="166"/>
    <tableColumn id="6" xr3:uid="{C4E4D009-CF0D-469C-84C8-9BB63E10D786}" name="Costo_Envío" dataDxfId="165"/>
    <tableColumn id="7" xr3:uid="{81221282-9580-41AD-A150-DC4FF6D10F1F}" name="Dias_Entrega" dataDxfId="164"/>
    <tableColumn id="8" xr3:uid="{885F6E17-2CC0-49AC-A6C9-CC2276652DE7}" name="Estado" dataDxfId="1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M14" sqref="M14"/>
    </sheetView>
  </sheetViews>
  <sheetFormatPr baseColWidth="10" defaultColWidth="9.140625" defaultRowHeight="15" x14ac:dyDescent="0.25"/>
  <cols>
    <col min="1" max="1" width="11.5703125" customWidth="1"/>
    <col min="2" max="2" width="10.7109375" style="1" bestFit="1" customWidth="1"/>
    <col min="3" max="3" width="16" style="2" customWidth="1"/>
    <col min="4" max="4" width="9.42578125" bestFit="1" customWidth="1"/>
    <col min="5" max="5" width="14.7109375" customWidth="1"/>
    <col min="6" max="6" width="14" customWidth="1"/>
    <col min="7" max="7" width="14.5703125" style="2" customWidth="1"/>
    <col min="8" max="8" width="9.85546875" style="2" bestFit="1" customWidth="1"/>
    <col min="12" max="12" width="13.85546875" bestFit="1" customWidth="1"/>
  </cols>
  <sheetData>
    <row r="1" spans="1:8" x14ac:dyDescent="0.25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 x14ac:dyDescent="0.25">
      <c r="A2" t="s">
        <v>36</v>
      </c>
      <c r="B2" s="1">
        <v>45827</v>
      </c>
      <c r="C2" s="2" t="s">
        <v>12</v>
      </c>
      <c r="D2" s="2" t="s">
        <v>19</v>
      </c>
      <c r="E2" s="2" t="s">
        <v>22</v>
      </c>
      <c r="F2" s="3">
        <v>61</v>
      </c>
      <c r="G2" s="2">
        <v>6</v>
      </c>
      <c r="H2" s="2" t="s">
        <v>27</v>
      </c>
    </row>
    <row r="3" spans="1:8" x14ac:dyDescent="0.25">
      <c r="A3" t="s">
        <v>37</v>
      </c>
      <c r="B3" s="1">
        <v>45675</v>
      </c>
      <c r="C3" s="2" t="s">
        <v>10</v>
      </c>
      <c r="D3" s="2" t="s">
        <v>10</v>
      </c>
      <c r="E3" s="2" t="s">
        <v>23</v>
      </c>
      <c r="F3" s="3">
        <v>22</v>
      </c>
      <c r="G3" s="2">
        <v>5</v>
      </c>
      <c r="H3" s="2" t="s">
        <v>27</v>
      </c>
    </row>
    <row r="4" spans="1:8" x14ac:dyDescent="0.25">
      <c r="A4" t="s">
        <v>38</v>
      </c>
      <c r="B4" s="1">
        <v>45973</v>
      </c>
      <c r="C4" s="2" t="s">
        <v>8</v>
      </c>
      <c r="D4" s="2" t="s">
        <v>8</v>
      </c>
      <c r="E4" s="2" t="s">
        <v>22</v>
      </c>
      <c r="F4" s="3">
        <v>48</v>
      </c>
      <c r="G4" s="2">
        <v>4</v>
      </c>
      <c r="H4" s="2" t="s">
        <v>28</v>
      </c>
    </row>
    <row r="5" spans="1:8" x14ac:dyDescent="0.25">
      <c r="A5" t="s">
        <v>39</v>
      </c>
      <c r="B5" s="1">
        <v>45847</v>
      </c>
      <c r="C5" s="2" t="s">
        <v>15</v>
      </c>
      <c r="D5" s="2" t="s">
        <v>21</v>
      </c>
      <c r="E5" s="2" t="s">
        <v>24</v>
      </c>
      <c r="F5" s="3">
        <v>53</v>
      </c>
      <c r="G5" s="2">
        <v>3</v>
      </c>
      <c r="H5" s="2" t="s">
        <v>28</v>
      </c>
    </row>
    <row r="6" spans="1:8" x14ac:dyDescent="0.25">
      <c r="A6" t="s">
        <v>40</v>
      </c>
      <c r="B6" s="1">
        <v>45871</v>
      </c>
      <c r="C6" s="2" t="s">
        <v>15</v>
      </c>
      <c r="D6" s="2" t="s">
        <v>21</v>
      </c>
      <c r="E6" s="2" t="s">
        <v>23</v>
      </c>
      <c r="F6" s="3">
        <v>37</v>
      </c>
      <c r="G6" s="2">
        <v>7</v>
      </c>
      <c r="H6" s="2" t="s">
        <v>27</v>
      </c>
    </row>
    <row r="7" spans="1:8" x14ac:dyDescent="0.25">
      <c r="A7" t="s">
        <v>41</v>
      </c>
      <c r="B7" s="1">
        <v>45863</v>
      </c>
      <c r="C7" s="2" t="s">
        <v>13</v>
      </c>
      <c r="D7" s="2" t="s">
        <v>20</v>
      </c>
      <c r="E7" s="2" t="s">
        <v>24</v>
      </c>
      <c r="F7" s="3">
        <v>61</v>
      </c>
      <c r="G7" s="2">
        <v>3</v>
      </c>
      <c r="H7" s="2" t="s">
        <v>28</v>
      </c>
    </row>
    <row r="8" spans="1:8" x14ac:dyDescent="0.25">
      <c r="A8" t="s">
        <v>42</v>
      </c>
      <c r="B8" s="1">
        <v>45896</v>
      </c>
      <c r="C8" s="2" t="s">
        <v>11</v>
      </c>
      <c r="D8" s="2" t="s">
        <v>18</v>
      </c>
      <c r="E8" s="2" t="s">
        <v>24</v>
      </c>
      <c r="F8" s="3">
        <v>40</v>
      </c>
      <c r="G8" s="2">
        <v>5</v>
      </c>
      <c r="H8" s="2" t="s">
        <v>27</v>
      </c>
    </row>
    <row r="9" spans="1:8" x14ac:dyDescent="0.25">
      <c r="A9" t="s">
        <v>43</v>
      </c>
      <c r="B9" s="1">
        <v>45951</v>
      </c>
      <c r="C9" s="2" t="s">
        <v>8</v>
      </c>
      <c r="D9" s="2" t="s">
        <v>8</v>
      </c>
      <c r="E9" s="2" t="s">
        <v>25</v>
      </c>
      <c r="F9" s="3">
        <v>47</v>
      </c>
      <c r="G9" s="2">
        <v>4</v>
      </c>
      <c r="H9" s="2" t="s">
        <v>28</v>
      </c>
    </row>
    <row r="10" spans="1:8" x14ac:dyDescent="0.25">
      <c r="A10" t="s">
        <v>44</v>
      </c>
      <c r="B10" s="1">
        <v>45953</v>
      </c>
      <c r="C10" s="2" t="s">
        <v>11</v>
      </c>
      <c r="D10" s="2" t="s">
        <v>18</v>
      </c>
      <c r="E10" s="2" t="s">
        <v>24</v>
      </c>
      <c r="F10" s="3">
        <v>64</v>
      </c>
      <c r="G10" s="2">
        <v>6</v>
      </c>
      <c r="H10" s="2" t="s">
        <v>27</v>
      </c>
    </row>
    <row r="11" spans="1:8" x14ac:dyDescent="0.25">
      <c r="A11" t="s">
        <v>45</v>
      </c>
      <c r="B11" s="1">
        <v>45806</v>
      </c>
      <c r="C11" s="2" t="s">
        <v>9</v>
      </c>
      <c r="D11" s="2" t="s">
        <v>9</v>
      </c>
      <c r="E11" s="2" t="s">
        <v>25</v>
      </c>
      <c r="F11" s="3">
        <v>40</v>
      </c>
      <c r="G11" s="2">
        <v>7</v>
      </c>
      <c r="H11" s="2" t="s">
        <v>27</v>
      </c>
    </row>
    <row r="12" spans="1:8" x14ac:dyDescent="0.25">
      <c r="A12" t="s">
        <v>46</v>
      </c>
      <c r="B12" s="1">
        <v>45820</v>
      </c>
      <c r="C12" s="2" t="s">
        <v>17</v>
      </c>
      <c r="D12" s="2" t="s">
        <v>17</v>
      </c>
      <c r="E12" s="2" t="s">
        <v>23</v>
      </c>
      <c r="F12" s="3">
        <v>11</v>
      </c>
      <c r="G12" s="2">
        <v>2</v>
      </c>
      <c r="H12" s="2" t="s">
        <v>28</v>
      </c>
    </row>
    <row r="13" spans="1:8" x14ac:dyDescent="0.25">
      <c r="A13" t="s">
        <v>47</v>
      </c>
      <c r="B13" s="1">
        <v>45798</v>
      </c>
      <c r="C13" s="2" t="s">
        <v>10</v>
      </c>
      <c r="D13" s="2" t="s">
        <v>10</v>
      </c>
      <c r="E13" s="2" t="s">
        <v>23</v>
      </c>
      <c r="F13" s="3">
        <v>70</v>
      </c>
      <c r="G13" s="2">
        <v>5</v>
      </c>
      <c r="H13" s="2" t="s">
        <v>27</v>
      </c>
    </row>
    <row r="14" spans="1:8" x14ac:dyDescent="0.25">
      <c r="A14" t="s">
        <v>48</v>
      </c>
      <c r="B14" s="1">
        <v>45943</v>
      </c>
      <c r="C14" s="2" t="s">
        <v>9</v>
      </c>
      <c r="D14" s="2" t="s">
        <v>9</v>
      </c>
      <c r="E14" s="2" t="s">
        <v>25</v>
      </c>
      <c r="F14" s="3">
        <v>34</v>
      </c>
      <c r="G14" s="2">
        <v>3</v>
      </c>
      <c r="H14" s="2" t="s">
        <v>28</v>
      </c>
    </row>
    <row r="15" spans="1:8" x14ac:dyDescent="0.25">
      <c r="A15" t="s">
        <v>49</v>
      </c>
      <c r="B15" s="1">
        <v>45738</v>
      </c>
      <c r="C15" s="2" t="s">
        <v>12</v>
      </c>
      <c r="D15" s="2" t="s">
        <v>19</v>
      </c>
      <c r="E15" s="2" t="s">
        <v>23</v>
      </c>
      <c r="F15" s="3">
        <v>22</v>
      </c>
      <c r="G15" s="2">
        <v>4</v>
      </c>
      <c r="H15" s="2" t="s">
        <v>28</v>
      </c>
    </row>
    <row r="16" spans="1:8" x14ac:dyDescent="0.25">
      <c r="A16" t="s">
        <v>50</v>
      </c>
      <c r="B16" s="1">
        <v>45696</v>
      </c>
      <c r="C16" s="2" t="s">
        <v>10</v>
      </c>
      <c r="D16" s="2" t="s">
        <v>10</v>
      </c>
      <c r="E16" s="2" t="s">
        <v>24</v>
      </c>
      <c r="F16" s="3">
        <v>46</v>
      </c>
      <c r="G16" s="2">
        <v>5</v>
      </c>
      <c r="H16" s="2" t="s">
        <v>27</v>
      </c>
    </row>
    <row r="17" spans="1:8" x14ac:dyDescent="0.25">
      <c r="A17" t="s">
        <v>51</v>
      </c>
      <c r="B17" s="1">
        <v>45961</v>
      </c>
      <c r="C17" s="2" t="s">
        <v>8</v>
      </c>
      <c r="D17" s="2" t="s">
        <v>8</v>
      </c>
      <c r="E17" s="2" t="s">
        <v>22</v>
      </c>
      <c r="F17" s="3">
        <v>45</v>
      </c>
      <c r="G17" s="2">
        <v>5</v>
      </c>
      <c r="H17" s="2" t="s">
        <v>27</v>
      </c>
    </row>
    <row r="18" spans="1:8" x14ac:dyDescent="0.25">
      <c r="A18" t="s">
        <v>52</v>
      </c>
      <c r="B18" s="1">
        <v>45887</v>
      </c>
      <c r="C18" s="2" t="s">
        <v>14</v>
      </c>
      <c r="D18" s="2" t="s">
        <v>14</v>
      </c>
      <c r="E18" s="2" t="s">
        <v>25</v>
      </c>
      <c r="F18" s="3">
        <v>63</v>
      </c>
      <c r="G18" s="2">
        <v>6</v>
      </c>
      <c r="H18" s="2" t="s">
        <v>27</v>
      </c>
    </row>
    <row r="19" spans="1:8" x14ac:dyDescent="0.25">
      <c r="A19" t="s">
        <v>53</v>
      </c>
      <c r="B19" s="1">
        <v>45874</v>
      </c>
      <c r="C19" s="2" t="s">
        <v>10</v>
      </c>
      <c r="D19" s="2" t="s">
        <v>10</v>
      </c>
      <c r="E19" s="2" t="s">
        <v>24</v>
      </c>
      <c r="F19" s="3">
        <v>21</v>
      </c>
      <c r="G19" s="2">
        <v>4</v>
      </c>
      <c r="H19" s="2" t="s">
        <v>28</v>
      </c>
    </row>
    <row r="20" spans="1:8" x14ac:dyDescent="0.25">
      <c r="A20" t="s">
        <v>54</v>
      </c>
      <c r="B20" s="1">
        <v>46022</v>
      </c>
      <c r="C20" s="2" t="s">
        <v>13</v>
      </c>
      <c r="D20" s="2" t="s">
        <v>20</v>
      </c>
      <c r="E20" s="2" t="s">
        <v>25</v>
      </c>
      <c r="F20" s="3">
        <v>54</v>
      </c>
      <c r="G20" s="2">
        <v>3</v>
      </c>
      <c r="H20" s="2" t="s">
        <v>28</v>
      </c>
    </row>
    <row r="21" spans="1:8" x14ac:dyDescent="0.25">
      <c r="A21" t="s">
        <v>55</v>
      </c>
      <c r="B21" s="1">
        <v>45921</v>
      </c>
      <c r="C21" s="2" t="s">
        <v>9</v>
      </c>
      <c r="D21" s="2" t="s">
        <v>9</v>
      </c>
      <c r="E21" s="2" t="s">
        <v>23</v>
      </c>
      <c r="F21" s="3">
        <v>28</v>
      </c>
      <c r="G21" s="2">
        <v>3</v>
      </c>
      <c r="H21" s="2" t="s">
        <v>28</v>
      </c>
    </row>
    <row r="22" spans="1:8" x14ac:dyDescent="0.25">
      <c r="A22" t="s">
        <v>56</v>
      </c>
      <c r="B22" s="1">
        <v>45866</v>
      </c>
      <c r="C22" s="2" t="s">
        <v>16</v>
      </c>
      <c r="D22" s="2" t="s">
        <v>16</v>
      </c>
      <c r="E22" s="2" t="s">
        <v>23</v>
      </c>
      <c r="F22" s="3">
        <v>45</v>
      </c>
      <c r="G22" s="2">
        <v>7</v>
      </c>
      <c r="H22" s="2" t="s">
        <v>27</v>
      </c>
    </row>
    <row r="23" spans="1:8" x14ac:dyDescent="0.25">
      <c r="A23" t="s">
        <v>57</v>
      </c>
      <c r="B23" s="1">
        <v>45918</v>
      </c>
      <c r="C23" s="2" t="s">
        <v>11</v>
      </c>
      <c r="D23" s="2" t="s">
        <v>18</v>
      </c>
      <c r="E23" s="2" t="s">
        <v>26</v>
      </c>
      <c r="F23" s="3">
        <v>40</v>
      </c>
      <c r="G23" s="2">
        <v>7</v>
      </c>
      <c r="H23" s="2" t="s">
        <v>27</v>
      </c>
    </row>
    <row r="24" spans="1:8" x14ac:dyDescent="0.25">
      <c r="A24" t="s">
        <v>58</v>
      </c>
      <c r="B24" s="1">
        <v>45958</v>
      </c>
      <c r="C24" s="2" t="s">
        <v>9</v>
      </c>
      <c r="D24" s="2" t="s">
        <v>9</v>
      </c>
      <c r="E24" s="2" t="s">
        <v>25</v>
      </c>
      <c r="F24" s="3">
        <v>31</v>
      </c>
      <c r="G24" s="2">
        <v>4</v>
      </c>
      <c r="H24" s="2" t="s">
        <v>28</v>
      </c>
    </row>
    <row r="25" spans="1:8" x14ac:dyDescent="0.25">
      <c r="A25" t="s">
        <v>59</v>
      </c>
      <c r="B25" s="1">
        <v>45701</v>
      </c>
      <c r="C25" s="2" t="s">
        <v>11</v>
      </c>
      <c r="D25" s="2" t="s">
        <v>18</v>
      </c>
      <c r="E25" s="2" t="s">
        <v>26</v>
      </c>
      <c r="F25" s="3">
        <v>45</v>
      </c>
      <c r="G25" s="2">
        <v>3</v>
      </c>
      <c r="H25" s="2" t="s">
        <v>28</v>
      </c>
    </row>
    <row r="26" spans="1:8" x14ac:dyDescent="0.25">
      <c r="A26" t="s">
        <v>60</v>
      </c>
      <c r="B26" s="1">
        <v>45760</v>
      </c>
      <c r="C26" s="2" t="s">
        <v>11</v>
      </c>
      <c r="D26" s="2" t="s">
        <v>18</v>
      </c>
      <c r="E26" s="2" t="s">
        <v>23</v>
      </c>
      <c r="F26" s="3">
        <v>41</v>
      </c>
      <c r="G26" s="2">
        <v>7</v>
      </c>
      <c r="H26" s="2" t="s">
        <v>27</v>
      </c>
    </row>
    <row r="27" spans="1:8" x14ac:dyDescent="0.25">
      <c r="A27" t="s">
        <v>61</v>
      </c>
      <c r="B27" s="1">
        <v>45788</v>
      </c>
      <c r="C27" s="2" t="s">
        <v>16</v>
      </c>
      <c r="D27" s="2" t="s">
        <v>16</v>
      </c>
      <c r="E27" s="2" t="s">
        <v>23</v>
      </c>
      <c r="F27" s="3">
        <v>68</v>
      </c>
      <c r="G27" s="2">
        <v>5</v>
      </c>
      <c r="H27" s="2" t="s">
        <v>27</v>
      </c>
    </row>
    <row r="28" spans="1:8" x14ac:dyDescent="0.25">
      <c r="A28" t="s">
        <v>62</v>
      </c>
      <c r="B28" s="1">
        <v>45687</v>
      </c>
      <c r="C28" s="2" t="s">
        <v>12</v>
      </c>
      <c r="D28" s="2" t="s">
        <v>19</v>
      </c>
      <c r="E28" s="2" t="s">
        <v>26</v>
      </c>
      <c r="F28" s="3">
        <v>47</v>
      </c>
      <c r="G28" s="2">
        <v>5</v>
      </c>
      <c r="H28" s="2" t="s">
        <v>27</v>
      </c>
    </row>
    <row r="29" spans="1:8" x14ac:dyDescent="0.25">
      <c r="A29" t="s">
        <v>63</v>
      </c>
      <c r="B29" s="1">
        <v>45990</v>
      </c>
      <c r="C29" s="2" t="s">
        <v>8</v>
      </c>
      <c r="D29" s="2" t="s">
        <v>8</v>
      </c>
      <c r="E29" s="2" t="s">
        <v>26</v>
      </c>
      <c r="F29" s="3">
        <v>60</v>
      </c>
      <c r="G29" s="2">
        <v>6</v>
      </c>
      <c r="H29" s="2" t="s">
        <v>27</v>
      </c>
    </row>
    <row r="30" spans="1:8" x14ac:dyDescent="0.25">
      <c r="A30" t="s">
        <v>64</v>
      </c>
      <c r="B30" s="1">
        <v>45766</v>
      </c>
      <c r="C30" s="2" t="s">
        <v>10</v>
      </c>
      <c r="D30" s="2" t="s">
        <v>10</v>
      </c>
      <c r="E30" s="2" t="s">
        <v>22</v>
      </c>
      <c r="F30" s="3">
        <v>28</v>
      </c>
      <c r="G30" s="2">
        <v>3</v>
      </c>
      <c r="H30" s="2" t="s">
        <v>28</v>
      </c>
    </row>
    <row r="31" spans="1:8" x14ac:dyDescent="0.25">
      <c r="A31" t="s">
        <v>65</v>
      </c>
      <c r="B31" s="1">
        <v>46006</v>
      </c>
      <c r="C31" s="2" t="s">
        <v>13</v>
      </c>
      <c r="D31" s="2" t="s">
        <v>20</v>
      </c>
      <c r="E31" s="2" t="s">
        <v>24</v>
      </c>
      <c r="F31" s="3">
        <v>70</v>
      </c>
      <c r="G31" s="2">
        <v>7</v>
      </c>
      <c r="H31" s="2" t="s">
        <v>27</v>
      </c>
    </row>
    <row r="32" spans="1:8" x14ac:dyDescent="0.25">
      <c r="A32" t="s">
        <v>66</v>
      </c>
      <c r="B32" s="1">
        <v>45994</v>
      </c>
      <c r="C32" s="2" t="s">
        <v>17</v>
      </c>
      <c r="D32" s="2" t="s">
        <v>17</v>
      </c>
      <c r="E32" s="2" t="s">
        <v>25</v>
      </c>
      <c r="F32" s="3">
        <v>16</v>
      </c>
      <c r="G32" s="2">
        <v>2</v>
      </c>
      <c r="H32" s="2" t="s">
        <v>28</v>
      </c>
    </row>
    <row r="33" spans="1:8" x14ac:dyDescent="0.25">
      <c r="A33" t="s">
        <v>67</v>
      </c>
      <c r="B33" s="1">
        <v>45742</v>
      </c>
      <c r="C33" s="2" t="s">
        <v>17</v>
      </c>
      <c r="D33" s="2" t="s">
        <v>17</v>
      </c>
      <c r="E33" s="2" t="s">
        <v>26</v>
      </c>
      <c r="F33" s="3">
        <v>16</v>
      </c>
      <c r="G33" s="2">
        <v>1</v>
      </c>
      <c r="H33" s="2" t="s">
        <v>28</v>
      </c>
    </row>
    <row r="34" spans="1:8" x14ac:dyDescent="0.25">
      <c r="A34" t="s">
        <v>68</v>
      </c>
      <c r="B34" s="1">
        <v>45787</v>
      </c>
      <c r="C34" s="2" t="s">
        <v>9</v>
      </c>
      <c r="D34" s="2" t="s">
        <v>9</v>
      </c>
      <c r="E34" s="2" t="s">
        <v>26</v>
      </c>
      <c r="F34" s="3">
        <v>45</v>
      </c>
      <c r="G34" s="2">
        <v>4</v>
      </c>
      <c r="H34" s="2" t="s">
        <v>28</v>
      </c>
    </row>
    <row r="35" spans="1:8" x14ac:dyDescent="0.25">
      <c r="A35" t="s">
        <v>69</v>
      </c>
      <c r="B35" s="1">
        <v>45798</v>
      </c>
      <c r="C35" s="2" t="s">
        <v>10</v>
      </c>
      <c r="D35" s="2" t="s">
        <v>10</v>
      </c>
      <c r="E35" s="2" t="s">
        <v>25</v>
      </c>
      <c r="F35" s="3">
        <v>36</v>
      </c>
      <c r="G35" s="2">
        <v>4</v>
      </c>
      <c r="H35" s="2" t="s">
        <v>28</v>
      </c>
    </row>
    <row r="36" spans="1:8" x14ac:dyDescent="0.25">
      <c r="A36" t="s">
        <v>70</v>
      </c>
      <c r="B36" s="1">
        <v>45967</v>
      </c>
      <c r="C36" s="2" t="s">
        <v>14</v>
      </c>
      <c r="D36" s="2" t="s">
        <v>14</v>
      </c>
      <c r="E36" s="2" t="s">
        <v>24</v>
      </c>
      <c r="F36" s="3">
        <v>67</v>
      </c>
      <c r="G36" s="2">
        <v>7</v>
      </c>
      <c r="H36" s="2" t="s">
        <v>27</v>
      </c>
    </row>
    <row r="37" spans="1:8" x14ac:dyDescent="0.25">
      <c r="A37" t="s">
        <v>71</v>
      </c>
      <c r="B37" s="1">
        <v>45856</v>
      </c>
      <c r="C37" s="2" t="s">
        <v>12</v>
      </c>
      <c r="D37" s="2" t="s">
        <v>19</v>
      </c>
      <c r="E37" s="2" t="s">
        <v>24</v>
      </c>
      <c r="F37" s="3">
        <v>28</v>
      </c>
      <c r="G37" s="2">
        <v>3</v>
      </c>
      <c r="H37" s="2" t="s">
        <v>28</v>
      </c>
    </row>
    <row r="38" spans="1:8" x14ac:dyDescent="0.25">
      <c r="A38" t="s">
        <v>72</v>
      </c>
      <c r="B38" s="1">
        <v>45838</v>
      </c>
      <c r="C38" s="2" t="s">
        <v>9</v>
      </c>
      <c r="D38" s="2" t="s">
        <v>9</v>
      </c>
      <c r="E38" s="2" t="s">
        <v>25</v>
      </c>
      <c r="F38" s="3">
        <v>70</v>
      </c>
      <c r="G38" s="2">
        <v>3</v>
      </c>
      <c r="H38" s="2" t="s">
        <v>28</v>
      </c>
    </row>
    <row r="39" spans="1:8" x14ac:dyDescent="0.25">
      <c r="A39" t="s">
        <v>73</v>
      </c>
      <c r="B39" s="1">
        <v>46000</v>
      </c>
      <c r="C39" s="2" t="s">
        <v>17</v>
      </c>
      <c r="D39" s="2" t="s">
        <v>17</v>
      </c>
      <c r="E39" s="2" t="s">
        <v>25</v>
      </c>
      <c r="F39" s="3">
        <v>11</v>
      </c>
      <c r="G39" s="2">
        <v>2</v>
      </c>
      <c r="H39" s="2" t="s">
        <v>28</v>
      </c>
    </row>
    <row r="40" spans="1:8" x14ac:dyDescent="0.25">
      <c r="A40" t="s">
        <v>74</v>
      </c>
      <c r="B40" s="1">
        <v>45962</v>
      </c>
      <c r="C40" s="2" t="s">
        <v>13</v>
      </c>
      <c r="D40" s="2" t="s">
        <v>20</v>
      </c>
      <c r="E40" s="2" t="s">
        <v>24</v>
      </c>
      <c r="F40" s="3">
        <v>30</v>
      </c>
      <c r="G40" s="2">
        <v>5</v>
      </c>
      <c r="H40" s="2" t="s">
        <v>27</v>
      </c>
    </row>
    <row r="41" spans="1:8" x14ac:dyDescent="0.25">
      <c r="A41" t="s">
        <v>75</v>
      </c>
      <c r="B41" s="1">
        <v>45973</v>
      </c>
      <c r="C41" s="2" t="s">
        <v>8</v>
      </c>
      <c r="D41" s="2" t="s">
        <v>8</v>
      </c>
      <c r="E41" s="2" t="s">
        <v>26</v>
      </c>
      <c r="F41" s="3">
        <v>24</v>
      </c>
      <c r="G41" s="2">
        <v>6</v>
      </c>
      <c r="H41" s="2" t="s">
        <v>27</v>
      </c>
    </row>
    <row r="42" spans="1:8" x14ac:dyDescent="0.25">
      <c r="A42" t="s">
        <v>76</v>
      </c>
      <c r="B42" s="1">
        <v>45812</v>
      </c>
      <c r="C42" s="2" t="s">
        <v>15</v>
      </c>
      <c r="D42" s="2" t="s">
        <v>21</v>
      </c>
      <c r="E42" s="2" t="s">
        <v>24</v>
      </c>
      <c r="F42" s="3">
        <v>69</v>
      </c>
      <c r="G42" s="2">
        <v>5</v>
      </c>
      <c r="H42" s="2" t="s">
        <v>27</v>
      </c>
    </row>
    <row r="43" spans="1:8" x14ac:dyDescent="0.25">
      <c r="A43" t="s">
        <v>77</v>
      </c>
      <c r="B43" s="1">
        <v>45847</v>
      </c>
      <c r="C43" s="2" t="s">
        <v>12</v>
      </c>
      <c r="D43" s="2" t="s">
        <v>19</v>
      </c>
      <c r="E43" s="2" t="s">
        <v>26</v>
      </c>
      <c r="F43" s="3">
        <v>61</v>
      </c>
      <c r="G43" s="2">
        <v>6</v>
      </c>
      <c r="H43" s="2" t="s">
        <v>27</v>
      </c>
    </row>
    <row r="44" spans="1:8" x14ac:dyDescent="0.25">
      <c r="A44" t="s">
        <v>78</v>
      </c>
      <c r="B44" s="1">
        <v>45780</v>
      </c>
      <c r="C44" s="2" t="s">
        <v>16</v>
      </c>
      <c r="D44" s="2" t="s">
        <v>16</v>
      </c>
      <c r="E44" s="2" t="s">
        <v>22</v>
      </c>
      <c r="F44" s="3">
        <v>48</v>
      </c>
      <c r="G44" s="2">
        <v>4</v>
      </c>
      <c r="H44" s="2" t="s">
        <v>28</v>
      </c>
    </row>
    <row r="45" spans="1:8" x14ac:dyDescent="0.25">
      <c r="A45" t="s">
        <v>79</v>
      </c>
      <c r="B45" s="1">
        <v>45932</v>
      </c>
      <c r="C45" s="2" t="s">
        <v>9</v>
      </c>
      <c r="D45" s="2" t="s">
        <v>9</v>
      </c>
      <c r="E45" s="2" t="s">
        <v>22</v>
      </c>
      <c r="F45" s="3">
        <v>57</v>
      </c>
      <c r="G45" s="2">
        <v>4</v>
      </c>
      <c r="H45" s="2" t="s">
        <v>28</v>
      </c>
    </row>
    <row r="46" spans="1:8" x14ac:dyDescent="0.25">
      <c r="A46" t="s">
        <v>80</v>
      </c>
      <c r="B46" s="1">
        <v>45854</v>
      </c>
      <c r="C46" s="2" t="s">
        <v>11</v>
      </c>
      <c r="D46" s="2" t="s">
        <v>18</v>
      </c>
      <c r="E46" s="2" t="s">
        <v>26</v>
      </c>
      <c r="F46" s="3">
        <v>36</v>
      </c>
      <c r="G46" s="2">
        <v>4</v>
      </c>
      <c r="H46" s="2" t="s">
        <v>28</v>
      </c>
    </row>
    <row r="47" spans="1:8" x14ac:dyDescent="0.25">
      <c r="A47" t="s">
        <v>81</v>
      </c>
      <c r="B47" s="1">
        <v>46006</v>
      </c>
      <c r="C47" s="2" t="s">
        <v>14</v>
      </c>
      <c r="D47" s="2" t="s">
        <v>14</v>
      </c>
      <c r="E47" s="2" t="s">
        <v>23</v>
      </c>
      <c r="F47" s="3">
        <v>61</v>
      </c>
      <c r="G47" s="2">
        <v>5</v>
      </c>
      <c r="H47" s="2" t="s">
        <v>27</v>
      </c>
    </row>
    <row r="48" spans="1:8" x14ac:dyDescent="0.25">
      <c r="A48" t="s">
        <v>82</v>
      </c>
      <c r="B48" s="1">
        <v>45876</v>
      </c>
      <c r="C48" s="2" t="s">
        <v>16</v>
      </c>
      <c r="D48" s="2" t="s">
        <v>16</v>
      </c>
      <c r="E48" s="2" t="s">
        <v>22</v>
      </c>
      <c r="F48" s="3">
        <v>37</v>
      </c>
      <c r="G48" s="2">
        <v>4</v>
      </c>
      <c r="H48" s="2" t="s">
        <v>28</v>
      </c>
    </row>
    <row r="49" spans="1:8" x14ac:dyDescent="0.25">
      <c r="A49" t="s">
        <v>83</v>
      </c>
      <c r="B49" s="1">
        <v>45749</v>
      </c>
      <c r="C49" s="2" t="s">
        <v>16</v>
      </c>
      <c r="D49" s="2" t="s">
        <v>16</v>
      </c>
      <c r="E49" s="2" t="s">
        <v>23</v>
      </c>
      <c r="F49" s="3">
        <v>55</v>
      </c>
      <c r="G49" s="2">
        <v>5</v>
      </c>
      <c r="H49" s="2" t="s">
        <v>27</v>
      </c>
    </row>
    <row r="50" spans="1:8" x14ac:dyDescent="0.25">
      <c r="A50" t="s">
        <v>84</v>
      </c>
      <c r="B50" s="1">
        <v>45668</v>
      </c>
      <c r="C50" s="2" t="s">
        <v>9</v>
      </c>
      <c r="D50" s="2" t="s">
        <v>9</v>
      </c>
      <c r="E50" s="2" t="s">
        <v>24</v>
      </c>
      <c r="F50" s="3">
        <v>51</v>
      </c>
      <c r="G50" s="2">
        <v>6</v>
      </c>
      <c r="H50" s="2" t="s">
        <v>27</v>
      </c>
    </row>
    <row r="51" spans="1:8" x14ac:dyDescent="0.25">
      <c r="A51" t="s">
        <v>85</v>
      </c>
      <c r="B51" s="1">
        <v>45965</v>
      </c>
      <c r="C51" s="2" t="s">
        <v>13</v>
      </c>
      <c r="D51" s="2" t="s">
        <v>20</v>
      </c>
      <c r="E51" s="2" t="s">
        <v>24</v>
      </c>
      <c r="F51" s="3">
        <v>45</v>
      </c>
      <c r="G51" s="2">
        <v>7</v>
      </c>
      <c r="H51" s="2" t="s">
        <v>27</v>
      </c>
    </row>
    <row r="52" spans="1:8" x14ac:dyDescent="0.25">
      <c r="A52" t="s">
        <v>86</v>
      </c>
      <c r="B52" s="1">
        <v>45828</v>
      </c>
      <c r="C52" s="2" t="s">
        <v>17</v>
      </c>
      <c r="D52" s="2" t="s">
        <v>17</v>
      </c>
      <c r="E52" s="2" t="s">
        <v>23</v>
      </c>
      <c r="F52" s="3">
        <v>17</v>
      </c>
      <c r="G52" s="2">
        <v>2</v>
      </c>
      <c r="H52" s="2" t="s">
        <v>28</v>
      </c>
    </row>
    <row r="53" spans="1:8" x14ac:dyDescent="0.25">
      <c r="A53" t="s">
        <v>87</v>
      </c>
      <c r="B53" s="1">
        <v>45754</v>
      </c>
      <c r="C53" s="2" t="s">
        <v>13</v>
      </c>
      <c r="D53" s="2" t="s">
        <v>20</v>
      </c>
      <c r="E53" s="2" t="s">
        <v>24</v>
      </c>
      <c r="F53" s="3">
        <v>26</v>
      </c>
      <c r="G53" s="2">
        <v>7</v>
      </c>
      <c r="H53" s="2" t="s">
        <v>27</v>
      </c>
    </row>
    <row r="54" spans="1:8" x14ac:dyDescent="0.25">
      <c r="A54" t="s">
        <v>88</v>
      </c>
      <c r="B54" s="1">
        <v>45879</v>
      </c>
      <c r="C54" s="2" t="s">
        <v>13</v>
      </c>
      <c r="D54" s="2" t="s">
        <v>20</v>
      </c>
      <c r="E54" s="2" t="s">
        <v>22</v>
      </c>
      <c r="F54" s="3">
        <v>69</v>
      </c>
      <c r="G54" s="2">
        <v>5</v>
      </c>
      <c r="H54" s="2" t="s">
        <v>27</v>
      </c>
    </row>
    <row r="55" spans="1:8" x14ac:dyDescent="0.25">
      <c r="A55" t="s">
        <v>89</v>
      </c>
      <c r="B55" s="1">
        <v>45905</v>
      </c>
      <c r="C55" s="2" t="s">
        <v>8</v>
      </c>
      <c r="D55" s="2" t="s">
        <v>8</v>
      </c>
      <c r="E55" s="2" t="s">
        <v>26</v>
      </c>
      <c r="F55" s="3">
        <v>28</v>
      </c>
      <c r="G55" s="2">
        <v>5</v>
      </c>
      <c r="H55" s="2" t="s">
        <v>27</v>
      </c>
    </row>
    <row r="56" spans="1:8" x14ac:dyDescent="0.25">
      <c r="A56" t="s">
        <v>90</v>
      </c>
      <c r="B56" s="1">
        <v>45921</v>
      </c>
      <c r="C56" s="2" t="s">
        <v>10</v>
      </c>
      <c r="D56" s="2" t="s">
        <v>10</v>
      </c>
      <c r="E56" s="2" t="s">
        <v>26</v>
      </c>
      <c r="F56" s="3">
        <v>21</v>
      </c>
      <c r="G56" s="2">
        <v>4</v>
      </c>
      <c r="H56" s="2" t="s">
        <v>28</v>
      </c>
    </row>
    <row r="57" spans="1:8" x14ac:dyDescent="0.25">
      <c r="A57" t="s">
        <v>91</v>
      </c>
      <c r="B57" s="1">
        <v>45768</v>
      </c>
      <c r="C57" s="2" t="s">
        <v>8</v>
      </c>
      <c r="D57" s="2" t="s">
        <v>8</v>
      </c>
      <c r="E57" s="2" t="s">
        <v>22</v>
      </c>
      <c r="F57" s="3">
        <v>68</v>
      </c>
      <c r="G57" s="2">
        <v>4</v>
      </c>
      <c r="H57" s="2" t="s">
        <v>28</v>
      </c>
    </row>
    <row r="58" spans="1:8" x14ac:dyDescent="0.25">
      <c r="A58" t="s">
        <v>92</v>
      </c>
      <c r="B58" s="1">
        <v>45861</v>
      </c>
      <c r="C58" s="2" t="s">
        <v>14</v>
      </c>
      <c r="D58" s="2" t="s">
        <v>14</v>
      </c>
      <c r="E58" s="2" t="s">
        <v>24</v>
      </c>
      <c r="F58" s="3">
        <v>38</v>
      </c>
      <c r="G58" s="2">
        <v>5</v>
      </c>
      <c r="H58" s="2" t="s">
        <v>27</v>
      </c>
    </row>
    <row r="59" spans="1:8" x14ac:dyDescent="0.25">
      <c r="A59" t="s">
        <v>93</v>
      </c>
      <c r="B59" s="1">
        <v>45726</v>
      </c>
      <c r="C59" s="2" t="s">
        <v>10</v>
      </c>
      <c r="D59" s="2" t="s">
        <v>10</v>
      </c>
      <c r="E59" s="2" t="s">
        <v>24</v>
      </c>
      <c r="F59" s="3">
        <v>39</v>
      </c>
      <c r="G59" s="2">
        <v>7</v>
      </c>
      <c r="H59" s="2" t="s">
        <v>27</v>
      </c>
    </row>
    <row r="60" spans="1:8" x14ac:dyDescent="0.25">
      <c r="A60" t="s">
        <v>94</v>
      </c>
      <c r="B60" s="1">
        <v>45909</v>
      </c>
      <c r="C60" s="2" t="s">
        <v>11</v>
      </c>
      <c r="D60" s="2" t="s">
        <v>18</v>
      </c>
      <c r="E60" s="2" t="s">
        <v>26</v>
      </c>
      <c r="F60" s="3">
        <v>59</v>
      </c>
      <c r="G60" s="2">
        <v>3</v>
      </c>
      <c r="H60" s="2" t="s">
        <v>28</v>
      </c>
    </row>
    <row r="61" spans="1:8" x14ac:dyDescent="0.25">
      <c r="A61" t="s">
        <v>95</v>
      </c>
      <c r="B61" s="1">
        <v>45969</v>
      </c>
      <c r="C61" s="2" t="s">
        <v>15</v>
      </c>
      <c r="D61" s="2" t="s">
        <v>21</v>
      </c>
      <c r="E61" s="2" t="s">
        <v>24</v>
      </c>
      <c r="F61" s="3">
        <v>43</v>
      </c>
      <c r="G61" s="2">
        <v>6</v>
      </c>
      <c r="H61" s="2" t="s">
        <v>27</v>
      </c>
    </row>
    <row r="62" spans="1:8" x14ac:dyDescent="0.25">
      <c r="A62" t="s">
        <v>96</v>
      </c>
      <c r="B62" s="1">
        <v>45977</v>
      </c>
      <c r="C62" s="2" t="s">
        <v>12</v>
      </c>
      <c r="D62" s="2" t="s">
        <v>19</v>
      </c>
      <c r="E62" s="2" t="s">
        <v>26</v>
      </c>
      <c r="F62" s="3">
        <v>67</v>
      </c>
      <c r="G62" s="2">
        <v>4</v>
      </c>
      <c r="H62" s="2" t="s">
        <v>28</v>
      </c>
    </row>
    <row r="63" spans="1:8" x14ac:dyDescent="0.25">
      <c r="A63" t="s">
        <v>97</v>
      </c>
      <c r="B63" s="1">
        <v>45833</v>
      </c>
      <c r="C63" s="2" t="s">
        <v>10</v>
      </c>
      <c r="D63" s="2" t="s">
        <v>10</v>
      </c>
      <c r="E63" s="2" t="s">
        <v>26</v>
      </c>
      <c r="F63" s="3">
        <v>46</v>
      </c>
      <c r="G63" s="2">
        <v>3</v>
      </c>
      <c r="H63" s="2" t="s">
        <v>28</v>
      </c>
    </row>
    <row r="64" spans="1:8" x14ac:dyDescent="0.25">
      <c r="A64" t="s">
        <v>98</v>
      </c>
      <c r="B64" s="1">
        <v>45896</v>
      </c>
      <c r="C64" s="2" t="s">
        <v>15</v>
      </c>
      <c r="D64" s="2" t="s">
        <v>21</v>
      </c>
      <c r="E64" s="2" t="s">
        <v>25</v>
      </c>
      <c r="F64" s="3">
        <v>50</v>
      </c>
      <c r="G64" s="2">
        <v>4</v>
      </c>
      <c r="H64" s="2" t="s">
        <v>28</v>
      </c>
    </row>
    <row r="65" spans="1:8" x14ac:dyDescent="0.25">
      <c r="A65" t="s">
        <v>99</v>
      </c>
      <c r="B65" s="1">
        <v>45932</v>
      </c>
      <c r="C65" s="2" t="s">
        <v>16</v>
      </c>
      <c r="D65" s="2" t="s">
        <v>16</v>
      </c>
      <c r="E65" s="2" t="s">
        <v>22</v>
      </c>
      <c r="F65" s="3">
        <v>41</v>
      </c>
      <c r="G65" s="2">
        <v>6</v>
      </c>
      <c r="H65" s="2" t="s">
        <v>27</v>
      </c>
    </row>
    <row r="66" spans="1:8" x14ac:dyDescent="0.25">
      <c r="A66" t="s">
        <v>100</v>
      </c>
      <c r="B66" s="1">
        <v>45955</v>
      </c>
      <c r="C66" s="2" t="s">
        <v>12</v>
      </c>
      <c r="D66" s="2" t="s">
        <v>19</v>
      </c>
      <c r="E66" s="2" t="s">
        <v>26</v>
      </c>
      <c r="F66" s="3">
        <v>33</v>
      </c>
      <c r="G66" s="2">
        <v>5</v>
      </c>
      <c r="H66" s="2" t="s">
        <v>27</v>
      </c>
    </row>
    <row r="67" spans="1:8" x14ac:dyDescent="0.25">
      <c r="A67" t="s">
        <v>101</v>
      </c>
      <c r="B67" s="1">
        <v>45774</v>
      </c>
      <c r="C67" s="2" t="s">
        <v>14</v>
      </c>
      <c r="D67" s="2" t="s">
        <v>14</v>
      </c>
      <c r="E67" s="2" t="s">
        <v>24</v>
      </c>
      <c r="F67" s="3">
        <v>22</v>
      </c>
      <c r="G67" s="2">
        <v>3</v>
      </c>
      <c r="H67" s="2" t="s">
        <v>28</v>
      </c>
    </row>
    <row r="68" spans="1:8" x14ac:dyDescent="0.25">
      <c r="A68" t="s">
        <v>102</v>
      </c>
      <c r="B68" s="1">
        <v>45927</v>
      </c>
      <c r="C68" s="2" t="s">
        <v>12</v>
      </c>
      <c r="D68" s="2" t="s">
        <v>19</v>
      </c>
      <c r="E68" s="2" t="s">
        <v>23</v>
      </c>
      <c r="F68" s="3">
        <v>21</v>
      </c>
      <c r="G68" s="2">
        <v>6</v>
      </c>
      <c r="H68" s="2" t="s">
        <v>27</v>
      </c>
    </row>
    <row r="69" spans="1:8" x14ac:dyDescent="0.25">
      <c r="A69" t="s">
        <v>103</v>
      </c>
      <c r="B69" s="1">
        <v>45848</v>
      </c>
      <c r="C69" s="2" t="s">
        <v>14</v>
      </c>
      <c r="D69" s="2" t="s">
        <v>14</v>
      </c>
      <c r="E69" s="2" t="s">
        <v>24</v>
      </c>
      <c r="F69" s="3">
        <v>33</v>
      </c>
      <c r="G69" s="2">
        <v>6</v>
      </c>
      <c r="H69" s="2" t="s">
        <v>27</v>
      </c>
    </row>
    <row r="70" spans="1:8" x14ac:dyDescent="0.25">
      <c r="A70" t="s">
        <v>104</v>
      </c>
      <c r="B70" s="1">
        <v>45904</v>
      </c>
      <c r="C70" s="2" t="s">
        <v>8</v>
      </c>
      <c r="D70" s="2" t="s">
        <v>8</v>
      </c>
      <c r="E70" s="2" t="s">
        <v>26</v>
      </c>
      <c r="F70" s="3">
        <v>58</v>
      </c>
      <c r="G70" s="2">
        <v>7</v>
      </c>
      <c r="H70" s="2" t="s">
        <v>27</v>
      </c>
    </row>
    <row r="71" spans="1:8" x14ac:dyDescent="0.25">
      <c r="A71" t="s">
        <v>105</v>
      </c>
      <c r="B71" s="1">
        <v>45729</v>
      </c>
      <c r="C71" s="2" t="s">
        <v>12</v>
      </c>
      <c r="D71" s="2" t="s">
        <v>19</v>
      </c>
      <c r="E71" s="2" t="s">
        <v>26</v>
      </c>
      <c r="F71" s="3">
        <v>32</v>
      </c>
      <c r="G71" s="2">
        <v>6</v>
      </c>
      <c r="H71" s="2" t="s">
        <v>27</v>
      </c>
    </row>
    <row r="72" spans="1:8" x14ac:dyDescent="0.25">
      <c r="A72" t="s">
        <v>106</v>
      </c>
      <c r="B72" s="1">
        <v>45663</v>
      </c>
      <c r="C72" s="2" t="s">
        <v>17</v>
      </c>
      <c r="D72" s="2" t="s">
        <v>17</v>
      </c>
      <c r="E72" s="2" t="s">
        <v>22</v>
      </c>
      <c r="F72" s="3">
        <v>16</v>
      </c>
      <c r="G72" s="2">
        <v>2</v>
      </c>
      <c r="H72" s="2" t="s">
        <v>28</v>
      </c>
    </row>
    <row r="73" spans="1:8" x14ac:dyDescent="0.25">
      <c r="A73" t="s">
        <v>107</v>
      </c>
      <c r="B73" s="1">
        <v>45945</v>
      </c>
      <c r="C73" s="2" t="s">
        <v>8</v>
      </c>
      <c r="D73" s="2" t="s">
        <v>8</v>
      </c>
      <c r="E73" s="2" t="s">
        <v>24</v>
      </c>
      <c r="F73" s="3">
        <v>45</v>
      </c>
      <c r="G73" s="2">
        <v>6</v>
      </c>
      <c r="H73" s="2" t="s">
        <v>27</v>
      </c>
    </row>
    <row r="74" spans="1:8" x14ac:dyDescent="0.25">
      <c r="A74" t="s">
        <v>108</v>
      </c>
      <c r="B74" s="1">
        <v>45968</v>
      </c>
      <c r="C74" s="2" t="s">
        <v>11</v>
      </c>
      <c r="D74" s="2" t="s">
        <v>18</v>
      </c>
      <c r="E74" s="2" t="s">
        <v>26</v>
      </c>
      <c r="F74" s="3">
        <v>34</v>
      </c>
      <c r="G74" s="2">
        <v>7</v>
      </c>
      <c r="H74" s="2" t="s">
        <v>27</v>
      </c>
    </row>
    <row r="75" spans="1:8" x14ac:dyDescent="0.25">
      <c r="A75" t="s">
        <v>109</v>
      </c>
      <c r="B75" s="1">
        <v>45911</v>
      </c>
      <c r="C75" s="2" t="s">
        <v>10</v>
      </c>
      <c r="D75" s="2" t="s">
        <v>10</v>
      </c>
      <c r="E75" s="2" t="s">
        <v>24</v>
      </c>
      <c r="F75" s="3">
        <v>28</v>
      </c>
      <c r="G75" s="2">
        <v>4</v>
      </c>
      <c r="H75" s="2" t="s">
        <v>28</v>
      </c>
    </row>
    <row r="76" spans="1:8" x14ac:dyDescent="0.25">
      <c r="A76" t="s">
        <v>110</v>
      </c>
      <c r="B76" s="1">
        <v>45864</v>
      </c>
      <c r="C76" s="2" t="s">
        <v>12</v>
      </c>
      <c r="D76" s="2" t="s">
        <v>19</v>
      </c>
      <c r="E76" s="2" t="s">
        <v>25</v>
      </c>
      <c r="F76" s="3">
        <v>67</v>
      </c>
      <c r="G76" s="2">
        <v>3</v>
      </c>
      <c r="H76" s="2" t="s">
        <v>28</v>
      </c>
    </row>
    <row r="77" spans="1:8" x14ac:dyDescent="0.25">
      <c r="A77" t="s">
        <v>111</v>
      </c>
      <c r="B77" s="1">
        <v>45729</v>
      </c>
      <c r="C77" s="2" t="s">
        <v>9</v>
      </c>
      <c r="D77" s="2" t="s">
        <v>9</v>
      </c>
      <c r="E77" s="2" t="s">
        <v>25</v>
      </c>
      <c r="F77" s="3">
        <v>21</v>
      </c>
      <c r="G77" s="2">
        <v>6</v>
      </c>
      <c r="H77" s="2" t="s">
        <v>27</v>
      </c>
    </row>
    <row r="78" spans="1:8" x14ac:dyDescent="0.25">
      <c r="A78" t="s">
        <v>112</v>
      </c>
      <c r="B78" s="1">
        <v>46012</v>
      </c>
      <c r="C78" s="2" t="s">
        <v>15</v>
      </c>
      <c r="D78" s="2" t="s">
        <v>21</v>
      </c>
      <c r="E78" s="2" t="s">
        <v>23</v>
      </c>
      <c r="F78" s="3">
        <v>65</v>
      </c>
      <c r="G78" s="2">
        <v>6</v>
      </c>
      <c r="H78" s="2" t="s">
        <v>27</v>
      </c>
    </row>
    <row r="79" spans="1:8" x14ac:dyDescent="0.25">
      <c r="A79" t="s">
        <v>113</v>
      </c>
      <c r="B79" s="1">
        <v>45843</v>
      </c>
      <c r="C79" s="2" t="s">
        <v>9</v>
      </c>
      <c r="D79" s="2" t="s">
        <v>9</v>
      </c>
      <c r="E79" s="2" t="s">
        <v>24</v>
      </c>
      <c r="F79" s="3">
        <v>69</v>
      </c>
      <c r="G79" s="2">
        <v>5</v>
      </c>
      <c r="H79" s="2" t="s">
        <v>27</v>
      </c>
    </row>
    <row r="80" spans="1:8" x14ac:dyDescent="0.25">
      <c r="A80" t="s">
        <v>114</v>
      </c>
      <c r="B80" s="1">
        <v>45706</v>
      </c>
      <c r="C80" s="2" t="s">
        <v>15</v>
      </c>
      <c r="D80" s="2" t="s">
        <v>21</v>
      </c>
      <c r="E80" s="2" t="s">
        <v>22</v>
      </c>
      <c r="F80" s="3">
        <v>39</v>
      </c>
      <c r="G80" s="2">
        <v>7</v>
      </c>
      <c r="H80" s="2" t="s">
        <v>27</v>
      </c>
    </row>
    <row r="81" spans="1:8" x14ac:dyDescent="0.25">
      <c r="A81" t="s">
        <v>115</v>
      </c>
      <c r="B81" s="1">
        <v>45775</v>
      </c>
      <c r="C81" s="2" t="s">
        <v>10</v>
      </c>
      <c r="D81" s="2" t="s">
        <v>10</v>
      </c>
      <c r="E81" s="2" t="s">
        <v>23</v>
      </c>
      <c r="F81" s="3">
        <v>67</v>
      </c>
      <c r="G81" s="2">
        <v>3</v>
      </c>
      <c r="H81" s="2" t="s">
        <v>28</v>
      </c>
    </row>
    <row r="82" spans="1:8" x14ac:dyDescent="0.25">
      <c r="A82" t="s">
        <v>116</v>
      </c>
      <c r="B82" s="1">
        <v>45767</v>
      </c>
      <c r="C82" s="2" t="s">
        <v>14</v>
      </c>
      <c r="D82" s="2" t="s">
        <v>14</v>
      </c>
      <c r="E82" s="2" t="s">
        <v>24</v>
      </c>
      <c r="F82" s="3">
        <v>62</v>
      </c>
      <c r="G82" s="2">
        <v>7</v>
      </c>
      <c r="H82" s="2" t="s">
        <v>27</v>
      </c>
    </row>
    <row r="83" spans="1:8" x14ac:dyDescent="0.25">
      <c r="A83" t="s">
        <v>117</v>
      </c>
      <c r="B83" s="1">
        <v>45716</v>
      </c>
      <c r="C83" s="2" t="s">
        <v>17</v>
      </c>
      <c r="D83" s="2" t="s">
        <v>17</v>
      </c>
      <c r="E83" s="2" t="s">
        <v>24</v>
      </c>
      <c r="F83" s="3">
        <v>12</v>
      </c>
      <c r="G83" s="2">
        <v>1</v>
      </c>
      <c r="H83" s="2" t="s">
        <v>28</v>
      </c>
    </row>
    <row r="84" spans="1:8" x14ac:dyDescent="0.25">
      <c r="A84" t="s">
        <v>118</v>
      </c>
      <c r="B84" s="1">
        <v>45843</v>
      </c>
      <c r="C84" s="2" t="s">
        <v>11</v>
      </c>
      <c r="D84" s="2" t="s">
        <v>18</v>
      </c>
      <c r="E84" s="2" t="s">
        <v>26</v>
      </c>
      <c r="F84" s="3">
        <v>24</v>
      </c>
      <c r="G84" s="2">
        <v>5</v>
      </c>
      <c r="H84" s="2" t="s">
        <v>27</v>
      </c>
    </row>
    <row r="85" spans="1:8" x14ac:dyDescent="0.25">
      <c r="A85" t="s">
        <v>119</v>
      </c>
      <c r="B85" s="1">
        <v>45696</v>
      </c>
      <c r="C85" s="2" t="s">
        <v>15</v>
      </c>
      <c r="D85" s="2" t="s">
        <v>21</v>
      </c>
      <c r="E85" s="2" t="s">
        <v>26</v>
      </c>
      <c r="F85" s="3">
        <v>68</v>
      </c>
      <c r="G85" s="2">
        <v>7</v>
      </c>
      <c r="H85" s="2" t="s">
        <v>27</v>
      </c>
    </row>
    <row r="86" spans="1:8" x14ac:dyDescent="0.25">
      <c r="A86" t="s">
        <v>120</v>
      </c>
      <c r="B86" s="1">
        <v>46021</v>
      </c>
      <c r="C86" s="2" t="s">
        <v>10</v>
      </c>
      <c r="D86" s="2" t="s">
        <v>10</v>
      </c>
      <c r="E86" s="2" t="s">
        <v>26</v>
      </c>
      <c r="F86" s="3">
        <v>32</v>
      </c>
      <c r="G86" s="2">
        <v>5</v>
      </c>
      <c r="H86" s="2" t="s">
        <v>27</v>
      </c>
    </row>
    <row r="87" spans="1:8" x14ac:dyDescent="0.25">
      <c r="A87" t="s">
        <v>121</v>
      </c>
      <c r="B87" s="1">
        <v>45810</v>
      </c>
      <c r="C87" s="2" t="s">
        <v>16</v>
      </c>
      <c r="D87" s="2" t="s">
        <v>16</v>
      </c>
      <c r="E87" s="2" t="s">
        <v>24</v>
      </c>
      <c r="F87" s="3">
        <v>48</v>
      </c>
      <c r="G87" s="2">
        <v>4</v>
      </c>
      <c r="H87" s="2" t="s">
        <v>28</v>
      </c>
    </row>
    <row r="88" spans="1:8" x14ac:dyDescent="0.25">
      <c r="A88" t="s">
        <v>122</v>
      </c>
      <c r="B88" s="1">
        <v>45743</v>
      </c>
      <c r="C88" s="2" t="s">
        <v>15</v>
      </c>
      <c r="D88" s="2" t="s">
        <v>21</v>
      </c>
      <c r="E88" s="2" t="s">
        <v>22</v>
      </c>
      <c r="F88" s="3">
        <v>41</v>
      </c>
      <c r="G88" s="2">
        <v>3</v>
      </c>
      <c r="H88" s="2" t="s">
        <v>28</v>
      </c>
    </row>
    <row r="89" spans="1:8" x14ac:dyDescent="0.25">
      <c r="A89" t="s">
        <v>123</v>
      </c>
      <c r="B89" s="1">
        <v>45725</v>
      </c>
      <c r="C89" s="2" t="s">
        <v>16</v>
      </c>
      <c r="D89" s="2" t="s">
        <v>16</v>
      </c>
      <c r="E89" s="2" t="s">
        <v>23</v>
      </c>
      <c r="F89" s="3">
        <v>38</v>
      </c>
      <c r="G89" s="2">
        <v>7</v>
      </c>
      <c r="H89" s="2" t="s">
        <v>27</v>
      </c>
    </row>
    <row r="90" spans="1:8" x14ac:dyDescent="0.25">
      <c r="A90" t="s">
        <v>124</v>
      </c>
      <c r="B90" s="1">
        <v>45858</v>
      </c>
      <c r="C90" s="2" t="s">
        <v>8</v>
      </c>
      <c r="D90" s="2" t="s">
        <v>8</v>
      </c>
      <c r="E90" s="2" t="s">
        <v>23</v>
      </c>
      <c r="F90" s="3">
        <v>22</v>
      </c>
      <c r="G90" s="2">
        <v>7</v>
      </c>
      <c r="H90" s="2" t="s">
        <v>27</v>
      </c>
    </row>
    <row r="91" spans="1:8" x14ac:dyDescent="0.25">
      <c r="A91" t="s">
        <v>125</v>
      </c>
      <c r="B91" s="1">
        <v>45710</v>
      </c>
      <c r="C91" s="2" t="s">
        <v>9</v>
      </c>
      <c r="D91" s="2" t="s">
        <v>9</v>
      </c>
      <c r="E91" s="2" t="s">
        <v>22</v>
      </c>
      <c r="F91" s="3">
        <v>40</v>
      </c>
      <c r="G91" s="2">
        <v>3</v>
      </c>
      <c r="H91" s="2" t="s">
        <v>28</v>
      </c>
    </row>
    <row r="92" spans="1:8" x14ac:dyDescent="0.25">
      <c r="A92" t="s">
        <v>126</v>
      </c>
      <c r="B92" s="1">
        <v>45791</v>
      </c>
      <c r="C92" s="2" t="s">
        <v>12</v>
      </c>
      <c r="D92" s="2" t="s">
        <v>19</v>
      </c>
      <c r="E92" s="2" t="s">
        <v>23</v>
      </c>
      <c r="F92" s="3">
        <v>51</v>
      </c>
      <c r="G92" s="2">
        <v>6</v>
      </c>
      <c r="H92" s="2" t="s">
        <v>27</v>
      </c>
    </row>
    <row r="93" spans="1:8" x14ac:dyDescent="0.25">
      <c r="A93" t="s">
        <v>127</v>
      </c>
      <c r="B93" s="1">
        <v>45681</v>
      </c>
      <c r="C93" s="2" t="s">
        <v>11</v>
      </c>
      <c r="D93" s="2" t="s">
        <v>18</v>
      </c>
      <c r="E93" s="2" t="s">
        <v>23</v>
      </c>
      <c r="F93" s="3">
        <v>47</v>
      </c>
      <c r="G93" s="2">
        <v>6</v>
      </c>
      <c r="H93" s="2" t="s">
        <v>27</v>
      </c>
    </row>
    <row r="94" spans="1:8" x14ac:dyDescent="0.25">
      <c r="A94" t="s">
        <v>128</v>
      </c>
      <c r="B94" s="1">
        <v>45859</v>
      </c>
      <c r="C94" s="2" t="s">
        <v>15</v>
      </c>
      <c r="D94" s="2" t="s">
        <v>21</v>
      </c>
      <c r="E94" s="2" t="s">
        <v>26</v>
      </c>
      <c r="F94" s="3">
        <v>43</v>
      </c>
      <c r="G94" s="2">
        <v>6</v>
      </c>
      <c r="H94" s="2" t="s">
        <v>27</v>
      </c>
    </row>
    <row r="95" spans="1:8" x14ac:dyDescent="0.25">
      <c r="A95" t="s">
        <v>129</v>
      </c>
      <c r="B95" s="1">
        <v>45738</v>
      </c>
      <c r="C95" s="2" t="s">
        <v>10</v>
      </c>
      <c r="D95" s="2" t="s">
        <v>10</v>
      </c>
      <c r="E95" s="2" t="s">
        <v>24</v>
      </c>
      <c r="F95" s="3">
        <v>56</v>
      </c>
      <c r="G95" s="2">
        <v>5</v>
      </c>
      <c r="H95" s="2" t="s">
        <v>27</v>
      </c>
    </row>
    <row r="96" spans="1:8" x14ac:dyDescent="0.25">
      <c r="A96" t="s">
        <v>130</v>
      </c>
      <c r="B96" s="1">
        <v>45837</v>
      </c>
      <c r="C96" s="2" t="s">
        <v>14</v>
      </c>
      <c r="D96" s="2" t="s">
        <v>14</v>
      </c>
      <c r="E96" s="2" t="s">
        <v>22</v>
      </c>
      <c r="F96" s="3">
        <v>41</v>
      </c>
      <c r="G96" s="2">
        <v>5</v>
      </c>
      <c r="H96" s="2" t="s">
        <v>27</v>
      </c>
    </row>
    <row r="97" spans="1:8" x14ac:dyDescent="0.25">
      <c r="A97" t="s">
        <v>131</v>
      </c>
      <c r="B97" s="1">
        <v>45693</v>
      </c>
      <c r="C97" s="2" t="s">
        <v>8</v>
      </c>
      <c r="D97" s="2" t="s">
        <v>8</v>
      </c>
      <c r="E97" s="2" t="s">
        <v>25</v>
      </c>
      <c r="F97" s="3">
        <v>69</v>
      </c>
      <c r="G97" s="2">
        <v>6</v>
      </c>
      <c r="H97" s="2" t="s">
        <v>27</v>
      </c>
    </row>
    <row r="98" spans="1:8" x14ac:dyDescent="0.25">
      <c r="A98" t="s">
        <v>132</v>
      </c>
      <c r="B98" s="1">
        <v>46007</v>
      </c>
      <c r="C98" s="2" t="s">
        <v>10</v>
      </c>
      <c r="D98" s="2" t="s">
        <v>10</v>
      </c>
      <c r="E98" s="2" t="s">
        <v>22</v>
      </c>
      <c r="F98" s="3">
        <v>53</v>
      </c>
      <c r="G98" s="2">
        <v>6</v>
      </c>
      <c r="H98" s="2" t="s">
        <v>27</v>
      </c>
    </row>
    <row r="99" spans="1:8" x14ac:dyDescent="0.25">
      <c r="A99" t="s">
        <v>133</v>
      </c>
      <c r="B99" s="1">
        <v>45963</v>
      </c>
      <c r="C99" s="2" t="s">
        <v>11</v>
      </c>
      <c r="D99" s="2" t="s">
        <v>18</v>
      </c>
      <c r="E99" s="2" t="s">
        <v>24</v>
      </c>
      <c r="F99" s="3">
        <v>36</v>
      </c>
      <c r="G99" s="2">
        <v>7</v>
      </c>
      <c r="H99" s="2" t="s">
        <v>27</v>
      </c>
    </row>
    <row r="100" spans="1:8" x14ac:dyDescent="0.25">
      <c r="A100" t="s">
        <v>134</v>
      </c>
      <c r="B100" s="1">
        <v>45820</v>
      </c>
      <c r="C100" s="2" t="s">
        <v>13</v>
      </c>
      <c r="D100" s="2" t="s">
        <v>20</v>
      </c>
      <c r="E100" s="2" t="s">
        <v>23</v>
      </c>
      <c r="F100" s="3">
        <v>66</v>
      </c>
      <c r="G100" s="2">
        <v>7</v>
      </c>
      <c r="H100" s="2" t="s">
        <v>27</v>
      </c>
    </row>
    <row r="101" spans="1:8" x14ac:dyDescent="0.25">
      <c r="A101" t="s">
        <v>135</v>
      </c>
      <c r="B101" s="1">
        <v>45909</v>
      </c>
      <c r="C101" s="2" t="s">
        <v>16</v>
      </c>
      <c r="D101" s="2" t="s">
        <v>16</v>
      </c>
      <c r="E101" s="2" t="s">
        <v>23</v>
      </c>
      <c r="F101" s="3">
        <v>35</v>
      </c>
      <c r="G101" s="2">
        <v>4</v>
      </c>
      <c r="H101" s="2" t="s">
        <v>28</v>
      </c>
    </row>
    <row r="102" spans="1:8" x14ac:dyDescent="0.25">
      <c r="A102" t="s">
        <v>136</v>
      </c>
      <c r="B102" s="1">
        <v>45846</v>
      </c>
      <c r="C102" s="2" t="s">
        <v>12</v>
      </c>
      <c r="D102" s="2" t="s">
        <v>19</v>
      </c>
      <c r="E102" s="2" t="s">
        <v>24</v>
      </c>
      <c r="F102" s="3">
        <v>57</v>
      </c>
      <c r="G102" s="2">
        <v>3</v>
      </c>
      <c r="H102" s="2" t="s">
        <v>28</v>
      </c>
    </row>
    <row r="103" spans="1:8" x14ac:dyDescent="0.25">
      <c r="A103" t="s">
        <v>137</v>
      </c>
      <c r="B103" s="1">
        <v>45749</v>
      </c>
      <c r="C103" s="2" t="s">
        <v>16</v>
      </c>
      <c r="D103" s="2" t="s">
        <v>16</v>
      </c>
      <c r="E103" s="2" t="s">
        <v>26</v>
      </c>
      <c r="F103" s="3">
        <v>52</v>
      </c>
      <c r="G103" s="2">
        <v>7</v>
      </c>
      <c r="H103" s="2" t="s">
        <v>27</v>
      </c>
    </row>
    <row r="104" spans="1:8" x14ac:dyDescent="0.25">
      <c r="A104" t="s">
        <v>138</v>
      </c>
      <c r="B104" s="1">
        <v>45778</v>
      </c>
      <c r="C104" s="2" t="s">
        <v>13</v>
      </c>
      <c r="D104" s="2" t="s">
        <v>20</v>
      </c>
      <c r="E104" s="2" t="s">
        <v>26</v>
      </c>
      <c r="F104" s="3">
        <v>44</v>
      </c>
      <c r="G104" s="2">
        <v>6</v>
      </c>
      <c r="H104" s="2" t="s">
        <v>27</v>
      </c>
    </row>
    <row r="105" spans="1:8" x14ac:dyDescent="0.25">
      <c r="A105" t="s">
        <v>139</v>
      </c>
      <c r="B105" s="1">
        <v>45890</v>
      </c>
      <c r="C105" s="2" t="s">
        <v>8</v>
      </c>
      <c r="D105" s="2" t="s">
        <v>8</v>
      </c>
      <c r="E105" s="2" t="s">
        <v>24</v>
      </c>
      <c r="F105" s="3">
        <v>26</v>
      </c>
      <c r="G105" s="2">
        <v>7</v>
      </c>
      <c r="H105" s="2" t="s">
        <v>27</v>
      </c>
    </row>
    <row r="106" spans="1:8" x14ac:dyDescent="0.25">
      <c r="A106" t="s">
        <v>140</v>
      </c>
      <c r="B106" s="1">
        <v>45846</v>
      </c>
      <c r="C106" s="2" t="s">
        <v>11</v>
      </c>
      <c r="D106" s="2" t="s">
        <v>18</v>
      </c>
      <c r="E106" s="2" t="s">
        <v>26</v>
      </c>
      <c r="F106" s="3">
        <v>34</v>
      </c>
      <c r="G106" s="2">
        <v>5</v>
      </c>
      <c r="H106" s="2" t="s">
        <v>27</v>
      </c>
    </row>
    <row r="107" spans="1:8" x14ac:dyDescent="0.25">
      <c r="A107" t="s">
        <v>141</v>
      </c>
      <c r="B107" s="1">
        <v>45938</v>
      </c>
      <c r="C107" s="2" t="s">
        <v>10</v>
      </c>
      <c r="D107" s="2" t="s">
        <v>10</v>
      </c>
      <c r="E107" s="2" t="s">
        <v>22</v>
      </c>
      <c r="F107" s="3">
        <v>39</v>
      </c>
      <c r="G107" s="2">
        <v>6</v>
      </c>
      <c r="H107" s="2" t="s">
        <v>27</v>
      </c>
    </row>
    <row r="108" spans="1:8" x14ac:dyDescent="0.25">
      <c r="A108" t="s">
        <v>142</v>
      </c>
      <c r="B108" s="1">
        <v>45864</v>
      </c>
      <c r="C108" s="2" t="s">
        <v>14</v>
      </c>
      <c r="D108" s="2" t="s">
        <v>14</v>
      </c>
      <c r="E108" s="2" t="s">
        <v>22</v>
      </c>
      <c r="F108" s="3">
        <v>51</v>
      </c>
      <c r="G108" s="2">
        <v>4</v>
      </c>
      <c r="H108" s="2" t="s">
        <v>28</v>
      </c>
    </row>
    <row r="109" spans="1:8" x14ac:dyDescent="0.25">
      <c r="A109" t="s">
        <v>143</v>
      </c>
      <c r="B109" s="1">
        <v>45908</v>
      </c>
      <c r="C109" s="2" t="s">
        <v>9</v>
      </c>
      <c r="D109" s="2" t="s">
        <v>9</v>
      </c>
      <c r="E109" s="2" t="s">
        <v>25</v>
      </c>
      <c r="F109" s="3">
        <v>46</v>
      </c>
      <c r="G109" s="2">
        <v>7</v>
      </c>
      <c r="H109" s="2" t="s">
        <v>27</v>
      </c>
    </row>
    <row r="110" spans="1:8" x14ac:dyDescent="0.25">
      <c r="A110" t="s">
        <v>144</v>
      </c>
      <c r="B110" s="1">
        <v>45663</v>
      </c>
      <c r="C110" s="2" t="s">
        <v>13</v>
      </c>
      <c r="D110" s="2" t="s">
        <v>20</v>
      </c>
      <c r="E110" s="2" t="s">
        <v>25</v>
      </c>
      <c r="F110" s="3">
        <v>42</v>
      </c>
      <c r="G110" s="2">
        <v>3</v>
      </c>
      <c r="H110" s="2" t="s">
        <v>28</v>
      </c>
    </row>
    <row r="111" spans="1:8" x14ac:dyDescent="0.25">
      <c r="A111" t="s">
        <v>145</v>
      </c>
      <c r="B111" s="1">
        <v>45768</v>
      </c>
      <c r="C111" s="2" t="s">
        <v>13</v>
      </c>
      <c r="D111" s="2" t="s">
        <v>20</v>
      </c>
      <c r="E111" s="2" t="s">
        <v>25</v>
      </c>
      <c r="F111" s="3">
        <v>32</v>
      </c>
      <c r="G111" s="2">
        <v>5</v>
      </c>
      <c r="H111" s="2" t="s">
        <v>27</v>
      </c>
    </row>
    <row r="112" spans="1:8" x14ac:dyDescent="0.25">
      <c r="A112" t="s">
        <v>146</v>
      </c>
      <c r="B112" s="1">
        <v>45674</v>
      </c>
      <c r="C112" s="2" t="s">
        <v>15</v>
      </c>
      <c r="D112" s="2" t="s">
        <v>21</v>
      </c>
      <c r="E112" s="2" t="s">
        <v>24</v>
      </c>
      <c r="F112" s="3">
        <v>35</v>
      </c>
      <c r="G112" s="2">
        <v>4</v>
      </c>
      <c r="H112" s="2" t="s">
        <v>28</v>
      </c>
    </row>
    <row r="113" spans="1:8" x14ac:dyDescent="0.25">
      <c r="A113" t="s">
        <v>147</v>
      </c>
      <c r="B113" s="1">
        <v>45660</v>
      </c>
      <c r="C113" s="2" t="s">
        <v>8</v>
      </c>
      <c r="D113" s="2" t="s">
        <v>8</v>
      </c>
      <c r="E113" s="2" t="s">
        <v>22</v>
      </c>
      <c r="F113" s="3">
        <v>35</v>
      </c>
      <c r="G113" s="2">
        <v>7</v>
      </c>
      <c r="H113" s="2" t="s">
        <v>27</v>
      </c>
    </row>
    <row r="114" spans="1:8" x14ac:dyDescent="0.25">
      <c r="A114" t="s">
        <v>148</v>
      </c>
      <c r="B114" s="1">
        <v>45919</v>
      </c>
      <c r="C114" s="2" t="s">
        <v>12</v>
      </c>
      <c r="D114" s="2" t="s">
        <v>19</v>
      </c>
      <c r="E114" s="2" t="s">
        <v>22</v>
      </c>
      <c r="F114" s="3">
        <v>46</v>
      </c>
      <c r="G114" s="2">
        <v>4</v>
      </c>
      <c r="H114" s="2" t="s">
        <v>28</v>
      </c>
    </row>
    <row r="115" spans="1:8" x14ac:dyDescent="0.25">
      <c r="A115" t="s">
        <v>149</v>
      </c>
      <c r="B115" s="1">
        <v>45710</v>
      </c>
      <c r="C115" s="2" t="s">
        <v>17</v>
      </c>
      <c r="D115" s="2" t="s">
        <v>17</v>
      </c>
      <c r="E115" s="2" t="s">
        <v>25</v>
      </c>
      <c r="F115" s="3">
        <v>16</v>
      </c>
      <c r="G115" s="2">
        <v>1</v>
      </c>
      <c r="H115" s="2" t="s">
        <v>28</v>
      </c>
    </row>
    <row r="116" spans="1:8" x14ac:dyDescent="0.25">
      <c r="A116" t="s">
        <v>150</v>
      </c>
      <c r="B116" s="1">
        <v>45677</v>
      </c>
      <c r="C116" s="2" t="s">
        <v>8</v>
      </c>
      <c r="D116" s="2" t="s">
        <v>8</v>
      </c>
      <c r="E116" s="2" t="s">
        <v>23</v>
      </c>
      <c r="F116" s="3">
        <v>25</v>
      </c>
      <c r="G116" s="2">
        <v>3</v>
      </c>
      <c r="H116" s="2" t="s">
        <v>28</v>
      </c>
    </row>
    <row r="117" spans="1:8" x14ac:dyDescent="0.25">
      <c r="A117" t="s">
        <v>151</v>
      </c>
      <c r="B117" s="1">
        <v>45728</v>
      </c>
      <c r="C117" s="2" t="s">
        <v>9</v>
      </c>
      <c r="D117" s="2" t="s">
        <v>9</v>
      </c>
      <c r="E117" s="2" t="s">
        <v>24</v>
      </c>
      <c r="F117" s="3">
        <v>68</v>
      </c>
      <c r="G117" s="2">
        <v>3</v>
      </c>
      <c r="H117" s="2" t="s">
        <v>28</v>
      </c>
    </row>
    <row r="118" spans="1:8" x14ac:dyDescent="0.25">
      <c r="A118" t="s">
        <v>152</v>
      </c>
      <c r="B118" s="1">
        <v>45815</v>
      </c>
      <c r="C118" s="2" t="s">
        <v>12</v>
      </c>
      <c r="D118" s="2" t="s">
        <v>19</v>
      </c>
      <c r="E118" s="2" t="s">
        <v>24</v>
      </c>
      <c r="F118" s="3">
        <v>62</v>
      </c>
      <c r="G118" s="2">
        <v>6</v>
      </c>
      <c r="H118" s="2" t="s">
        <v>27</v>
      </c>
    </row>
    <row r="119" spans="1:8" x14ac:dyDescent="0.25">
      <c r="A119" t="s">
        <v>153</v>
      </c>
      <c r="B119" s="1">
        <v>45694</v>
      </c>
      <c r="C119" s="2" t="s">
        <v>15</v>
      </c>
      <c r="D119" s="2" t="s">
        <v>21</v>
      </c>
      <c r="E119" s="2" t="s">
        <v>26</v>
      </c>
      <c r="F119" s="3">
        <v>44</v>
      </c>
      <c r="G119" s="2">
        <v>7</v>
      </c>
      <c r="H119" s="2" t="s">
        <v>27</v>
      </c>
    </row>
    <row r="120" spans="1:8" x14ac:dyDescent="0.25">
      <c r="A120" t="s">
        <v>154</v>
      </c>
      <c r="B120" s="1">
        <v>45787</v>
      </c>
      <c r="C120" s="2" t="s">
        <v>16</v>
      </c>
      <c r="D120" s="2" t="s">
        <v>16</v>
      </c>
      <c r="E120" s="2" t="s">
        <v>23</v>
      </c>
      <c r="F120" s="3">
        <v>43</v>
      </c>
      <c r="G120" s="2">
        <v>4</v>
      </c>
      <c r="H120" s="2" t="s">
        <v>28</v>
      </c>
    </row>
    <row r="121" spans="1:8" x14ac:dyDescent="0.25">
      <c r="A121" t="s">
        <v>155</v>
      </c>
      <c r="B121" s="1">
        <v>45967</v>
      </c>
      <c r="C121" s="2" t="s">
        <v>14</v>
      </c>
      <c r="D121" s="2" t="s">
        <v>14</v>
      </c>
      <c r="E121" s="2" t="s">
        <v>23</v>
      </c>
      <c r="F121" s="3">
        <v>34</v>
      </c>
      <c r="G121" s="2">
        <v>7</v>
      </c>
      <c r="H121" s="2" t="s">
        <v>27</v>
      </c>
    </row>
    <row r="122" spans="1:8" x14ac:dyDescent="0.25">
      <c r="A122" t="s">
        <v>156</v>
      </c>
      <c r="B122" s="1">
        <v>45721</v>
      </c>
      <c r="C122" s="2" t="s">
        <v>14</v>
      </c>
      <c r="D122" s="2" t="s">
        <v>14</v>
      </c>
      <c r="E122" s="2" t="s">
        <v>26</v>
      </c>
      <c r="F122" s="3">
        <v>58</v>
      </c>
      <c r="G122" s="2">
        <v>6</v>
      </c>
      <c r="H122" s="2" t="s">
        <v>27</v>
      </c>
    </row>
    <row r="123" spans="1:8" x14ac:dyDescent="0.25">
      <c r="A123" t="s">
        <v>157</v>
      </c>
      <c r="B123" s="1">
        <v>45659</v>
      </c>
      <c r="C123" s="2" t="s">
        <v>14</v>
      </c>
      <c r="D123" s="2" t="s">
        <v>14</v>
      </c>
      <c r="E123" s="2" t="s">
        <v>25</v>
      </c>
      <c r="F123" s="3">
        <v>39</v>
      </c>
      <c r="G123" s="2">
        <v>5</v>
      </c>
      <c r="H123" s="2" t="s">
        <v>27</v>
      </c>
    </row>
    <row r="124" spans="1:8" x14ac:dyDescent="0.25">
      <c r="A124" t="s">
        <v>158</v>
      </c>
      <c r="B124" s="1">
        <v>45827</v>
      </c>
      <c r="C124" s="2" t="s">
        <v>11</v>
      </c>
      <c r="D124" s="2" t="s">
        <v>18</v>
      </c>
      <c r="E124" s="2" t="s">
        <v>23</v>
      </c>
      <c r="F124" s="3">
        <v>33</v>
      </c>
      <c r="G124" s="2">
        <v>5</v>
      </c>
      <c r="H124" s="2" t="s">
        <v>27</v>
      </c>
    </row>
    <row r="125" spans="1:8" x14ac:dyDescent="0.25">
      <c r="A125" t="s">
        <v>159</v>
      </c>
      <c r="B125" s="1">
        <v>45961</v>
      </c>
      <c r="C125" s="2" t="s">
        <v>14</v>
      </c>
      <c r="D125" s="2" t="s">
        <v>14</v>
      </c>
      <c r="E125" s="2" t="s">
        <v>22</v>
      </c>
      <c r="F125" s="3">
        <v>47</v>
      </c>
      <c r="G125" s="2">
        <v>7</v>
      </c>
      <c r="H125" s="2" t="s">
        <v>27</v>
      </c>
    </row>
    <row r="126" spans="1:8" x14ac:dyDescent="0.25">
      <c r="A126" t="s">
        <v>160</v>
      </c>
      <c r="B126" s="1">
        <v>45765</v>
      </c>
      <c r="C126" s="2" t="s">
        <v>12</v>
      </c>
      <c r="D126" s="2" t="s">
        <v>19</v>
      </c>
      <c r="E126" s="2" t="s">
        <v>23</v>
      </c>
      <c r="F126" s="3">
        <v>49</v>
      </c>
      <c r="G126" s="2">
        <v>7</v>
      </c>
      <c r="H126" s="2" t="s">
        <v>27</v>
      </c>
    </row>
    <row r="127" spans="1:8" x14ac:dyDescent="0.25">
      <c r="A127" t="s">
        <v>161</v>
      </c>
      <c r="B127" s="1">
        <v>45860</v>
      </c>
      <c r="C127" s="2" t="s">
        <v>10</v>
      </c>
      <c r="D127" s="2" t="s">
        <v>10</v>
      </c>
      <c r="E127" s="2" t="s">
        <v>23</v>
      </c>
      <c r="F127" s="3">
        <v>48</v>
      </c>
      <c r="G127" s="2">
        <v>5</v>
      </c>
      <c r="H127" s="2" t="s">
        <v>27</v>
      </c>
    </row>
    <row r="128" spans="1:8" x14ac:dyDescent="0.25">
      <c r="A128" t="s">
        <v>162</v>
      </c>
      <c r="B128" s="1">
        <v>45733</v>
      </c>
      <c r="C128" s="2" t="s">
        <v>14</v>
      </c>
      <c r="D128" s="2" t="s">
        <v>14</v>
      </c>
      <c r="E128" s="2" t="s">
        <v>22</v>
      </c>
      <c r="F128" s="3">
        <v>67</v>
      </c>
      <c r="G128" s="2">
        <v>5</v>
      </c>
      <c r="H128" s="2" t="s">
        <v>27</v>
      </c>
    </row>
    <row r="129" spans="1:8" x14ac:dyDescent="0.25">
      <c r="A129" t="s">
        <v>163</v>
      </c>
      <c r="B129" s="1">
        <v>45706</v>
      </c>
      <c r="C129" s="2" t="s">
        <v>15</v>
      </c>
      <c r="D129" s="2" t="s">
        <v>21</v>
      </c>
      <c r="E129" s="2" t="s">
        <v>23</v>
      </c>
      <c r="F129" s="3">
        <v>29</v>
      </c>
      <c r="G129" s="2">
        <v>4</v>
      </c>
      <c r="H129" s="2" t="s">
        <v>28</v>
      </c>
    </row>
    <row r="130" spans="1:8" x14ac:dyDescent="0.25">
      <c r="A130" t="s">
        <v>164</v>
      </c>
      <c r="B130" s="1">
        <v>45803</v>
      </c>
      <c r="C130" s="2" t="s">
        <v>17</v>
      </c>
      <c r="D130" s="2" t="s">
        <v>17</v>
      </c>
      <c r="E130" s="2" t="s">
        <v>23</v>
      </c>
      <c r="F130" s="3">
        <v>17</v>
      </c>
      <c r="G130" s="2">
        <v>1</v>
      </c>
      <c r="H130" s="2" t="s">
        <v>28</v>
      </c>
    </row>
    <row r="131" spans="1:8" x14ac:dyDescent="0.25">
      <c r="A131" t="s">
        <v>165</v>
      </c>
      <c r="B131" s="1">
        <v>45963</v>
      </c>
      <c r="C131" s="2" t="s">
        <v>12</v>
      </c>
      <c r="D131" s="2" t="s">
        <v>19</v>
      </c>
      <c r="E131" s="2" t="s">
        <v>26</v>
      </c>
      <c r="F131" s="3">
        <v>65</v>
      </c>
      <c r="G131" s="2">
        <v>3</v>
      </c>
      <c r="H131" s="2" t="s">
        <v>28</v>
      </c>
    </row>
    <row r="132" spans="1:8" x14ac:dyDescent="0.25">
      <c r="A132" t="s">
        <v>166</v>
      </c>
      <c r="B132" s="1">
        <v>45777</v>
      </c>
      <c r="C132" s="2" t="s">
        <v>9</v>
      </c>
      <c r="D132" s="2" t="s">
        <v>9</v>
      </c>
      <c r="E132" s="2" t="s">
        <v>25</v>
      </c>
      <c r="F132" s="3">
        <v>21</v>
      </c>
      <c r="G132" s="2">
        <v>6</v>
      </c>
      <c r="H132" s="2" t="s">
        <v>27</v>
      </c>
    </row>
    <row r="133" spans="1:8" x14ac:dyDescent="0.25">
      <c r="A133" t="s">
        <v>167</v>
      </c>
      <c r="B133" s="1">
        <v>45753</v>
      </c>
      <c r="C133" s="2" t="s">
        <v>14</v>
      </c>
      <c r="D133" s="2" t="s">
        <v>14</v>
      </c>
      <c r="E133" s="2" t="s">
        <v>23</v>
      </c>
      <c r="F133" s="3">
        <v>32</v>
      </c>
      <c r="G133" s="2">
        <v>3</v>
      </c>
      <c r="H133" s="2" t="s">
        <v>28</v>
      </c>
    </row>
    <row r="134" spans="1:8" x14ac:dyDescent="0.25">
      <c r="A134" t="s">
        <v>168</v>
      </c>
      <c r="B134" s="1">
        <v>45766</v>
      </c>
      <c r="C134" s="2" t="s">
        <v>9</v>
      </c>
      <c r="D134" s="2" t="s">
        <v>9</v>
      </c>
      <c r="E134" s="2" t="s">
        <v>26</v>
      </c>
      <c r="F134" s="3">
        <v>26</v>
      </c>
      <c r="G134" s="2">
        <v>3</v>
      </c>
      <c r="H134" s="2" t="s">
        <v>28</v>
      </c>
    </row>
    <row r="135" spans="1:8" x14ac:dyDescent="0.25">
      <c r="A135" t="s">
        <v>169</v>
      </c>
      <c r="B135" s="1">
        <v>45763</v>
      </c>
      <c r="C135" s="2" t="s">
        <v>17</v>
      </c>
      <c r="D135" s="2" t="s">
        <v>17</v>
      </c>
      <c r="E135" s="2" t="s">
        <v>25</v>
      </c>
      <c r="F135" s="3">
        <v>11</v>
      </c>
      <c r="G135" s="2">
        <v>1</v>
      </c>
      <c r="H135" s="2" t="s">
        <v>28</v>
      </c>
    </row>
    <row r="136" spans="1:8" x14ac:dyDescent="0.25">
      <c r="A136" t="s">
        <v>170</v>
      </c>
      <c r="B136" s="1">
        <v>45825</v>
      </c>
      <c r="C136" s="2" t="s">
        <v>11</v>
      </c>
      <c r="D136" s="2" t="s">
        <v>18</v>
      </c>
      <c r="E136" s="2" t="s">
        <v>23</v>
      </c>
      <c r="F136" s="3">
        <v>38</v>
      </c>
      <c r="G136" s="2">
        <v>6</v>
      </c>
      <c r="H136" s="2" t="s">
        <v>27</v>
      </c>
    </row>
    <row r="137" spans="1:8" x14ac:dyDescent="0.25">
      <c r="A137" t="s">
        <v>171</v>
      </c>
      <c r="B137" s="1">
        <v>45834</v>
      </c>
      <c r="C137" s="2" t="s">
        <v>17</v>
      </c>
      <c r="D137" s="2" t="s">
        <v>17</v>
      </c>
      <c r="E137" s="2" t="s">
        <v>26</v>
      </c>
      <c r="F137" s="3">
        <v>10</v>
      </c>
      <c r="G137" s="2">
        <v>1</v>
      </c>
      <c r="H137" s="2" t="s">
        <v>28</v>
      </c>
    </row>
    <row r="138" spans="1:8" x14ac:dyDescent="0.25">
      <c r="A138" t="s">
        <v>172</v>
      </c>
      <c r="B138" s="1">
        <v>45823</v>
      </c>
      <c r="C138" s="2" t="s">
        <v>13</v>
      </c>
      <c r="D138" s="2" t="s">
        <v>20</v>
      </c>
      <c r="E138" s="2" t="s">
        <v>22</v>
      </c>
      <c r="F138" s="3">
        <v>51</v>
      </c>
      <c r="G138" s="2">
        <v>6</v>
      </c>
      <c r="H138" s="2" t="s">
        <v>27</v>
      </c>
    </row>
    <row r="139" spans="1:8" x14ac:dyDescent="0.25">
      <c r="A139" t="s">
        <v>173</v>
      </c>
      <c r="B139" s="1">
        <v>45902</v>
      </c>
      <c r="C139" s="2" t="s">
        <v>14</v>
      </c>
      <c r="D139" s="2" t="s">
        <v>14</v>
      </c>
      <c r="E139" s="2" t="s">
        <v>23</v>
      </c>
      <c r="F139" s="3">
        <v>63</v>
      </c>
      <c r="G139" s="2">
        <v>7</v>
      </c>
      <c r="H139" s="2" t="s">
        <v>27</v>
      </c>
    </row>
    <row r="140" spans="1:8" x14ac:dyDescent="0.25">
      <c r="A140" t="s">
        <v>174</v>
      </c>
      <c r="B140" s="1">
        <v>45746</v>
      </c>
      <c r="C140" s="2" t="s">
        <v>11</v>
      </c>
      <c r="D140" s="2" t="s">
        <v>18</v>
      </c>
      <c r="E140" s="2" t="s">
        <v>23</v>
      </c>
      <c r="F140" s="3">
        <v>56</v>
      </c>
      <c r="G140" s="2">
        <v>4</v>
      </c>
      <c r="H140" s="2" t="s">
        <v>28</v>
      </c>
    </row>
    <row r="141" spans="1:8" x14ac:dyDescent="0.25">
      <c r="A141" t="s">
        <v>175</v>
      </c>
      <c r="B141" s="1">
        <v>45935</v>
      </c>
      <c r="C141" s="2" t="s">
        <v>10</v>
      </c>
      <c r="D141" s="2" t="s">
        <v>10</v>
      </c>
      <c r="E141" s="2" t="s">
        <v>24</v>
      </c>
      <c r="F141" s="3">
        <v>67</v>
      </c>
      <c r="G141" s="2">
        <v>4</v>
      </c>
      <c r="H141" s="2" t="s">
        <v>28</v>
      </c>
    </row>
    <row r="142" spans="1:8" x14ac:dyDescent="0.25">
      <c r="A142" t="s">
        <v>176</v>
      </c>
      <c r="B142" s="1">
        <v>45776</v>
      </c>
      <c r="C142" s="2" t="s">
        <v>11</v>
      </c>
      <c r="D142" s="2" t="s">
        <v>18</v>
      </c>
      <c r="E142" s="2" t="s">
        <v>23</v>
      </c>
      <c r="F142" s="3">
        <v>39</v>
      </c>
      <c r="G142" s="2">
        <v>3</v>
      </c>
      <c r="H142" s="2" t="s">
        <v>28</v>
      </c>
    </row>
    <row r="143" spans="1:8" x14ac:dyDescent="0.25">
      <c r="A143" t="s">
        <v>177</v>
      </c>
      <c r="B143" s="1">
        <v>45809</v>
      </c>
      <c r="C143" s="2" t="s">
        <v>16</v>
      </c>
      <c r="D143" s="2" t="s">
        <v>16</v>
      </c>
      <c r="E143" s="2" t="s">
        <v>25</v>
      </c>
      <c r="F143" s="3">
        <v>29</v>
      </c>
      <c r="G143" s="2">
        <v>6</v>
      </c>
      <c r="H143" s="2" t="s">
        <v>27</v>
      </c>
    </row>
    <row r="144" spans="1:8" x14ac:dyDescent="0.25">
      <c r="A144" t="s">
        <v>178</v>
      </c>
      <c r="B144" s="1">
        <v>45750</v>
      </c>
      <c r="C144" s="2" t="s">
        <v>15</v>
      </c>
      <c r="D144" s="2" t="s">
        <v>21</v>
      </c>
      <c r="E144" s="2" t="s">
        <v>24</v>
      </c>
      <c r="F144" s="3">
        <v>48</v>
      </c>
      <c r="G144" s="2">
        <v>5</v>
      </c>
      <c r="H144" s="2" t="s">
        <v>27</v>
      </c>
    </row>
    <row r="145" spans="1:8" x14ac:dyDescent="0.25">
      <c r="A145" t="s">
        <v>179</v>
      </c>
      <c r="B145" s="1">
        <v>45907</v>
      </c>
      <c r="C145" s="2" t="s">
        <v>16</v>
      </c>
      <c r="D145" s="2" t="s">
        <v>16</v>
      </c>
      <c r="E145" s="2" t="s">
        <v>26</v>
      </c>
      <c r="F145" s="3">
        <v>22</v>
      </c>
      <c r="G145" s="2">
        <v>3</v>
      </c>
      <c r="H145" s="2" t="s">
        <v>28</v>
      </c>
    </row>
    <row r="146" spans="1:8" x14ac:dyDescent="0.25">
      <c r="A146" t="s">
        <v>180</v>
      </c>
      <c r="B146" s="1">
        <v>45969</v>
      </c>
      <c r="C146" s="2" t="s">
        <v>14</v>
      </c>
      <c r="D146" s="2" t="s">
        <v>14</v>
      </c>
      <c r="E146" s="2" t="s">
        <v>25</v>
      </c>
      <c r="F146" s="3">
        <v>67</v>
      </c>
      <c r="G146" s="2">
        <v>4</v>
      </c>
      <c r="H146" s="2" t="s">
        <v>28</v>
      </c>
    </row>
    <row r="147" spans="1:8" x14ac:dyDescent="0.25">
      <c r="A147" t="s">
        <v>181</v>
      </c>
      <c r="B147" s="1">
        <v>45906</v>
      </c>
      <c r="C147" s="2" t="s">
        <v>15</v>
      </c>
      <c r="D147" s="2" t="s">
        <v>21</v>
      </c>
      <c r="E147" s="2" t="s">
        <v>24</v>
      </c>
      <c r="F147" s="3">
        <v>47</v>
      </c>
      <c r="G147" s="2">
        <v>5</v>
      </c>
      <c r="H147" s="2" t="s">
        <v>27</v>
      </c>
    </row>
    <row r="148" spans="1:8" x14ac:dyDescent="0.25">
      <c r="A148" t="s">
        <v>182</v>
      </c>
      <c r="B148" s="1">
        <v>45927</v>
      </c>
      <c r="C148" s="2" t="s">
        <v>14</v>
      </c>
      <c r="D148" s="2" t="s">
        <v>14</v>
      </c>
      <c r="E148" s="2" t="s">
        <v>25</v>
      </c>
      <c r="F148" s="3">
        <v>67</v>
      </c>
      <c r="G148" s="2">
        <v>4</v>
      </c>
      <c r="H148" s="2" t="s">
        <v>28</v>
      </c>
    </row>
    <row r="149" spans="1:8" x14ac:dyDescent="0.25">
      <c r="A149" t="s">
        <v>183</v>
      </c>
      <c r="B149" s="1">
        <v>45738</v>
      </c>
      <c r="C149" s="2" t="s">
        <v>12</v>
      </c>
      <c r="D149" s="2" t="s">
        <v>19</v>
      </c>
      <c r="E149" s="2" t="s">
        <v>22</v>
      </c>
      <c r="F149" s="3">
        <v>33</v>
      </c>
      <c r="G149" s="2">
        <v>3</v>
      </c>
      <c r="H149" s="2" t="s">
        <v>28</v>
      </c>
    </row>
    <row r="150" spans="1:8" x14ac:dyDescent="0.25">
      <c r="A150" t="s">
        <v>184</v>
      </c>
      <c r="B150" s="1">
        <v>45685</v>
      </c>
      <c r="C150" s="2" t="s">
        <v>17</v>
      </c>
      <c r="D150" s="2" t="s">
        <v>17</v>
      </c>
      <c r="E150" s="2" t="s">
        <v>26</v>
      </c>
      <c r="F150" s="3">
        <v>15</v>
      </c>
      <c r="G150" s="2">
        <v>2</v>
      </c>
      <c r="H150" s="2" t="s">
        <v>28</v>
      </c>
    </row>
    <row r="151" spans="1:8" x14ac:dyDescent="0.25">
      <c r="A151" t="s">
        <v>185</v>
      </c>
      <c r="B151" s="1">
        <v>45738</v>
      </c>
      <c r="C151" s="2" t="s">
        <v>16</v>
      </c>
      <c r="D151" s="2" t="s">
        <v>16</v>
      </c>
      <c r="E151" s="2" t="s">
        <v>22</v>
      </c>
      <c r="F151" s="3">
        <v>61</v>
      </c>
      <c r="G151" s="2">
        <v>7</v>
      </c>
      <c r="H151" s="2" t="s">
        <v>27</v>
      </c>
    </row>
    <row r="152" spans="1:8" x14ac:dyDescent="0.25">
      <c r="A152" t="s">
        <v>186</v>
      </c>
      <c r="B152" s="1">
        <v>45979</v>
      </c>
      <c r="C152" s="2" t="s">
        <v>16</v>
      </c>
      <c r="D152" s="2" t="s">
        <v>16</v>
      </c>
      <c r="E152" s="2" t="s">
        <v>22</v>
      </c>
      <c r="F152" s="3">
        <v>48</v>
      </c>
      <c r="G152" s="2">
        <v>6</v>
      </c>
      <c r="H152" s="2" t="s">
        <v>27</v>
      </c>
    </row>
    <row r="153" spans="1:8" x14ac:dyDescent="0.25">
      <c r="A153" t="s">
        <v>187</v>
      </c>
      <c r="B153" s="1">
        <v>45846</v>
      </c>
      <c r="C153" s="2" t="s">
        <v>16</v>
      </c>
      <c r="D153" s="2" t="s">
        <v>16</v>
      </c>
      <c r="E153" s="2" t="s">
        <v>23</v>
      </c>
      <c r="F153" s="3">
        <v>54</v>
      </c>
      <c r="G153" s="2">
        <v>3</v>
      </c>
      <c r="H153" s="2" t="s">
        <v>28</v>
      </c>
    </row>
    <row r="154" spans="1:8" x14ac:dyDescent="0.25">
      <c r="A154" t="s">
        <v>188</v>
      </c>
      <c r="B154" s="1">
        <v>45711</v>
      </c>
      <c r="C154" s="2" t="s">
        <v>11</v>
      </c>
      <c r="D154" s="2" t="s">
        <v>18</v>
      </c>
      <c r="E154" s="2" t="s">
        <v>23</v>
      </c>
      <c r="F154" s="3">
        <v>47</v>
      </c>
      <c r="G154" s="2">
        <v>5</v>
      </c>
      <c r="H154" s="2" t="s">
        <v>27</v>
      </c>
    </row>
    <row r="155" spans="1:8" x14ac:dyDescent="0.25">
      <c r="A155" t="s">
        <v>189</v>
      </c>
      <c r="B155" s="1">
        <v>45916</v>
      </c>
      <c r="C155" s="2" t="s">
        <v>9</v>
      </c>
      <c r="D155" s="2" t="s">
        <v>9</v>
      </c>
      <c r="E155" s="2" t="s">
        <v>25</v>
      </c>
      <c r="F155" s="3">
        <v>65</v>
      </c>
      <c r="G155" s="2">
        <v>6</v>
      </c>
      <c r="H155" s="2" t="s">
        <v>27</v>
      </c>
    </row>
    <row r="156" spans="1:8" x14ac:dyDescent="0.25">
      <c r="A156" t="s">
        <v>190</v>
      </c>
      <c r="B156" s="1">
        <v>45980</v>
      </c>
      <c r="C156" s="2" t="s">
        <v>16</v>
      </c>
      <c r="D156" s="2" t="s">
        <v>16</v>
      </c>
      <c r="E156" s="2" t="s">
        <v>24</v>
      </c>
      <c r="F156" s="3">
        <v>21</v>
      </c>
      <c r="G156" s="2">
        <v>3</v>
      </c>
      <c r="H156" s="2" t="s">
        <v>28</v>
      </c>
    </row>
    <row r="157" spans="1:8" x14ac:dyDescent="0.25">
      <c r="A157" t="s">
        <v>191</v>
      </c>
      <c r="B157" s="1">
        <v>45745</v>
      </c>
      <c r="C157" s="2" t="s">
        <v>8</v>
      </c>
      <c r="D157" s="2" t="s">
        <v>8</v>
      </c>
      <c r="E157" s="2" t="s">
        <v>25</v>
      </c>
      <c r="F157" s="3">
        <v>34</v>
      </c>
      <c r="G157" s="2">
        <v>3</v>
      </c>
      <c r="H157" s="2" t="s">
        <v>28</v>
      </c>
    </row>
    <row r="158" spans="1:8" x14ac:dyDescent="0.25">
      <c r="A158" t="s">
        <v>192</v>
      </c>
      <c r="B158" s="1">
        <v>45701</v>
      </c>
      <c r="C158" s="2" t="s">
        <v>14</v>
      </c>
      <c r="D158" s="2" t="s">
        <v>14</v>
      </c>
      <c r="E158" s="2" t="s">
        <v>25</v>
      </c>
      <c r="F158" s="3">
        <v>65</v>
      </c>
      <c r="G158" s="2">
        <v>5</v>
      </c>
      <c r="H158" s="2" t="s">
        <v>27</v>
      </c>
    </row>
    <row r="159" spans="1:8" x14ac:dyDescent="0.25">
      <c r="A159" t="s">
        <v>193</v>
      </c>
      <c r="B159" s="1">
        <v>45818</v>
      </c>
      <c r="C159" s="2" t="s">
        <v>13</v>
      </c>
      <c r="D159" s="2" t="s">
        <v>20</v>
      </c>
      <c r="E159" s="2" t="s">
        <v>22</v>
      </c>
      <c r="F159" s="3">
        <v>59</v>
      </c>
      <c r="G159" s="2">
        <v>3</v>
      </c>
      <c r="H159" s="2" t="s">
        <v>28</v>
      </c>
    </row>
    <row r="160" spans="1:8" x14ac:dyDescent="0.25">
      <c r="A160" t="s">
        <v>194</v>
      </c>
      <c r="B160" s="1">
        <v>45717</v>
      </c>
      <c r="C160" s="2" t="s">
        <v>16</v>
      </c>
      <c r="D160" s="2" t="s">
        <v>16</v>
      </c>
      <c r="E160" s="2" t="s">
        <v>24</v>
      </c>
      <c r="F160" s="3">
        <v>28</v>
      </c>
      <c r="G160" s="2">
        <v>7</v>
      </c>
      <c r="H160" s="2" t="s">
        <v>27</v>
      </c>
    </row>
    <row r="161" spans="1:8" x14ac:dyDescent="0.25">
      <c r="A161" t="s">
        <v>195</v>
      </c>
      <c r="B161" s="1">
        <v>45722</v>
      </c>
      <c r="C161" s="2" t="s">
        <v>12</v>
      </c>
      <c r="D161" s="2" t="s">
        <v>19</v>
      </c>
      <c r="E161" s="2" t="s">
        <v>25</v>
      </c>
      <c r="F161" s="3">
        <v>38</v>
      </c>
      <c r="G161" s="2">
        <v>7</v>
      </c>
      <c r="H161" s="2" t="s">
        <v>27</v>
      </c>
    </row>
    <row r="162" spans="1:8" x14ac:dyDescent="0.25">
      <c r="A162" t="s">
        <v>196</v>
      </c>
      <c r="B162" s="1">
        <v>45679</v>
      </c>
      <c r="C162" s="2" t="s">
        <v>14</v>
      </c>
      <c r="D162" s="2" t="s">
        <v>14</v>
      </c>
      <c r="E162" s="2" t="s">
        <v>25</v>
      </c>
      <c r="F162" s="3">
        <v>46</v>
      </c>
      <c r="G162" s="2">
        <v>3</v>
      </c>
      <c r="H162" s="2" t="s">
        <v>28</v>
      </c>
    </row>
    <row r="163" spans="1:8" x14ac:dyDescent="0.25">
      <c r="A163" t="s">
        <v>197</v>
      </c>
      <c r="B163" s="1">
        <v>45700</v>
      </c>
      <c r="C163" s="2" t="s">
        <v>15</v>
      </c>
      <c r="D163" s="2" t="s">
        <v>21</v>
      </c>
      <c r="E163" s="2" t="s">
        <v>25</v>
      </c>
      <c r="F163" s="3">
        <v>42</v>
      </c>
      <c r="G163" s="2">
        <v>6</v>
      </c>
      <c r="H163" s="2" t="s">
        <v>27</v>
      </c>
    </row>
    <row r="164" spans="1:8" x14ac:dyDescent="0.25">
      <c r="A164" t="s">
        <v>198</v>
      </c>
      <c r="B164" s="1">
        <v>45961</v>
      </c>
      <c r="C164" s="2" t="s">
        <v>11</v>
      </c>
      <c r="D164" s="2" t="s">
        <v>18</v>
      </c>
      <c r="E164" s="2" t="s">
        <v>24</v>
      </c>
      <c r="F164" s="3">
        <v>56</v>
      </c>
      <c r="G164" s="2">
        <v>7</v>
      </c>
      <c r="H164" s="2" t="s">
        <v>27</v>
      </c>
    </row>
    <row r="165" spans="1:8" x14ac:dyDescent="0.25">
      <c r="A165" t="s">
        <v>199</v>
      </c>
      <c r="B165" s="1">
        <v>45807</v>
      </c>
      <c r="C165" s="2" t="s">
        <v>16</v>
      </c>
      <c r="D165" s="2" t="s">
        <v>16</v>
      </c>
      <c r="E165" s="2" t="s">
        <v>23</v>
      </c>
      <c r="F165" s="3">
        <v>24</v>
      </c>
      <c r="G165" s="2">
        <v>4</v>
      </c>
      <c r="H165" s="2" t="s">
        <v>28</v>
      </c>
    </row>
    <row r="166" spans="1:8" x14ac:dyDescent="0.25">
      <c r="A166" t="s">
        <v>200</v>
      </c>
      <c r="B166" s="1">
        <v>45730</v>
      </c>
      <c r="C166" s="2" t="s">
        <v>10</v>
      </c>
      <c r="D166" s="2" t="s">
        <v>10</v>
      </c>
      <c r="E166" s="2" t="s">
        <v>24</v>
      </c>
      <c r="F166" s="3">
        <v>37</v>
      </c>
      <c r="G166" s="2">
        <v>5</v>
      </c>
      <c r="H166" s="2" t="s">
        <v>27</v>
      </c>
    </row>
    <row r="167" spans="1:8" x14ac:dyDescent="0.25">
      <c r="A167" t="s">
        <v>201</v>
      </c>
      <c r="B167" s="1">
        <v>45781</v>
      </c>
      <c r="C167" s="2" t="s">
        <v>9</v>
      </c>
      <c r="D167" s="2" t="s">
        <v>9</v>
      </c>
      <c r="E167" s="2" t="s">
        <v>25</v>
      </c>
      <c r="F167" s="3">
        <v>27</v>
      </c>
      <c r="G167" s="2">
        <v>3</v>
      </c>
      <c r="H167" s="2" t="s">
        <v>28</v>
      </c>
    </row>
    <row r="168" spans="1:8" x14ac:dyDescent="0.25">
      <c r="A168" t="s">
        <v>202</v>
      </c>
      <c r="B168" s="1">
        <v>45978</v>
      </c>
      <c r="C168" s="2" t="s">
        <v>13</v>
      </c>
      <c r="D168" s="2" t="s">
        <v>20</v>
      </c>
      <c r="E168" s="2" t="s">
        <v>24</v>
      </c>
      <c r="F168" s="3">
        <v>67</v>
      </c>
      <c r="G168" s="2">
        <v>7</v>
      </c>
      <c r="H168" s="2" t="s">
        <v>27</v>
      </c>
    </row>
    <row r="169" spans="1:8" x14ac:dyDescent="0.25">
      <c r="A169" t="s">
        <v>203</v>
      </c>
      <c r="B169" s="1">
        <v>45897</v>
      </c>
      <c r="C169" s="2" t="s">
        <v>13</v>
      </c>
      <c r="D169" s="2" t="s">
        <v>20</v>
      </c>
      <c r="E169" s="2" t="s">
        <v>23</v>
      </c>
      <c r="F169" s="3">
        <v>68</v>
      </c>
      <c r="G169" s="2">
        <v>3</v>
      </c>
      <c r="H169" s="2" t="s">
        <v>28</v>
      </c>
    </row>
    <row r="170" spans="1:8" x14ac:dyDescent="0.25">
      <c r="A170" t="s">
        <v>204</v>
      </c>
      <c r="B170" s="1">
        <v>45919</v>
      </c>
      <c r="C170" s="2" t="s">
        <v>13</v>
      </c>
      <c r="D170" s="2" t="s">
        <v>20</v>
      </c>
      <c r="E170" s="2" t="s">
        <v>25</v>
      </c>
      <c r="F170" s="3">
        <v>34</v>
      </c>
      <c r="G170" s="2">
        <v>4</v>
      </c>
      <c r="H170" s="2" t="s">
        <v>28</v>
      </c>
    </row>
    <row r="171" spans="1:8" x14ac:dyDescent="0.25">
      <c r="A171" t="s">
        <v>205</v>
      </c>
      <c r="B171" s="1">
        <v>45728</v>
      </c>
      <c r="C171" s="2" t="s">
        <v>15</v>
      </c>
      <c r="D171" s="2" t="s">
        <v>21</v>
      </c>
      <c r="E171" s="2" t="s">
        <v>22</v>
      </c>
      <c r="F171" s="3">
        <v>31</v>
      </c>
      <c r="G171" s="2">
        <v>5</v>
      </c>
      <c r="H171" s="2" t="s">
        <v>27</v>
      </c>
    </row>
    <row r="172" spans="1:8" x14ac:dyDescent="0.25">
      <c r="A172" t="s">
        <v>206</v>
      </c>
      <c r="B172" s="1">
        <v>45808</v>
      </c>
      <c r="C172" s="2" t="s">
        <v>13</v>
      </c>
      <c r="D172" s="2" t="s">
        <v>20</v>
      </c>
      <c r="E172" s="2" t="s">
        <v>23</v>
      </c>
      <c r="F172" s="3">
        <v>27</v>
      </c>
      <c r="G172" s="2">
        <v>3</v>
      </c>
      <c r="H172" s="2" t="s">
        <v>28</v>
      </c>
    </row>
    <row r="173" spans="1:8" x14ac:dyDescent="0.25">
      <c r="A173" t="s">
        <v>207</v>
      </c>
      <c r="B173" s="1">
        <v>45932</v>
      </c>
      <c r="C173" s="2" t="s">
        <v>14</v>
      </c>
      <c r="D173" s="2" t="s">
        <v>14</v>
      </c>
      <c r="E173" s="2" t="s">
        <v>24</v>
      </c>
      <c r="F173" s="3">
        <v>65</v>
      </c>
      <c r="G173" s="2">
        <v>3</v>
      </c>
      <c r="H173" s="2" t="s">
        <v>28</v>
      </c>
    </row>
    <row r="174" spans="1:8" x14ac:dyDescent="0.25">
      <c r="A174" t="s">
        <v>208</v>
      </c>
      <c r="B174" s="1">
        <v>45823</v>
      </c>
      <c r="C174" s="2" t="s">
        <v>9</v>
      </c>
      <c r="D174" s="2" t="s">
        <v>9</v>
      </c>
      <c r="E174" s="2" t="s">
        <v>23</v>
      </c>
      <c r="F174" s="3">
        <v>67</v>
      </c>
      <c r="G174" s="2">
        <v>4</v>
      </c>
      <c r="H174" s="2" t="s">
        <v>28</v>
      </c>
    </row>
    <row r="175" spans="1:8" x14ac:dyDescent="0.25">
      <c r="A175" t="s">
        <v>209</v>
      </c>
      <c r="B175" s="1">
        <v>45685</v>
      </c>
      <c r="C175" s="2" t="s">
        <v>8</v>
      </c>
      <c r="D175" s="2" t="s">
        <v>8</v>
      </c>
      <c r="E175" s="2" t="s">
        <v>22</v>
      </c>
      <c r="F175" s="3">
        <v>32</v>
      </c>
      <c r="G175" s="2">
        <v>4</v>
      </c>
      <c r="H175" s="2" t="s">
        <v>28</v>
      </c>
    </row>
    <row r="176" spans="1:8" x14ac:dyDescent="0.25">
      <c r="A176" t="s">
        <v>210</v>
      </c>
      <c r="B176" s="1">
        <v>45726</v>
      </c>
      <c r="C176" s="2" t="s">
        <v>17</v>
      </c>
      <c r="D176" s="2" t="s">
        <v>17</v>
      </c>
      <c r="E176" s="2" t="s">
        <v>23</v>
      </c>
      <c r="F176" s="3">
        <v>12</v>
      </c>
      <c r="G176" s="2">
        <v>1</v>
      </c>
      <c r="H176" s="2" t="s">
        <v>28</v>
      </c>
    </row>
    <row r="177" spans="1:8" x14ac:dyDescent="0.25">
      <c r="A177" t="s">
        <v>211</v>
      </c>
      <c r="B177" s="1">
        <v>45815</v>
      </c>
      <c r="C177" s="2" t="s">
        <v>14</v>
      </c>
      <c r="D177" s="2" t="s">
        <v>14</v>
      </c>
      <c r="E177" s="2" t="s">
        <v>26</v>
      </c>
      <c r="F177" s="3">
        <v>49</v>
      </c>
      <c r="G177" s="2">
        <v>3</v>
      </c>
      <c r="H177" s="2" t="s">
        <v>28</v>
      </c>
    </row>
    <row r="178" spans="1:8" x14ac:dyDescent="0.25">
      <c r="A178" t="s">
        <v>212</v>
      </c>
      <c r="B178" s="1">
        <v>45912</v>
      </c>
      <c r="C178" s="2" t="s">
        <v>12</v>
      </c>
      <c r="D178" s="2" t="s">
        <v>19</v>
      </c>
      <c r="E178" s="2" t="s">
        <v>22</v>
      </c>
      <c r="F178" s="3">
        <v>62</v>
      </c>
      <c r="G178" s="2">
        <v>5</v>
      </c>
      <c r="H178" s="2" t="s">
        <v>27</v>
      </c>
    </row>
    <row r="179" spans="1:8" x14ac:dyDescent="0.25">
      <c r="A179" t="s">
        <v>213</v>
      </c>
      <c r="B179" s="1">
        <v>45857</v>
      </c>
      <c r="C179" s="2" t="s">
        <v>8</v>
      </c>
      <c r="D179" s="2" t="s">
        <v>8</v>
      </c>
      <c r="E179" s="2" t="s">
        <v>24</v>
      </c>
      <c r="F179" s="3">
        <v>69</v>
      </c>
      <c r="G179" s="2">
        <v>3</v>
      </c>
      <c r="H179" s="2" t="s">
        <v>28</v>
      </c>
    </row>
    <row r="180" spans="1:8" x14ac:dyDescent="0.25">
      <c r="A180" t="s">
        <v>214</v>
      </c>
      <c r="B180" s="1">
        <v>45903</v>
      </c>
      <c r="C180" s="2" t="s">
        <v>10</v>
      </c>
      <c r="D180" s="2" t="s">
        <v>10</v>
      </c>
      <c r="E180" s="2" t="s">
        <v>22</v>
      </c>
      <c r="F180" s="3">
        <v>62</v>
      </c>
      <c r="G180" s="2">
        <v>6</v>
      </c>
      <c r="H180" s="2" t="s">
        <v>27</v>
      </c>
    </row>
    <row r="181" spans="1:8" x14ac:dyDescent="0.25">
      <c r="A181" t="s">
        <v>215</v>
      </c>
      <c r="B181" s="1">
        <v>45723</v>
      </c>
      <c r="C181" s="2" t="s">
        <v>16</v>
      </c>
      <c r="D181" s="2" t="s">
        <v>16</v>
      </c>
      <c r="E181" s="2" t="s">
        <v>24</v>
      </c>
      <c r="F181" s="3">
        <v>36</v>
      </c>
      <c r="G181" s="2">
        <v>3</v>
      </c>
      <c r="H181" s="2" t="s">
        <v>28</v>
      </c>
    </row>
    <row r="182" spans="1:8" x14ac:dyDescent="0.25">
      <c r="A182" t="s">
        <v>216</v>
      </c>
      <c r="B182" s="1">
        <v>45770</v>
      </c>
      <c r="C182" s="2" t="s">
        <v>9</v>
      </c>
      <c r="D182" s="2" t="s">
        <v>9</v>
      </c>
      <c r="E182" s="2" t="s">
        <v>25</v>
      </c>
      <c r="F182" s="3">
        <v>38</v>
      </c>
      <c r="G182" s="2">
        <v>3</v>
      </c>
      <c r="H182" s="2" t="s">
        <v>28</v>
      </c>
    </row>
    <row r="183" spans="1:8" x14ac:dyDescent="0.25">
      <c r="A183" t="s">
        <v>217</v>
      </c>
      <c r="B183" s="1">
        <v>45899</v>
      </c>
      <c r="C183" s="2" t="s">
        <v>13</v>
      </c>
      <c r="D183" s="2" t="s">
        <v>20</v>
      </c>
      <c r="E183" s="2" t="s">
        <v>24</v>
      </c>
      <c r="F183" s="3">
        <v>23</v>
      </c>
      <c r="G183" s="2">
        <v>4</v>
      </c>
      <c r="H183" s="2" t="s">
        <v>28</v>
      </c>
    </row>
    <row r="184" spans="1:8" x14ac:dyDescent="0.25">
      <c r="A184" t="s">
        <v>218</v>
      </c>
      <c r="B184" s="1">
        <v>45886</v>
      </c>
      <c r="C184" s="2" t="s">
        <v>11</v>
      </c>
      <c r="D184" s="2" t="s">
        <v>18</v>
      </c>
      <c r="E184" s="2" t="s">
        <v>26</v>
      </c>
      <c r="F184" s="3">
        <v>67</v>
      </c>
      <c r="G184" s="2">
        <v>4</v>
      </c>
      <c r="H184" s="2" t="s">
        <v>28</v>
      </c>
    </row>
    <row r="185" spans="1:8" x14ac:dyDescent="0.25">
      <c r="A185" t="s">
        <v>219</v>
      </c>
      <c r="B185" s="1">
        <v>45716</v>
      </c>
      <c r="C185" s="2" t="s">
        <v>12</v>
      </c>
      <c r="D185" s="2" t="s">
        <v>19</v>
      </c>
      <c r="E185" s="2" t="s">
        <v>23</v>
      </c>
      <c r="F185" s="3">
        <v>68</v>
      </c>
      <c r="G185" s="2">
        <v>4</v>
      </c>
      <c r="H185" s="2" t="s">
        <v>28</v>
      </c>
    </row>
    <row r="186" spans="1:8" x14ac:dyDescent="0.25">
      <c r="A186" t="s">
        <v>220</v>
      </c>
      <c r="B186" s="1">
        <v>45988</v>
      </c>
      <c r="C186" s="2" t="s">
        <v>10</v>
      </c>
      <c r="D186" s="2" t="s">
        <v>10</v>
      </c>
      <c r="E186" s="2" t="s">
        <v>23</v>
      </c>
      <c r="F186" s="3">
        <v>46</v>
      </c>
      <c r="G186" s="2">
        <v>3</v>
      </c>
      <c r="H186" s="2" t="s">
        <v>28</v>
      </c>
    </row>
    <row r="187" spans="1:8" x14ac:dyDescent="0.25">
      <c r="A187" t="s">
        <v>221</v>
      </c>
      <c r="B187" s="1">
        <v>45742</v>
      </c>
      <c r="C187" s="2" t="s">
        <v>9</v>
      </c>
      <c r="D187" s="2" t="s">
        <v>9</v>
      </c>
      <c r="E187" s="2" t="s">
        <v>26</v>
      </c>
      <c r="F187" s="3">
        <v>59</v>
      </c>
      <c r="G187" s="2">
        <v>6</v>
      </c>
      <c r="H187" s="2" t="s">
        <v>27</v>
      </c>
    </row>
    <row r="188" spans="1:8" x14ac:dyDescent="0.25">
      <c r="A188" t="s">
        <v>222</v>
      </c>
      <c r="B188" s="1">
        <v>46018</v>
      </c>
      <c r="C188" s="2" t="s">
        <v>13</v>
      </c>
      <c r="D188" s="2" t="s">
        <v>20</v>
      </c>
      <c r="E188" s="2" t="s">
        <v>25</v>
      </c>
      <c r="F188" s="3">
        <v>64</v>
      </c>
      <c r="G188" s="2">
        <v>7</v>
      </c>
      <c r="H188" s="2" t="s">
        <v>27</v>
      </c>
    </row>
    <row r="189" spans="1:8" x14ac:dyDescent="0.25">
      <c r="A189" t="s">
        <v>223</v>
      </c>
      <c r="B189" s="1">
        <v>46022</v>
      </c>
      <c r="C189" s="2" t="s">
        <v>14</v>
      </c>
      <c r="D189" s="2" t="s">
        <v>14</v>
      </c>
      <c r="E189" s="2" t="s">
        <v>26</v>
      </c>
      <c r="F189" s="3">
        <v>41</v>
      </c>
      <c r="G189" s="2">
        <v>6</v>
      </c>
      <c r="H189" s="2" t="s">
        <v>27</v>
      </c>
    </row>
    <row r="190" spans="1:8" x14ac:dyDescent="0.25">
      <c r="A190" t="s">
        <v>224</v>
      </c>
      <c r="B190" s="1">
        <v>45701</v>
      </c>
      <c r="C190" s="2" t="s">
        <v>15</v>
      </c>
      <c r="D190" s="2" t="s">
        <v>21</v>
      </c>
      <c r="E190" s="2" t="s">
        <v>25</v>
      </c>
      <c r="F190" s="3">
        <v>58</v>
      </c>
      <c r="G190" s="2">
        <v>7</v>
      </c>
      <c r="H190" s="2" t="s">
        <v>27</v>
      </c>
    </row>
    <row r="191" spans="1:8" x14ac:dyDescent="0.25">
      <c r="A191" t="s">
        <v>225</v>
      </c>
      <c r="B191" s="1">
        <v>45822</v>
      </c>
      <c r="C191" s="2" t="s">
        <v>9</v>
      </c>
      <c r="D191" s="2" t="s">
        <v>9</v>
      </c>
      <c r="E191" s="2" t="s">
        <v>25</v>
      </c>
      <c r="F191" s="3">
        <v>65</v>
      </c>
      <c r="G191" s="2">
        <v>3</v>
      </c>
      <c r="H191" s="2" t="s">
        <v>28</v>
      </c>
    </row>
    <row r="192" spans="1:8" x14ac:dyDescent="0.25">
      <c r="A192" t="s">
        <v>226</v>
      </c>
      <c r="B192" s="1">
        <v>46017</v>
      </c>
      <c r="C192" s="2" t="s">
        <v>15</v>
      </c>
      <c r="D192" s="2" t="s">
        <v>21</v>
      </c>
      <c r="E192" s="2" t="s">
        <v>26</v>
      </c>
      <c r="F192" s="3">
        <v>53</v>
      </c>
      <c r="G192" s="2">
        <v>7</v>
      </c>
      <c r="H192" s="2" t="s">
        <v>27</v>
      </c>
    </row>
    <row r="193" spans="1:8" x14ac:dyDescent="0.25">
      <c r="A193" t="s">
        <v>227</v>
      </c>
      <c r="B193" s="1">
        <v>45783</v>
      </c>
      <c r="C193" s="2" t="s">
        <v>10</v>
      </c>
      <c r="D193" s="2" t="s">
        <v>10</v>
      </c>
      <c r="E193" s="2" t="s">
        <v>22</v>
      </c>
      <c r="F193" s="3">
        <v>67</v>
      </c>
      <c r="G193" s="2">
        <v>6</v>
      </c>
      <c r="H193" s="2" t="s">
        <v>27</v>
      </c>
    </row>
    <row r="194" spans="1:8" x14ac:dyDescent="0.25">
      <c r="A194" t="s">
        <v>228</v>
      </c>
      <c r="B194" s="1">
        <v>45767</v>
      </c>
      <c r="C194" s="2" t="s">
        <v>11</v>
      </c>
      <c r="D194" s="2" t="s">
        <v>18</v>
      </c>
      <c r="E194" s="2" t="s">
        <v>24</v>
      </c>
      <c r="F194" s="3">
        <v>65</v>
      </c>
      <c r="G194" s="2">
        <v>3</v>
      </c>
      <c r="H194" s="2" t="s">
        <v>28</v>
      </c>
    </row>
    <row r="195" spans="1:8" x14ac:dyDescent="0.25">
      <c r="A195" t="s">
        <v>229</v>
      </c>
      <c r="B195" s="1">
        <v>46021</v>
      </c>
      <c r="C195" s="2" t="s">
        <v>13</v>
      </c>
      <c r="D195" s="2" t="s">
        <v>20</v>
      </c>
      <c r="E195" s="2" t="s">
        <v>24</v>
      </c>
      <c r="F195" s="3">
        <v>25</v>
      </c>
      <c r="G195" s="2">
        <v>5</v>
      </c>
      <c r="H195" s="2" t="s">
        <v>27</v>
      </c>
    </row>
    <row r="196" spans="1:8" x14ac:dyDescent="0.25">
      <c r="A196" t="s">
        <v>230</v>
      </c>
      <c r="B196" s="1">
        <v>45849</v>
      </c>
      <c r="C196" s="2" t="s">
        <v>17</v>
      </c>
      <c r="D196" s="2" t="s">
        <v>17</v>
      </c>
      <c r="E196" s="2" t="s">
        <v>26</v>
      </c>
      <c r="F196" s="3">
        <v>13</v>
      </c>
      <c r="G196" s="2">
        <v>2</v>
      </c>
      <c r="H196" s="2" t="s">
        <v>28</v>
      </c>
    </row>
    <row r="197" spans="1:8" x14ac:dyDescent="0.25">
      <c r="A197" t="s">
        <v>231</v>
      </c>
      <c r="B197" s="1">
        <v>45915</v>
      </c>
      <c r="C197" s="2" t="s">
        <v>13</v>
      </c>
      <c r="D197" s="2" t="s">
        <v>20</v>
      </c>
      <c r="E197" s="2" t="s">
        <v>26</v>
      </c>
      <c r="F197" s="3">
        <v>68</v>
      </c>
      <c r="G197" s="2">
        <v>6</v>
      </c>
      <c r="H197" s="2" t="s">
        <v>27</v>
      </c>
    </row>
    <row r="198" spans="1:8" x14ac:dyDescent="0.25">
      <c r="A198" t="s">
        <v>232</v>
      </c>
      <c r="B198" s="1">
        <v>45824</v>
      </c>
      <c r="C198" s="2" t="s">
        <v>12</v>
      </c>
      <c r="D198" s="2" t="s">
        <v>19</v>
      </c>
      <c r="E198" s="2" t="s">
        <v>22</v>
      </c>
      <c r="F198" s="3">
        <v>69</v>
      </c>
      <c r="G198" s="2">
        <v>7</v>
      </c>
      <c r="H198" s="2" t="s">
        <v>27</v>
      </c>
    </row>
    <row r="199" spans="1:8" x14ac:dyDescent="0.25">
      <c r="A199" t="s">
        <v>233</v>
      </c>
      <c r="B199" s="1">
        <v>45748</v>
      </c>
      <c r="C199" s="2" t="s">
        <v>11</v>
      </c>
      <c r="D199" s="2" t="s">
        <v>18</v>
      </c>
      <c r="E199" s="2" t="s">
        <v>22</v>
      </c>
      <c r="F199" s="3">
        <v>48</v>
      </c>
      <c r="G199" s="2">
        <v>7</v>
      </c>
      <c r="H199" s="2" t="s">
        <v>27</v>
      </c>
    </row>
    <row r="200" spans="1:8" x14ac:dyDescent="0.25">
      <c r="A200" t="s">
        <v>234</v>
      </c>
      <c r="B200" s="1">
        <v>45703</v>
      </c>
      <c r="C200" s="2" t="s">
        <v>13</v>
      </c>
      <c r="D200" s="2" t="s">
        <v>20</v>
      </c>
      <c r="E200" s="2" t="s">
        <v>26</v>
      </c>
      <c r="F200" s="3">
        <v>37</v>
      </c>
      <c r="G200" s="2">
        <v>4</v>
      </c>
      <c r="H200" s="2" t="s">
        <v>28</v>
      </c>
    </row>
    <row r="201" spans="1:8" x14ac:dyDescent="0.25">
      <c r="A201" t="s">
        <v>235</v>
      </c>
      <c r="B201" s="1">
        <v>46015</v>
      </c>
      <c r="C201" s="2" t="s">
        <v>8</v>
      </c>
      <c r="D201" s="2" t="s">
        <v>8</v>
      </c>
      <c r="E201" s="2" t="s">
        <v>23</v>
      </c>
      <c r="F201" s="3">
        <v>30</v>
      </c>
      <c r="G201" s="2">
        <v>5</v>
      </c>
      <c r="H201" s="2" t="s">
        <v>27</v>
      </c>
    </row>
  </sheetData>
  <sortState xmlns:xlrd2="http://schemas.microsoft.com/office/spreadsheetml/2017/richdata2" ref="A2:H201">
    <sortCondition ref="B2:B20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1446-5B19-4244-9964-DA8B65CA80CA}">
  <dimension ref="A1:F66"/>
  <sheetViews>
    <sheetView topLeftCell="A31" workbookViewId="0">
      <selection activeCell="F43" sqref="F43"/>
    </sheetView>
  </sheetViews>
  <sheetFormatPr baseColWidth="10" defaultRowHeight="15" x14ac:dyDescent="0.25"/>
  <cols>
    <col min="1" max="1" width="17.5703125" bestFit="1" customWidth="1"/>
    <col min="2" max="2" width="24.5703125" bestFit="1" customWidth="1"/>
    <col min="3" max="3" width="12.5703125" bestFit="1" customWidth="1"/>
    <col min="4" max="4" width="19.85546875" bestFit="1" customWidth="1"/>
    <col min="5" max="5" width="24" bestFit="1" customWidth="1"/>
    <col min="6" max="6" width="28.5703125" bestFit="1" customWidth="1"/>
    <col min="7" max="7" width="5.85546875" bestFit="1" customWidth="1"/>
    <col min="8" max="8" width="5.28515625" bestFit="1" customWidth="1"/>
    <col min="9" max="9" width="6.28515625" bestFit="1" customWidth="1"/>
    <col min="10" max="10" width="5.7109375" bestFit="1" customWidth="1"/>
    <col min="11" max="11" width="5.85546875" bestFit="1" customWidth="1"/>
    <col min="12" max="12" width="6.42578125" bestFit="1" customWidth="1"/>
    <col min="13" max="13" width="5.5703125" bestFit="1" customWidth="1"/>
    <col min="14" max="14" width="12.5703125" bestFit="1" customWidth="1"/>
    <col min="15" max="18" width="10.7109375" bestFit="1" customWidth="1"/>
    <col min="19" max="23" width="9.7109375" bestFit="1" customWidth="1"/>
    <col min="24" max="33" width="10.7109375" bestFit="1" customWidth="1"/>
    <col min="34" max="38" width="9.7109375" bestFit="1" customWidth="1"/>
    <col min="39" max="49" width="10.7109375" bestFit="1" customWidth="1"/>
    <col min="50" max="53" width="9.7109375" bestFit="1" customWidth="1"/>
    <col min="54" max="61" width="10.7109375" bestFit="1" customWidth="1"/>
    <col min="62" max="65" width="9.7109375" bestFit="1" customWidth="1"/>
    <col min="66" max="77" width="10.7109375" bestFit="1" customWidth="1"/>
    <col min="78" max="80" width="9.7109375" bestFit="1" customWidth="1"/>
    <col min="81" max="92" width="10.7109375" bestFit="1" customWidth="1"/>
    <col min="93" max="95" width="9.7109375" bestFit="1" customWidth="1"/>
    <col min="96" max="102" width="10.7109375" bestFit="1" customWidth="1"/>
    <col min="103" max="110" width="9.7109375" bestFit="1" customWidth="1"/>
    <col min="111" max="118" width="10.7109375" bestFit="1" customWidth="1"/>
    <col min="119" max="121" width="9.7109375" bestFit="1" customWidth="1"/>
    <col min="122" max="128" width="10.7109375" bestFit="1" customWidth="1"/>
    <col min="129" max="134" width="9.7109375" bestFit="1" customWidth="1"/>
    <col min="135" max="141" width="10.7109375" bestFit="1" customWidth="1"/>
    <col min="142" max="143" width="9.7109375" bestFit="1" customWidth="1"/>
    <col min="144" max="151" width="10.7109375" bestFit="1" customWidth="1"/>
    <col min="152" max="154" width="9.7109375" bestFit="1" customWidth="1"/>
    <col min="155" max="155" width="10.7109375" bestFit="1" customWidth="1"/>
    <col min="156" max="156" width="12.5703125" bestFit="1" customWidth="1"/>
  </cols>
  <sheetData>
    <row r="1" spans="1:5" x14ac:dyDescent="0.25">
      <c r="A1" s="5" t="s">
        <v>30</v>
      </c>
      <c r="B1" t="s">
        <v>32</v>
      </c>
    </row>
    <row r="2" spans="1:5" x14ac:dyDescent="0.25">
      <c r="A2" s="6" t="s">
        <v>15</v>
      </c>
      <c r="B2" s="4">
        <v>47.10526315789474</v>
      </c>
      <c r="D2" t="str">
        <f>A2</f>
        <v>Áncash</v>
      </c>
      <c r="E2" s="3">
        <f>B2</f>
        <v>47.10526315789474</v>
      </c>
    </row>
    <row r="3" spans="1:5" x14ac:dyDescent="0.25">
      <c r="A3" s="6" t="s">
        <v>8</v>
      </c>
      <c r="B3" s="4">
        <v>42.5</v>
      </c>
      <c r="D3" t="str">
        <f t="shared" ref="D3:D11" si="0">A3</f>
        <v>Arequipa</v>
      </c>
      <c r="E3" s="3">
        <f>B3</f>
        <v>42.5</v>
      </c>
    </row>
    <row r="4" spans="1:5" x14ac:dyDescent="0.25">
      <c r="A4" s="6" t="s">
        <v>9</v>
      </c>
      <c r="B4" s="4">
        <v>46.095238095238095</v>
      </c>
      <c r="D4" t="str">
        <f t="shared" si="0"/>
        <v>Cusco</v>
      </c>
      <c r="E4" s="3">
        <f>B4</f>
        <v>46.095238095238095</v>
      </c>
    </row>
    <row r="5" spans="1:5" x14ac:dyDescent="0.25">
      <c r="A5" s="6" t="s">
        <v>13</v>
      </c>
      <c r="B5" s="4">
        <v>48.272727272727273</v>
      </c>
      <c r="D5" t="str">
        <f t="shared" si="0"/>
        <v>Junín</v>
      </c>
      <c r="E5" s="3">
        <f>B5</f>
        <v>48.272727272727273</v>
      </c>
    </row>
    <row r="6" spans="1:5" x14ac:dyDescent="0.25">
      <c r="A6" s="6" t="s">
        <v>12</v>
      </c>
      <c r="B6" s="4">
        <v>49.476190476190474</v>
      </c>
      <c r="D6" t="str">
        <f t="shared" si="0"/>
        <v>La Libertad</v>
      </c>
      <c r="E6" s="3">
        <f>B6</f>
        <v>49.476190476190474</v>
      </c>
    </row>
    <row r="7" spans="1:5" x14ac:dyDescent="0.25">
      <c r="A7" s="6" t="s">
        <v>17</v>
      </c>
      <c r="B7" s="4">
        <v>13.785714285714286</v>
      </c>
      <c r="D7" t="str">
        <f t="shared" si="0"/>
        <v>Lima</v>
      </c>
      <c r="E7" s="3">
        <f>B7</f>
        <v>13.785714285714286</v>
      </c>
    </row>
    <row r="8" spans="1:5" x14ac:dyDescent="0.25">
      <c r="A8" s="6" t="s">
        <v>11</v>
      </c>
      <c r="B8" s="4">
        <v>45.19047619047619</v>
      </c>
      <c r="D8" t="str">
        <f t="shared" si="0"/>
        <v>Loreto</v>
      </c>
      <c r="E8" s="3">
        <f>B8</f>
        <v>45.19047619047619</v>
      </c>
    </row>
    <row r="9" spans="1:5" x14ac:dyDescent="0.25">
      <c r="A9" s="6" t="s">
        <v>10</v>
      </c>
      <c r="B9" s="4">
        <v>44.333333333333336</v>
      </c>
      <c r="D9" t="str">
        <f t="shared" si="0"/>
        <v>Piura</v>
      </c>
      <c r="E9" s="3">
        <f>B9</f>
        <v>44.333333333333336</v>
      </c>
    </row>
    <row r="10" spans="1:5" x14ac:dyDescent="0.25">
      <c r="A10" s="6" t="s">
        <v>14</v>
      </c>
      <c r="B10" s="4">
        <v>51.217391304347828</v>
      </c>
      <c r="D10" t="str">
        <f t="shared" si="0"/>
        <v>Puno</v>
      </c>
      <c r="E10" s="3">
        <f>B10</f>
        <v>51.217391304347828</v>
      </c>
    </row>
    <row r="11" spans="1:5" x14ac:dyDescent="0.25">
      <c r="A11" s="6" t="s">
        <v>16</v>
      </c>
      <c r="B11" s="4">
        <v>41.65</v>
      </c>
      <c r="D11" t="str">
        <f t="shared" si="0"/>
        <v>Tacna</v>
      </c>
      <c r="E11" s="3">
        <f>B11</f>
        <v>41.65</v>
      </c>
    </row>
    <row r="12" spans="1:5" x14ac:dyDescent="0.25">
      <c r="A12" s="6" t="s">
        <v>31</v>
      </c>
      <c r="B12" s="4">
        <v>44.064999999999998</v>
      </c>
    </row>
    <row r="15" spans="1:5" x14ac:dyDescent="0.25">
      <c r="A15" s="5" t="s">
        <v>30</v>
      </c>
      <c r="B15" t="s">
        <v>29</v>
      </c>
    </row>
    <row r="16" spans="1:5" x14ac:dyDescent="0.25">
      <c r="A16" s="6" t="s">
        <v>15</v>
      </c>
      <c r="B16" s="3">
        <v>895</v>
      </c>
    </row>
    <row r="17" spans="1:5" x14ac:dyDescent="0.25">
      <c r="A17" s="6" t="s">
        <v>8</v>
      </c>
      <c r="B17" s="3">
        <v>765</v>
      </c>
    </row>
    <row r="18" spans="1:5" x14ac:dyDescent="0.25">
      <c r="A18" s="6" t="s">
        <v>9</v>
      </c>
      <c r="B18" s="3">
        <v>968</v>
      </c>
    </row>
    <row r="19" spans="1:5" x14ac:dyDescent="0.25">
      <c r="A19" s="6" t="s">
        <v>13</v>
      </c>
      <c r="B19" s="3">
        <v>1062</v>
      </c>
    </row>
    <row r="20" spans="1:5" x14ac:dyDescent="0.25">
      <c r="A20" s="6" t="s">
        <v>12</v>
      </c>
      <c r="B20" s="3">
        <v>1039</v>
      </c>
    </row>
    <row r="21" spans="1:5" x14ac:dyDescent="0.25">
      <c r="A21" s="6" t="s">
        <v>17</v>
      </c>
      <c r="B21" s="3">
        <v>193</v>
      </c>
    </row>
    <row r="22" spans="1:5" x14ac:dyDescent="0.25">
      <c r="A22" s="6" t="s">
        <v>11</v>
      </c>
      <c r="B22" s="3">
        <v>949</v>
      </c>
    </row>
    <row r="23" spans="1:5" x14ac:dyDescent="0.25">
      <c r="A23" s="6" t="s">
        <v>10</v>
      </c>
      <c r="B23" s="3">
        <v>931</v>
      </c>
    </row>
    <row r="24" spans="1:5" x14ac:dyDescent="0.25">
      <c r="A24" s="6" t="s">
        <v>14</v>
      </c>
      <c r="B24" s="3">
        <v>1178</v>
      </c>
    </row>
    <row r="25" spans="1:5" x14ac:dyDescent="0.25">
      <c r="A25" s="6" t="s">
        <v>16</v>
      </c>
      <c r="B25" s="3">
        <v>833</v>
      </c>
    </row>
    <row r="26" spans="1:5" x14ac:dyDescent="0.25">
      <c r="A26" s="6" t="s">
        <v>31</v>
      </c>
      <c r="B26" s="3">
        <v>8813</v>
      </c>
      <c r="D26" t="s">
        <v>251</v>
      </c>
      <c r="E26" s="3">
        <f>GETPIVOTDATA("Costo_Envío",$A$15)</f>
        <v>8813</v>
      </c>
    </row>
    <row r="29" spans="1:5" x14ac:dyDescent="0.25">
      <c r="A29" s="5" t="s">
        <v>35</v>
      </c>
      <c r="B29" s="5" t="s">
        <v>33</v>
      </c>
    </row>
    <row r="30" spans="1:5" x14ac:dyDescent="0.25">
      <c r="A30" s="5" t="s">
        <v>30</v>
      </c>
      <c r="B30" t="s">
        <v>236</v>
      </c>
      <c r="C30" t="s">
        <v>31</v>
      </c>
    </row>
    <row r="31" spans="1:5" x14ac:dyDescent="0.25">
      <c r="A31" s="6" t="s">
        <v>237</v>
      </c>
      <c r="B31" s="4">
        <v>13</v>
      </c>
      <c r="C31" s="4">
        <v>13</v>
      </c>
    </row>
    <row r="32" spans="1:5" x14ac:dyDescent="0.25">
      <c r="A32" s="6" t="s">
        <v>238</v>
      </c>
      <c r="B32" s="4">
        <v>16</v>
      </c>
      <c r="C32" s="4">
        <v>16</v>
      </c>
    </row>
    <row r="33" spans="1:6" x14ac:dyDescent="0.25">
      <c r="A33" s="6" t="s">
        <v>239</v>
      </c>
      <c r="B33" s="4">
        <v>22</v>
      </c>
      <c r="C33" s="4">
        <v>22</v>
      </c>
    </row>
    <row r="34" spans="1:6" x14ac:dyDescent="0.25">
      <c r="A34" s="6" t="s">
        <v>240</v>
      </c>
      <c r="B34" s="4">
        <v>20</v>
      </c>
      <c r="C34" s="4">
        <v>20</v>
      </c>
    </row>
    <row r="35" spans="1:6" x14ac:dyDescent="0.25">
      <c r="A35" s="6" t="s">
        <v>241</v>
      </c>
      <c r="B35" s="4">
        <v>14</v>
      </c>
      <c r="C35" s="4">
        <v>14</v>
      </c>
    </row>
    <row r="36" spans="1:6" x14ac:dyDescent="0.25">
      <c r="A36" s="6" t="s">
        <v>242</v>
      </c>
      <c r="B36" s="4">
        <v>20</v>
      </c>
      <c r="C36" s="4">
        <v>20</v>
      </c>
    </row>
    <row r="37" spans="1:6" x14ac:dyDescent="0.25">
      <c r="A37" s="6" t="s">
        <v>243</v>
      </c>
      <c r="B37" s="4">
        <v>20</v>
      </c>
      <c r="C37" s="4">
        <v>20</v>
      </c>
    </row>
    <row r="38" spans="1:6" x14ac:dyDescent="0.25">
      <c r="A38" s="6" t="s">
        <v>244</v>
      </c>
      <c r="B38" s="4">
        <v>11</v>
      </c>
      <c r="C38" s="4">
        <v>11</v>
      </c>
    </row>
    <row r="39" spans="1:6" x14ac:dyDescent="0.25">
      <c r="A39" s="6" t="s">
        <v>245</v>
      </c>
      <c r="B39" s="4">
        <v>20</v>
      </c>
      <c r="C39" s="4">
        <v>20</v>
      </c>
    </row>
    <row r="40" spans="1:6" x14ac:dyDescent="0.25">
      <c r="A40" s="6" t="s">
        <v>246</v>
      </c>
      <c r="B40" s="4">
        <v>14</v>
      </c>
      <c r="C40" s="4">
        <v>14</v>
      </c>
    </row>
    <row r="41" spans="1:6" x14ac:dyDescent="0.25">
      <c r="A41" s="6" t="s">
        <v>247</v>
      </c>
      <c r="B41" s="4">
        <v>17</v>
      </c>
      <c r="C41" s="4">
        <v>17</v>
      </c>
    </row>
    <row r="42" spans="1:6" x14ac:dyDescent="0.25">
      <c r="A42" s="6" t="s">
        <v>248</v>
      </c>
      <c r="B42" s="4">
        <v>13</v>
      </c>
      <c r="C42" s="4">
        <v>13</v>
      </c>
    </row>
    <row r="43" spans="1:6" x14ac:dyDescent="0.25">
      <c r="A43" s="6" t="s">
        <v>31</v>
      </c>
      <c r="B43" s="4">
        <v>200</v>
      </c>
      <c r="C43" s="4">
        <v>200</v>
      </c>
      <c r="E43" t="s">
        <v>252</v>
      </c>
      <c r="F43">
        <f>GETPIVOTDATA("ID_Orden",$A$29)</f>
        <v>200</v>
      </c>
    </row>
    <row r="44" spans="1:6" x14ac:dyDescent="0.25">
      <c r="A44" s="5" t="s">
        <v>7</v>
      </c>
      <c r="B44" t="s">
        <v>250</v>
      </c>
    </row>
    <row r="46" spans="1:6" x14ac:dyDescent="0.25">
      <c r="A46" s="5" t="s">
        <v>30</v>
      </c>
      <c r="B46" t="s">
        <v>249</v>
      </c>
    </row>
    <row r="47" spans="1:6" x14ac:dyDescent="0.25">
      <c r="A47" s="6" t="s">
        <v>22</v>
      </c>
      <c r="B47" s="4">
        <v>34</v>
      </c>
    </row>
    <row r="48" spans="1:6" x14ac:dyDescent="0.25">
      <c r="A48" s="6" t="s">
        <v>25</v>
      </c>
      <c r="B48" s="4">
        <v>36</v>
      </c>
    </row>
    <row r="49" spans="1:2" x14ac:dyDescent="0.25">
      <c r="A49" s="6" t="s">
        <v>26</v>
      </c>
      <c r="B49" s="4">
        <v>40</v>
      </c>
    </row>
    <row r="50" spans="1:2" x14ac:dyDescent="0.25">
      <c r="A50" s="6" t="s">
        <v>23</v>
      </c>
      <c r="B50" s="4">
        <v>44</v>
      </c>
    </row>
    <row r="51" spans="1:2" x14ac:dyDescent="0.25">
      <c r="A51" s="6" t="s">
        <v>24</v>
      </c>
      <c r="B51" s="4">
        <v>46</v>
      </c>
    </row>
    <row r="52" spans="1:2" x14ac:dyDescent="0.25">
      <c r="A52" s="6" t="s">
        <v>31</v>
      </c>
      <c r="B52" s="4">
        <v>200</v>
      </c>
    </row>
    <row r="55" spans="1:2" x14ac:dyDescent="0.25">
      <c r="A55" s="5" t="s">
        <v>30</v>
      </c>
      <c r="B55" t="s">
        <v>34</v>
      </c>
    </row>
    <row r="56" spans="1:2" x14ac:dyDescent="0.25">
      <c r="A56" s="6" t="s">
        <v>17</v>
      </c>
      <c r="B56" s="7">
        <v>1.5</v>
      </c>
    </row>
    <row r="57" spans="1:2" x14ac:dyDescent="0.25">
      <c r="A57" s="6" t="s">
        <v>9</v>
      </c>
      <c r="B57" s="7">
        <v>4.3809523809523814</v>
      </c>
    </row>
    <row r="58" spans="1:2" x14ac:dyDescent="0.25">
      <c r="A58" s="6" t="s">
        <v>10</v>
      </c>
      <c r="B58" s="7">
        <v>4.666666666666667</v>
      </c>
    </row>
    <row r="59" spans="1:2" x14ac:dyDescent="0.25">
      <c r="A59" s="6" t="s">
        <v>12</v>
      </c>
      <c r="B59" s="7">
        <v>4.9047619047619051</v>
      </c>
    </row>
    <row r="60" spans="1:2" x14ac:dyDescent="0.25">
      <c r="A60" s="6" t="s">
        <v>16</v>
      </c>
      <c r="B60" s="7">
        <v>4.95</v>
      </c>
    </row>
    <row r="61" spans="1:2" x14ac:dyDescent="0.25">
      <c r="A61" s="6" t="s">
        <v>31</v>
      </c>
      <c r="B61" s="7">
        <v>4.2577319587628866</v>
      </c>
    </row>
    <row r="66" spans="4:5" x14ac:dyDescent="0.25">
      <c r="D66" t="s">
        <v>253</v>
      </c>
      <c r="E66" s="7">
        <f>GETPIVOTDATA("Dias_Entrega",$A$55)</f>
        <v>4.2577319587628866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E6CE-252A-46BB-9424-B33A2BF2CB4B}">
  <dimension ref="A1"/>
  <sheetViews>
    <sheetView tabSelected="1" workbookViewId="0">
      <selection activeCell="L8" sqref="L8"/>
    </sheetView>
  </sheetViews>
  <sheetFormatPr baseColWidth="10" defaultRowHeight="15" x14ac:dyDescent="0.25"/>
  <cols>
    <col min="1" max="16384" width="11.42578125" style="8"/>
  </cols>
  <sheetData/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TD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Imanol Obispo</cp:lastModifiedBy>
  <dcterms:created xsi:type="dcterms:W3CDTF">2015-06-05T18:17:20Z</dcterms:created>
  <dcterms:modified xsi:type="dcterms:W3CDTF">2026-01-15T16:24:03Z</dcterms:modified>
</cp:coreProperties>
</file>