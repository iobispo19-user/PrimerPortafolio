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manol\Desktop\Portafolio\Segunda Dashboard\"/>
    </mc:Choice>
  </mc:AlternateContent>
  <xr:revisionPtr revIDLastSave="0" documentId="13_ncr:1_{60EDE0AF-B426-4F01-A9AA-E0C85A58BBE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D" sheetId="2" r:id="rId1"/>
    <sheet name="DASHBOARD" sheetId="3" r:id="rId2"/>
    <sheet name="TD" sheetId="1" r:id="rId3"/>
  </sheets>
  <definedNames>
    <definedName name="_xlchart.v5.0" hidden="1">TD!$D$89</definedName>
    <definedName name="_xlchart.v5.1" hidden="1">TD!$D$90:$D$95</definedName>
    <definedName name="_xlchart.v5.10" hidden="1">TD!$E$20</definedName>
    <definedName name="_xlchart.v5.11" hidden="1">TD!$E$21:$E$26</definedName>
    <definedName name="_xlchart.v5.12" hidden="1">TD!$D$89</definedName>
    <definedName name="_xlchart.v5.13" hidden="1">TD!$D$90:$D$95</definedName>
    <definedName name="_xlchart.v5.14" hidden="1">TD!$E$89</definedName>
    <definedName name="_xlchart.v5.15" hidden="1">TD!$E$90:$E$95</definedName>
    <definedName name="_xlchart.v5.2" hidden="1">TD!$E$89</definedName>
    <definedName name="_xlchart.v5.3" hidden="1">TD!$E$90:$E$95</definedName>
    <definedName name="_xlchart.v5.4" hidden="1">TD!$D$20</definedName>
    <definedName name="_xlchart.v5.5" hidden="1">TD!$D$21:$D$26</definedName>
    <definedName name="_xlchart.v5.6" hidden="1">TD!$E$20</definedName>
    <definedName name="_xlchart.v5.7" hidden="1">TD!$E$21:$E$26</definedName>
    <definedName name="_xlchart.v5.8" hidden="1">TD!$D$20</definedName>
    <definedName name="_xlchart.v5.9" hidden="1">TD!$D$21:$D$26</definedName>
    <definedName name="DatosExternos_1" localSheetId="0" hidden="1">BD!$A$1:$L$1195</definedName>
    <definedName name="NativeTimeline_Order_Date">#N/A</definedName>
    <definedName name="SegmentaciónDeDatos_Category">#N/A</definedName>
    <definedName name="SegmentaciónDeDatos_PaymentMode">#N/A</definedName>
    <definedName name="SegmentaciónDeDatos_State">#N/A</definedName>
    <definedName name="SegmentaciónDeDatos_Sub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1" i="1" l="1"/>
  <c r="A129" i="1"/>
  <c r="A127" i="1"/>
  <c r="B1196" i="2"/>
  <c r="D1196" i="2"/>
  <c r="C1196" i="2"/>
  <c r="D90" i="1" a="1"/>
  <c r="D90" i="1" s="1"/>
  <c r="D21" i="1" a="1"/>
  <c r="D21" i="1" s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BD37FE-91AF-41D3-93D6-301CEC64E0AB}" keepAlive="1" name="Consulta - Sales Dataset" description="Conexión a la consulta 'Sales Dataset' en el libro." type="5" refreshedVersion="8" background="1" saveData="1">
    <dbPr connection="Provider=Microsoft.Mashup.OleDb.1;Data Source=$Workbook$;Location=&quot;Sales Dataset&quot;;Extended Properties=&quot;&quot;" command="SELECT * FROM [Sales 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<sst xmlns="http://schemas.openxmlformats.org/spreadsheetml/2006/main" count="8453" uniqueCount="1425">
  <si>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</si>
  <si>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</si>
  <si>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</si>
  <si>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</si>
  <si>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</si>
  <si>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</si>
  <si>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</si>
  <si>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</si>
  <si>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</si>
  <si>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</si>
  <si>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</si>
  <si>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</si>
  <si>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</si>
  <si>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</si>
  <si>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</si>
  <si>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</si>
  <si>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</si>
  <si>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</si>
  <si>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</si>
  <si>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Connor Morgan</t>
  </si>
  <si>
    <t>Illinois</t>
  </si>
  <si>
    <t>Chicago</t>
  </si>
  <si>
    <t>Robert Stone</t>
  </si>
  <si>
    <t>New York</t>
  </si>
  <si>
    <t>Buffalo</t>
  </si>
  <si>
    <t>Printers</t>
  </si>
  <si>
    <t>B-26942</t>
  </si>
  <si>
    <t>Office Supplies</t>
  </si>
  <si>
    <t>Pens</t>
  </si>
  <si>
    <t>Debit Card</t>
  </si>
  <si>
    <t>John Fields</t>
  </si>
  <si>
    <t>Orlando</t>
  </si>
  <si>
    <t>Clayton Smith</t>
  </si>
  <si>
    <t>B-26640</t>
  </si>
  <si>
    <t>Laptops</t>
  </si>
  <si>
    <t>EMI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</si>
  <si>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</si>
  <si>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</si>
  <si>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</si>
  <si>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</si>
  <si>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</si>
  <si>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</si>
  <si>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</si>
  <si>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</si>
  <si>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</si>
  <si>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</si>
  <si>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B-25102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</si>
  <si>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</si>
  <si>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</si>
  <si>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</si>
  <si>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</si>
  <si>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</si>
  <si>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</si>
  <si>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</si>
  <si>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</si>
  <si>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</si>
  <si>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</si>
  <si>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</si>
  <si>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</si>
  <si>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</si>
  <si>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</si>
  <si>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</si>
  <si>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</si>
  <si>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</si>
  <si>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Ricardo Andrews</t>
  </si>
  <si>
    <t>San Diego</t>
  </si>
  <si>
    <t>B-25104</t>
  </si>
  <si>
    <t>Binders</t>
  </si>
  <si>
    <t>Paul Raymond</t>
  </si>
  <si>
    <t>B-25553</t>
  </si>
  <si>
    <t>Phones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</si>
  <si>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</si>
  <si>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</si>
  <si>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</si>
  <si>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</si>
  <si>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</si>
  <si>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</si>
  <si>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</si>
  <si>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</si>
  <si>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</si>
  <si>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</si>
  <si>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</si>
  <si>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Ohio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</si>
  <si>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</si>
  <si>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</si>
  <si>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</si>
  <si>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</si>
  <si>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</si>
  <si>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</si>
  <si>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</si>
  <si>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</si>
  <si>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</si>
  <si>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</si>
  <si>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</si>
  <si>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</si>
  <si>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</si>
  <si>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</si>
  <si>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</si>
  <si>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</si>
  <si>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</si>
  <si>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</si>
  <si>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</si>
  <si>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</si>
  <si>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</si>
  <si>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</si>
  <si>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</si>
  <si>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</si>
  <si>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B-25568</t>
  </si>
  <si>
    <t>Melissa Peck</t>
  </si>
  <si>
    <t>B-26730</t>
  </si>
  <si>
    <t>David Smith</t>
  </si>
  <si>
    <t>Houston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</si>
  <si>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</si>
  <si>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</si>
  <si>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</si>
  <si>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</si>
  <si>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</si>
  <si>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</si>
  <si>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</si>
  <si>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</si>
  <si>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</si>
  <si>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</si>
  <si>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</si>
  <si>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</si>
  <si>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</si>
  <si>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</si>
  <si>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</si>
  <si>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</si>
  <si>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</si>
  <si>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</si>
  <si>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</si>
  <si>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</si>
  <si>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</si>
  <si>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</si>
  <si>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</si>
  <si>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</si>
  <si>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</si>
  <si>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</si>
  <si>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</si>
  <si>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</si>
  <si>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</si>
  <si>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</si>
  <si>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</si>
  <si>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</si>
  <si>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</si>
  <si>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</si>
  <si>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</si>
  <si>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</si>
  <si>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</si>
  <si>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</si>
  <si>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</si>
  <si>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</si>
  <si>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</si>
  <si>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</si>
  <si>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</si>
  <si>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</si>
  <si>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</si>
  <si>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</si>
  <si>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</si>
  <si>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</si>
  <si>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</si>
  <si>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</si>
  <si>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</si>
  <si>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</si>
  <si>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</si>
  <si>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</si>
  <si>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</si>
  <si>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</si>
  <si>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</si>
  <si>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</si>
  <si>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</si>
  <si>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</si>
  <si>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</si>
  <si>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</si>
  <si>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</si>
  <si>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</si>
  <si>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</si>
  <si>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</si>
  <si>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</si>
  <si>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</si>
  <si>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</si>
  <si>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</si>
  <si>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</si>
  <si>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</si>
  <si>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</si>
  <si>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</si>
  <si>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</si>
  <si>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</si>
  <si>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</si>
  <si>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</si>
  <si>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</si>
  <si>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</si>
  <si>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</si>
  <si>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</si>
  <si>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</si>
  <si>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</si>
  <si>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</si>
  <si>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</si>
  <si>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</si>
  <si>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</si>
  <si>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</si>
  <si>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</si>
  <si>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</si>
  <si>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</si>
  <si>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</si>
  <si>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</si>
  <si>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</si>
  <si>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</si>
  <si>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</si>
  <si>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</si>
  <si>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</si>
  <si>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</si>
  <si>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</si>
  <si>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</si>
  <si>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</si>
  <si>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</si>
  <si>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</si>
  <si>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</si>
  <si>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</si>
  <si>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</si>
  <si>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</si>
  <si>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</si>
  <si>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</si>
  <si>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</si>
  <si>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</si>
  <si>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</si>
  <si>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</si>
  <si>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</si>
  <si>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</si>
  <si>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</si>
  <si>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</si>
  <si>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</si>
  <si>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</si>
  <si>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</si>
  <si>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</si>
  <si>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</si>
  <si>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</si>
  <si>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</si>
  <si>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</si>
  <si>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</si>
  <si>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</si>
  <si>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</si>
  <si>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</si>
  <si>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</si>
  <si>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</si>
  <si>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</si>
  <si>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</si>
  <si>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</si>
  <si>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</si>
  <si>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</si>
  <si>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</si>
  <si>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</si>
  <si>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</si>
  <si>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</si>
  <si>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</si>
  <si>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</si>
  <si>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</si>
  <si>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</si>
  <si>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</si>
  <si>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</si>
  <si>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</si>
  <si>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</si>
  <si>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</si>
  <si>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</si>
  <si>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</si>
  <si>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</si>
  <si>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</si>
  <si>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</si>
  <si>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</si>
  <si>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</si>
  <si>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</si>
  <si>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</si>
  <si>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</si>
  <si>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</si>
  <si>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</si>
  <si>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</si>
  <si>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</si>
  <si>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</si>
  <si>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</si>
  <si>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</si>
  <si>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</si>
  <si>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</si>
  <si>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</si>
  <si>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</si>
  <si>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</si>
  <si>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</si>
  <si>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</si>
  <si>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</si>
  <si>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</si>
  <si>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</si>
  <si>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</si>
  <si>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</si>
  <si>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</si>
  <si>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</si>
  <si>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</si>
  <si>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</si>
  <si>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</si>
  <si>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</si>
  <si>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</si>
  <si>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</si>
  <si>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</si>
  <si>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</si>
  <si>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</si>
  <si>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</si>
  <si>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</si>
  <si>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</si>
  <si>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</si>
  <si>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</si>
  <si>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</si>
  <si>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</si>
  <si>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</si>
  <si>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</si>
  <si>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</si>
  <si>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</si>
  <si>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</si>
  <si>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</si>
  <si>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</si>
  <si>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</si>
  <si>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</si>
  <si>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</si>
  <si>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</si>
  <si>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</si>
  <si>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</si>
  <si>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</si>
  <si>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</si>
  <si>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</si>
  <si>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</si>
  <si>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</si>
  <si>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</si>
  <si>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</si>
  <si>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</si>
  <si>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</si>
  <si>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</si>
  <si>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</si>
  <si>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</si>
  <si>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</si>
  <si>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</si>
  <si>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</si>
  <si>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</si>
  <si>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</si>
  <si>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</si>
  <si>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</si>
  <si>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</si>
  <si>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</si>
  <si>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</si>
  <si>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</si>
  <si>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</si>
  <si>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</si>
  <si>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</si>
  <si>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</si>
  <si>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</si>
  <si>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</si>
  <si>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</si>
  <si>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</si>
  <si>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</si>
  <si>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</si>
  <si>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</si>
  <si>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</si>
  <si>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</si>
  <si>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</si>
  <si>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</si>
  <si>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</si>
  <si>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</si>
  <si>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</si>
  <si>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</si>
  <si>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</si>
  <si>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</si>
  <si>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</si>
  <si>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</si>
  <si>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</si>
  <si>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</si>
  <si>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</si>
  <si>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</si>
  <si>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</si>
  <si>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</si>
  <si>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</si>
  <si>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</si>
  <si>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</si>
  <si>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</si>
  <si>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</si>
  <si>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</si>
  <si>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</si>
  <si>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</si>
  <si>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</si>
  <si>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</si>
  <si>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</si>
  <si>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</si>
  <si>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</si>
  <si>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</si>
  <si>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</si>
  <si>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</si>
  <si>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</si>
  <si>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</si>
  <si>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</si>
  <si>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</si>
  <si>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</si>
  <si>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</si>
  <si>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</si>
  <si>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</si>
  <si>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</si>
  <si>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</si>
  <si>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</si>
  <si>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</si>
  <si>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</si>
  <si>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</si>
  <si>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</si>
  <si>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</si>
  <si>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</si>
  <si>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</si>
  <si>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</si>
  <si>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</si>
  <si>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</si>
  <si>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</si>
  <si>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</si>
  <si>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</si>
  <si>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</si>
  <si>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</si>
  <si>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</si>
  <si>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</si>
  <si>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</si>
  <si>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</si>
  <si>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</si>
  <si>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</si>
  <si>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</si>
  <si>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</si>
  <si>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</si>
  <si>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</si>
  <si>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</si>
  <si>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</si>
  <si>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</si>
  <si>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</si>
  <si>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</si>
  <si>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</si>
  <si>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</si>
  <si>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</si>
  <si>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</si>
  <si>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</si>
  <si>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</si>
  <si>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</si>
  <si>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</si>
  <si>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</si>
  <si>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</si>
  <si>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</si>
  <si>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</si>
  <si>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</si>
  <si>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</si>
  <si>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</si>
  <si>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</si>
  <si>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</si>
  <si>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</si>
  <si>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</si>
  <si>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</si>
  <si>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</si>
  <si>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</si>
  <si>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</si>
  <si>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</si>
  <si>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</si>
  <si>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</si>
  <si>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</si>
  <si>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</si>
  <si>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</si>
  <si>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</si>
  <si>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</si>
  <si>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</si>
  <si>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</si>
  <si>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</si>
  <si>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</si>
  <si>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</si>
  <si>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</si>
  <si>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</si>
  <si>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</si>
  <si>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</si>
  <si>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</si>
  <si>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</si>
  <si>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</si>
  <si>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</si>
  <si>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</si>
  <si>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</si>
  <si>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</si>
  <si>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</si>
  <si>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</si>
  <si>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</si>
  <si>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</si>
  <si>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</si>
  <si>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</si>
  <si>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</si>
  <si>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</si>
  <si>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</si>
  <si>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</si>
  <si>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</si>
  <si>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</si>
  <si>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</si>
  <si>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</si>
  <si>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</si>
  <si>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</si>
  <si>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</si>
  <si>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</si>
  <si>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</si>
  <si>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</si>
  <si>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</si>
  <si>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</si>
  <si>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</si>
  <si>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</si>
  <si>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</si>
  <si>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</si>
  <si>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</si>
  <si>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</si>
  <si>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</si>
  <si>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</si>
  <si>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</si>
  <si>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</si>
  <si>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</si>
  <si>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</si>
  <si>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</si>
  <si>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</si>
  <si>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</si>
  <si>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</si>
  <si>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</si>
  <si>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</si>
  <si>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</si>
  <si>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</si>
  <si>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</si>
  <si>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</si>
  <si>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</si>
  <si>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</si>
  <si>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</si>
  <si>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</si>
  <si>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</si>
  <si>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</si>
  <si>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</si>
  <si>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</si>
  <si>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</si>
  <si>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</si>
  <si>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</si>
  <si>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</si>
  <si>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</si>
  <si>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</si>
  <si>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</si>
  <si>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</si>
  <si>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</si>
  <si>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</si>
  <si>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</si>
  <si>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</si>
  <si>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</si>
  <si>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</si>
  <si>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</si>
  <si>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</si>
  <si>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</si>
  <si>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</si>
  <si>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</si>
  <si>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</si>
  <si>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</si>
  <si>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</si>
  <si>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</si>
  <si>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</si>
  <si>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</si>
  <si>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</si>
  <si>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</si>
  <si>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</si>
  <si>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</si>
  <si>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</si>
  <si>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</si>
  <si>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</si>
  <si>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</si>
  <si>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</si>
  <si>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</si>
  <si>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</si>
  <si>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</si>
  <si>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</si>
  <si>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</si>
  <si>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</si>
  <si>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</si>
  <si>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</si>
  <si>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</si>
  <si>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</si>
  <si>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</si>
  <si>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</si>
  <si>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</si>
  <si>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</si>
  <si>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</si>
  <si>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</si>
  <si>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</si>
  <si>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</si>
  <si>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</si>
  <si>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</si>
  <si>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</si>
  <si>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</si>
  <si>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</si>
  <si>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</si>
  <si>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</si>
  <si>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</si>
  <si>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</si>
  <si>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</si>
  <si>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</si>
  <si>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</si>
  <si>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</si>
  <si>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</si>
  <si>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</si>
  <si>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</si>
  <si>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</si>
  <si>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</si>
  <si>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</si>
  <si>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</si>
  <si>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</si>
  <si>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</si>
  <si>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</si>
  <si>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</si>
  <si>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</si>
  <si>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</si>
  <si>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</si>
  <si>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</si>
  <si>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</si>
  <si>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</si>
  <si>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</si>
  <si>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</si>
  <si>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</si>
  <si>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</si>
  <si>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</si>
  <si>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</si>
  <si>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</si>
  <si>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</si>
  <si>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</si>
  <si>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</si>
  <si>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</si>
  <si>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</si>
  <si>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</si>
  <si>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</si>
  <si>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</si>
  <si>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</si>
  <si>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</si>
  <si>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</si>
  <si>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</si>
  <si>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</si>
  <si>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</si>
  <si>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</si>
  <si>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</si>
  <si>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</si>
  <si>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</si>
  <si>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</si>
  <si>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</si>
  <si>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</si>
  <si>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</si>
  <si>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</si>
  <si>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</si>
  <si>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</si>
  <si>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</si>
  <si>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</si>
  <si>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</si>
  <si>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</si>
  <si>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</si>
  <si>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</si>
  <si>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</si>
  <si>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</si>
  <si>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</si>
  <si>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</si>
  <si>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</si>
  <si>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</si>
  <si>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</si>
  <si>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</si>
  <si>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</si>
  <si>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</si>
  <si>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</si>
  <si>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</si>
  <si>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</si>
  <si>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</si>
  <si>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</si>
  <si>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</si>
  <si>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</si>
  <si>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</si>
  <si>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</si>
  <si>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</si>
  <si>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</si>
  <si>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</si>
  <si>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</si>
  <si>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</si>
  <si>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</si>
  <si>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</si>
  <si>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</si>
  <si>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</si>
  <si>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</si>
  <si>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</si>
  <si>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</si>
  <si>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</si>
  <si>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</si>
  <si>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</si>
  <si>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</si>
  <si>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</si>
  <si>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</si>
  <si>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</si>
  <si>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</si>
  <si>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</si>
  <si>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</si>
  <si>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</si>
  <si>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</si>
  <si>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</si>
  <si>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</si>
  <si>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</si>
  <si>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</si>
  <si>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</si>
  <si>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</si>
  <si>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</si>
  <si>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</si>
  <si>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</si>
  <si>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</si>
  <si>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</si>
  <si>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</si>
  <si>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</si>
  <si>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</si>
  <si>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</si>
  <si>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</si>
  <si>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</si>
  <si>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</si>
  <si>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</si>
  <si>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</si>
  <si>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</si>
  <si>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</si>
  <si>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</si>
  <si>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</si>
  <si>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</si>
  <si>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</si>
  <si>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</si>
  <si>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</si>
  <si>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</si>
  <si>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</si>
  <si>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</si>
  <si>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</si>
  <si>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</si>
  <si>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</si>
  <si>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</si>
  <si>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</si>
  <si>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</si>
  <si>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</si>
  <si>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</si>
  <si>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</si>
  <si>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</si>
  <si>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</si>
  <si>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</si>
  <si>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</si>
  <si>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</si>
  <si>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</si>
  <si>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</si>
  <si>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</si>
  <si>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</si>
  <si>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</si>
  <si>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</si>
  <si>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</si>
  <si>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</si>
  <si>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</si>
  <si>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</si>
  <si>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</si>
  <si>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</si>
  <si>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</si>
  <si>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</si>
  <si>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</si>
  <si>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</si>
  <si>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</si>
  <si>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</si>
  <si>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</si>
  <si>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</si>
  <si>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</si>
  <si>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</si>
  <si>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</si>
  <si>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</si>
  <si>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</si>
  <si>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</si>
  <si>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</si>
  <si>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</si>
  <si>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</si>
  <si>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</si>
  <si>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</si>
  <si>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</si>
  <si>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</si>
  <si>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</si>
  <si>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</si>
  <si>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</si>
  <si>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</si>
  <si>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</si>
  <si>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</si>
  <si>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</si>
  <si>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</si>
  <si>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</si>
  <si>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</si>
  <si>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</si>
  <si>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</si>
  <si>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</si>
  <si>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</si>
  <si>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</si>
  <si>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</si>
  <si>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</si>
  <si>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</si>
  <si>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</si>
  <si>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</si>
  <si>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</si>
  <si>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</si>
  <si>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</si>
  <si>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</si>
  <si>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</si>
  <si>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</si>
  <si>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</si>
  <si>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</si>
  <si>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</si>
  <si>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</si>
  <si>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</si>
  <si>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</si>
  <si>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</si>
  <si>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</si>
  <si>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</si>
  <si>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</si>
  <si>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</si>
  <si>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</si>
  <si>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</si>
  <si>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</si>
  <si>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</si>
  <si>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</si>
  <si>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</si>
  <si>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</si>
  <si>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</si>
  <si>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</si>
  <si>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</si>
  <si>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</si>
  <si>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</si>
  <si>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</si>
  <si>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</si>
  <si>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</si>
  <si>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</si>
  <si>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</si>
  <si>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</si>
  <si>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</si>
  <si>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</si>
  <si>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</si>
  <si>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</si>
  <si>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</si>
  <si>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</si>
  <si>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</si>
  <si>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</si>
  <si>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</si>
  <si>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</si>
  <si>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</si>
  <si>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</si>
  <si>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</si>
  <si>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</si>
  <si>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</si>
  <si>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</si>
  <si>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</si>
  <si>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</si>
  <si>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</si>
  <si>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</si>
  <si>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</si>
  <si>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</si>
  <si>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</si>
  <si>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</si>
  <si>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</si>
  <si>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</si>
  <si>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</si>
  <si>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</si>
  <si>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</si>
  <si>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</si>
  <si>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</si>
  <si>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</si>
  <si>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</si>
  <si>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</si>
  <si>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</si>
  <si>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</si>
  <si>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</si>
  <si>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</si>
  <si>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</si>
  <si>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</si>
  <si>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</si>
  <si>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</si>
  <si>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</si>
  <si>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</si>
  <si>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</si>
  <si>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</si>
  <si>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</si>
  <si>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</si>
  <si>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</si>
  <si>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</si>
  <si>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</si>
  <si>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</si>
  <si>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</si>
  <si>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</si>
  <si>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</si>
  <si>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</si>
  <si>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</si>
  <si>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</si>
  <si>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</si>
  <si>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</si>
  <si>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</si>
  <si>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</si>
  <si>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</si>
  <si>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</si>
  <si>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</si>
  <si>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</si>
  <si>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</si>
  <si>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</si>
  <si>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</si>
  <si>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</si>
  <si>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</si>
  <si>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</si>
  <si>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</si>
  <si>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</si>
  <si>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</si>
  <si>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</si>
  <si>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</si>
  <si>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</si>
  <si>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</si>
  <si>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</si>
  <si>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</si>
  <si>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</si>
  <si>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</si>
  <si>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</si>
  <si>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</si>
  <si>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</si>
  <si>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</si>
  <si>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</si>
  <si>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</si>
  <si>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</si>
  <si>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</si>
  <si>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</si>
  <si>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</si>
  <si>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</si>
  <si>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</si>
  <si>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</si>
  <si>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</si>
  <si>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</si>
  <si>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</si>
  <si>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</si>
  <si>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</si>
  <si>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</si>
  <si>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</si>
  <si>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</si>
  <si>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</si>
  <si>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</si>
  <si>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</si>
  <si>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</si>
  <si>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</si>
  <si>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</si>
  <si>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</si>
  <si>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</si>
  <si>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</si>
  <si>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</si>
  <si>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</si>
  <si>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</si>
  <si>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</si>
  <si>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</si>
  <si>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</si>
  <si>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</si>
  <si>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</si>
  <si>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</si>
  <si>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</si>
  <si>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</si>
  <si>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</si>
  <si>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</si>
  <si>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</si>
  <si>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</si>
  <si>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</si>
  <si>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</si>
  <si>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</si>
  <si>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</si>
  <si>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</si>
  <si>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</si>
  <si>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</si>
  <si>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</si>
  <si>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</si>
  <si>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</si>
  <si>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</si>
  <si>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</si>
  <si>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</si>
  <si>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</si>
  <si>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</si>
  <si>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</si>
  <si>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</si>
  <si>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</si>
  <si>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</si>
  <si>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</si>
  <si>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</si>
  <si>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</si>
  <si>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</si>
  <si>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</si>
  <si>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</si>
  <si>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</si>
  <si>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</si>
  <si>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</si>
  <si>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</si>
  <si>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</si>
  <si>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</si>
  <si>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</si>
  <si>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</si>
  <si>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</si>
  <si>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</si>
  <si>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</si>
  <si>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</si>
  <si>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</si>
  <si>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</si>
  <si>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</si>
  <si>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</si>
  <si>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</si>
  <si>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</si>
  <si>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</si>
  <si>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</si>
  <si>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</si>
  <si>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</si>
  <si>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</si>
  <si>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</si>
  <si>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</si>
  <si>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</si>
  <si>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</si>
  <si>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</si>
  <si>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</si>
  <si>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</si>
  <si>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</si>
  <si>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</si>
  <si>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</si>
  <si>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</si>
  <si>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</si>
  <si>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</si>
  <si>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</si>
  <si>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</si>
  <si>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</si>
  <si>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</si>
  <si>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</si>
  <si>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</si>
  <si>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</si>
  <si>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</si>
  <si>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</si>
  <si>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</si>
  <si>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</si>
  <si>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</si>
  <si>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</si>
  <si>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</si>
  <si>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</si>
  <si>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</si>
  <si>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</si>
  <si>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</si>
  <si>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</si>
  <si>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</si>
  <si>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</si>
  <si>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</si>
  <si>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</si>
  <si>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</si>
  <si>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</si>
  <si>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</si>
  <si>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</si>
  <si>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</si>
  <si>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</si>
  <si>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</si>
  <si>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</si>
  <si>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</si>
  <si>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</si>
  <si>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</si>
  <si>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</si>
  <si>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</si>
  <si>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</si>
  <si>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</si>
  <si>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</si>
  <si>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</si>
  <si>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</si>
  <si>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</si>
  <si>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</si>
  <si>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</si>
  <si>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</si>
  <si>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</si>
  <si>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</si>
  <si>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</si>
  <si>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</si>
  <si>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</si>
  <si>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</si>
  <si>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</si>
  <si>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</si>
  <si>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</si>
  <si>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</si>
  <si>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</si>
  <si>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</si>
  <si>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</si>
  <si>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</si>
  <si>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</si>
  <si>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</si>
  <si>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</si>
  <si>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</si>
  <si>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</si>
  <si>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</si>
  <si>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</si>
  <si>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</si>
  <si>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</si>
  <si>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</si>
  <si>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</si>
  <si>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</si>
  <si>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</si>
  <si>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</si>
  <si>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</si>
  <si>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</si>
  <si>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</si>
  <si>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</si>
  <si>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</si>
  <si>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</si>
  <si>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</si>
  <si>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</si>
  <si>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</si>
  <si>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</si>
  <si>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</si>
  <si>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</si>
  <si>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</si>
  <si>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</si>
  <si>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</si>
  <si>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</si>
  <si>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</si>
  <si>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</si>
  <si>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</si>
  <si>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</si>
  <si>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</si>
  <si>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</si>
  <si>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</si>
  <si>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</si>
  <si>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</si>
  <si>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</si>
  <si>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</si>
  <si>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</si>
  <si>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</si>
  <si>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</si>
  <si>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</si>
  <si>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</si>
  <si>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</si>
  <si>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</si>
  <si>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</si>
  <si>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</si>
  <si>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</si>
  <si>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</si>
  <si>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</si>
  <si>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</si>
  <si>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</si>
  <si>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</si>
  <si>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</si>
  <si>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</si>
  <si>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</si>
  <si>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</si>
  <si>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</si>
  <si>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</si>
  <si>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</si>
  <si>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</si>
  <si>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</si>
  <si>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</si>
  <si>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</si>
  <si>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</si>
  <si>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</si>
  <si>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</si>
  <si>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</si>
  <si>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</si>
  <si>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</si>
  <si>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</si>
  <si>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</si>
  <si>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</si>
  <si>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</si>
  <si>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</si>
  <si>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</si>
  <si>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</si>
  <si>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</si>
  <si>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</si>
  <si>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</si>
  <si>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</si>
  <si>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</si>
  <si>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</si>
  <si>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</si>
  <si>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</si>
  <si>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</si>
  <si>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</si>
  <si>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</si>
  <si>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</si>
  <si>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</si>
  <si>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</si>
  <si>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</si>
  <si>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</si>
  <si>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</si>
  <si>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</si>
  <si>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</si>
  <si>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</si>
  <si>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</si>
  <si>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</si>
  <si>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</si>
  <si>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</si>
  <si>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</si>
  <si>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</si>
  <si>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</si>
  <si>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</si>
  <si>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</si>
  <si>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</si>
  <si>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</si>
  <si>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</si>
  <si>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</si>
  <si>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</si>
  <si>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</si>
  <si>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</si>
  <si>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</si>
  <si>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</si>
  <si>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</si>
  <si>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</si>
  <si>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</si>
  <si>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</si>
  <si>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</si>
  <si>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</si>
  <si>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</si>
  <si>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</si>
  <si>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</si>
  <si>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</si>
  <si>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</si>
  <si>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</si>
  <si>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</si>
  <si>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</si>
  <si>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</si>
  <si>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</si>
  <si>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</si>
  <si>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</si>
  <si>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</si>
  <si>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</si>
  <si>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</si>
  <si>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</si>
  <si>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</si>
  <si>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</si>
  <si>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</si>
  <si>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</si>
  <si>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</si>
  <si>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</si>
  <si>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</si>
  <si>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</si>
  <si>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</si>
  <si>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</si>
  <si>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</si>
  <si>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</si>
  <si>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</si>
  <si>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</si>
  <si>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</si>
  <si>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</si>
  <si>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</si>
  <si>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</si>
  <si>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</si>
  <si>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</si>
  <si>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</si>
  <si>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</si>
  <si>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</si>
  <si>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</si>
  <si>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</si>
  <si>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</si>
  <si>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</si>
  <si>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</si>
  <si>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</si>
  <si>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</si>
  <si>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</si>
  <si>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</si>
  <si>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</si>
  <si>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</si>
  <si>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</si>
  <si>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</si>
  <si>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</si>
  <si>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</si>
  <si>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</si>
  <si>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</si>
  <si>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</si>
  <si>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</si>
  <si>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</si>
  <si>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</si>
  <si>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</si>
  <si>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</si>
  <si>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</si>
  <si>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</si>
  <si>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</si>
  <si>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</si>
  <si>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</si>
  <si>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</si>
  <si>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</si>
  <si>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</si>
  <si>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</si>
  <si>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</si>
  <si>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</si>
  <si>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</si>
  <si>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</si>
  <si>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</si>
  <si>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</si>
  <si>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</si>
  <si>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</si>
  <si>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</si>
  <si>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</si>
  <si>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</si>
  <si>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</si>
  <si>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</si>
  <si>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</si>
  <si>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</si>
  <si>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</si>
  <si>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</si>
  <si>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</si>
  <si>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</si>
  <si>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</si>
  <si>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</si>
  <si>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</si>
  <si>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</si>
  <si>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</si>
  <si>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</si>
  <si>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</si>
  <si>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</si>
  <si>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</si>
  <si>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</si>
  <si>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</si>
  <si>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</si>
  <si>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</si>
  <si>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</si>
  <si>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</si>
  <si>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</si>
  <si>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</si>
  <si>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</si>
  <si>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</si>
  <si>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</si>
  <si>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</si>
  <si>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</si>
  <si>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</si>
  <si>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</si>
  <si>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</si>
  <si>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</si>
  <si>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</si>
  <si>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</si>
  <si>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</si>
  <si>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</si>
  <si>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</si>
  <si>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</si>
  <si>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</si>
  <si>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</si>
  <si>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</si>
  <si>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</si>
  <si>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</si>
  <si>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</si>
  <si>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</si>
  <si>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</si>
  <si>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</si>
  <si>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</si>
  <si>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</si>
  <si>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</si>
  <si>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</si>
  <si>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</si>
  <si>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</si>
  <si>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</si>
  <si>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</si>
  <si>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</si>
  <si>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</si>
  <si>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</si>
  <si>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</si>
  <si>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</si>
  <si>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</si>
  <si>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</si>
  <si>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</si>
  <si>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</si>
  <si>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</si>
  <si>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</si>
  <si>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</si>
  <si>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</si>
  <si>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</si>
  <si>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</si>
  <si>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</si>
  <si>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</si>
  <si>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</si>
  <si>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</si>
  <si>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</si>
  <si>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</si>
  <si>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</si>
  <si>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</si>
  <si>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</si>
  <si>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</si>
  <si>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</si>
  <si>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</si>
  <si>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</si>
  <si>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</si>
  <si>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</si>
  <si>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</si>
  <si>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</si>
  <si>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</si>
  <si>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</si>
  <si>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</si>
  <si>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</si>
  <si>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</si>
  <si>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</si>
  <si>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</si>
  <si>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</si>
  <si>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</si>
  <si>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</si>
  <si>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</si>
  <si>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</si>
  <si>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</si>
  <si>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</si>
  <si>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</si>
  <si>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</si>
  <si>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</si>
  <si>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</si>
  <si>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</si>
  <si>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</si>
  <si>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</si>
  <si>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</si>
  <si>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</si>
  <si>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</si>
  <si>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</si>
  <si>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</si>
  <si>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</si>
  <si>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</si>
  <si>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</si>
  <si>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</si>
  <si>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</si>
  <si>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</si>
  <si>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</si>
  <si>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</si>
  <si>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</si>
  <si>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Etiquetas de fila</t>
  </si>
  <si>
    <t>Total general</t>
  </si>
  <si>
    <t>Suma de Amount</t>
  </si>
  <si>
    <t>Suma de Profit</t>
  </si>
  <si>
    <t>2020</t>
  </si>
  <si>
    <t>2021</t>
  </si>
  <si>
    <t>2022</t>
  </si>
  <si>
    <t>2023</t>
  </si>
  <si>
    <t>2024</t>
  </si>
  <si>
    <t>Margen %</t>
  </si>
  <si>
    <t>Margen de Ganancia</t>
  </si>
  <si>
    <t>Suma de Quantity</t>
  </si>
  <si>
    <t>Cuenta de Order ID</t>
  </si>
  <si>
    <t>Suma de Profit %</t>
  </si>
  <si>
    <t>Abr</t>
  </si>
  <si>
    <t>Ago</t>
  </si>
  <si>
    <t>Dic</t>
  </si>
  <si>
    <t xml:space="preserve"> </t>
  </si>
  <si>
    <t xml:space="preserve">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</si>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</sst>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$-409]* #,##0.00_ ;_-[$$-409]* \-#,##0.00\ ;_-[$$-409]* &quot;-&quot;?_ ;_-@_ "/>
    <numFmt numFmtId="165" formatCode="_-[$$-409]* #,##0.00_ ;_-[$$-409]* \-#,##0.00\ ;_-[$$-409]* &quot;-&quot;??_ ;_-@_ 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2" fillId="0" borderId="0" xfId="0" applyNumberFormat="1" applyFont="1"/>
    <xf numFmtId="0" fontId="2" fillId="0" borderId="0" xfId="0" applyFont="1" applyAlignment="1"/>
    <xf numFmtId="0" fontId="0" fillId="2" borderId="0" xfId="0" applyFill="1"/>
    <xf numFmtId="0" fontId="3" fillId="2" borderId="0" xfId="0" applyFont="1" applyFill="1"/>
    <xf numFmtId="9" fontId="0" fillId="0" borderId="0" xfId="0" applyNumberFormat="1"/>
    <xf numFmtId="164" fontId="0" fillId="2" borderId="0" xfId="0" applyNumberFormat="1" applyFill="1"/>
  </cellXfs>
  <cellStyles count="2">
    <cellStyle name="Normal" xfId="0" builtinId="0"/>
    <cellStyle name="Porcentaje" xfId="1" builtinId="5"/>
  </cellStyles>
  <dxfs count="25">
    <dxf>
      <numFmt numFmtId="14" formatCode="0.00%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0.0%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3" formatCode="0%"/>
    </dxf>
    <dxf>
      <numFmt numFmtId="167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64" formatCode="_-[$$-409]* #,##0.00_ ;_-[$$-409]* \-#,##0.00\ ;_-[$$-409]* &quot;-&quot;?_ ;_-@_ "/>
    </dxf>
    <dxf>
      <numFmt numFmtId="0" formatCode="General"/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color theme="1"/>
        <name val="Arial Black"/>
        <family val="2"/>
        <scheme val="none"/>
      </font>
      <fill>
        <patternFill patternType="solid">
          <bgColor theme="0"/>
        </patternFill>
      </fill>
      <border diagonalUp="0" diagonalDown="0">
        <left/>
        <right/>
        <top/>
        <bottom style="thin">
          <color theme="1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53AD47B6-9289-4AF2-B3DE-E5D1FF61EF1E}">
      <tableStyleElement type="wholeTable" dxfId="24"/>
      <tableStyleElement type="headerRow" dxfId="23"/>
    </tableStyle>
    <tableStyle name="TimeSlicerStyleLight5 2" pivot="0" table="0" count="9" xr9:uid="{3B0CEADB-398A-4F51-A9EB-10460A4DEF55}">
      <tableStyleElement type="wholeTable" dxfId="22"/>
      <tableStyleElement type="headerRow" dxfId="2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2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8" tint="0.39997558519241921"/>
              <bgColor theme="8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8" tint="0.59999389629810485"/>
              </stop>
              <stop position="1">
                <color theme="8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8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5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onnections" Target="connections.xml"/><Relationship Id="rId5" Type="http://schemas.microsoft.com/office/2007/relationships/slicerCache" Target="slicerCaches/slicerCache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 Black" panose="020B0A04020102020204" pitchFamily="34" charset="0"/>
              </a:rPr>
              <a:t>Profit</a:t>
            </a:r>
            <a:r>
              <a:rPr lang="en-US" sz="1800" b="1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por Año y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solidFill>
                <a:srgbClr val="00206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TD!$A$31:$A$51</c:f>
              <c:multiLvlStrCache>
                <c:ptCount val="15"/>
                <c:lvl>
                  <c:pt idx="0">
                    <c:v>Abr</c:v>
                  </c:pt>
                  <c:pt idx="1">
                    <c:v>Ago</c:v>
                  </c:pt>
                  <c:pt idx="2">
                    <c:v>Dic</c:v>
                  </c:pt>
                  <c:pt idx="3">
                    <c:v>Abr</c:v>
                  </c:pt>
                  <c:pt idx="4">
                    <c:v>Ago</c:v>
                  </c:pt>
                  <c:pt idx="5">
                    <c:v>Dic</c:v>
                  </c:pt>
                  <c:pt idx="6">
                    <c:v>Abr</c:v>
                  </c:pt>
                  <c:pt idx="7">
                    <c:v>Ago</c:v>
                  </c:pt>
                  <c:pt idx="8">
                    <c:v>Dic</c:v>
                  </c:pt>
                  <c:pt idx="9">
                    <c:v>Abr</c:v>
                  </c:pt>
                  <c:pt idx="10">
                    <c:v>Ago</c:v>
                  </c:pt>
                  <c:pt idx="11">
                    <c:v>Dic</c:v>
                  </c:pt>
                  <c:pt idx="12">
                    <c:v>Abr</c:v>
                  </c:pt>
                  <c:pt idx="13">
                    <c:v>Ago</c:v>
                  </c:pt>
                  <c:pt idx="14">
                    <c:v>Dic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6">
                    <c:v>2022</c:v>
                  </c:pt>
                  <c:pt idx="9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TD!$B$31:$B$51</c:f>
              <c:numCache>
                <c:formatCode>_-[$$-409]* #,##0.00_ ;_-[$$-409]* \-#,##0.00\ ;_-[$$-409]* "-"??_ ;_-@_ </c:formatCode>
                <c:ptCount val="15"/>
                <c:pt idx="0">
                  <c:v>36156</c:v>
                </c:pt>
                <c:pt idx="1">
                  <c:v>27824</c:v>
                </c:pt>
                <c:pt idx="2">
                  <c:v>24509</c:v>
                </c:pt>
                <c:pt idx="3">
                  <c:v>18777</c:v>
                </c:pt>
                <c:pt idx="4">
                  <c:v>15947</c:v>
                </c:pt>
                <c:pt idx="5">
                  <c:v>32807</c:v>
                </c:pt>
                <c:pt idx="6">
                  <c:v>28156</c:v>
                </c:pt>
                <c:pt idx="7">
                  <c:v>58918</c:v>
                </c:pt>
                <c:pt idx="8">
                  <c:v>48915</c:v>
                </c:pt>
                <c:pt idx="9">
                  <c:v>22102</c:v>
                </c:pt>
                <c:pt idx="10">
                  <c:v>19758</c:v>
                </c:pt>
                <c:pt idx="11">
                  <c:v>32604</c:v>
                </c:pt>
                <c:pt idx="12">
                  <c:v>34182</c:v>
                </c:pt>
                <c:pt idx="13">
                  <c:v>20842</c:v>
                </c:pt>
                <c:pt idx="14">
                  <c:v>20981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A-4CEF-A32F-7782F4D436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4820896"/>
        <c:axId val="1714823776"/>
      </c:lineChart>
      <c:catAx>
        <c:axId val="171482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4823776"/>
        <c:crosses val="autoZero"/>
        <c:auto val="1"/>
        <c:lblAlgn val="ctr"/>
        <c:lblOffset val="100"/>
        <c:noMultiLvlLbl val="0"/>
      </c:catAx>
      <c:valAx>
        <c:axId val="17148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4820896"/>
        <c:crosses val="autoZero"/>
        <c:crossBetween val="between"/>
      </c:valAx>
      <c:spPr>
        <a:gradFill flip="none" rotWithShape="1">
          <a:gsLst>
            <a:gs pos="42000">
              <a:schemeClr val="bg1"/>
            </a:gs>
            <a:gs pos="100000">
              <a:schemeClr val="accent1">
                <a:lumMod val="40000"/>
                <a:lumOff val="60000"/>
              </a:schemeClr>
            </a:gs>
          </a:gsLst>
          <a:lin ang="5400000" scaled="1"/>
          <a:tileRect/>
        </a:gra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24078182942122"/>
          <c:y val="0.12962964182444256"/>
          <c:w val="0.52045645864437984"/>
          <c:h val="0.824707271442560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TD!$B$1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TD!$B$2:$B$17</c:f>
              <c:numCache>
                <c:formatCode>_-[$$-409]* #,##0.00_ ;_-[$$-409]* \-#,##0.00\ ;_-[$$-409]* "-"??_ ;_-@_ </c:formatCode>
                <c:ptCount val="12"/>
                <c:pt idx="0">
                  <c:v>565092</c:v>
                </c:pt>
                <c:pt idx="1">
                  <c:v>419950</c:v>
                </c:pt>
                <c:pt idx="2">
                  <c:v>503055</c:v>
                </c:pt>
                <c:pt idx="3">
                  <c:v>566359</c:v>
                </c:pt>
                <c:pt idx="4">
                  <c:v>384611</c:v>
                </c:pt>
                <c:pt idx="5">
                  <c:v>627875</c:v>
                </c:pt>
                <c:pt idx="6">
                  <c:v>524755</c:v>
                </c:pt>
                <c:pt idx="7">
                  <c:v>552269</c:v>
                </c:pt>
                <c:pt idx="8">
                  <c:v>413165</c:v>
                </c:pt>
                <c:pt idx="9">
                  <c:v>431964</c:v>
                </c:pt>
                <c:pt idx="10">
                  <c:v>568367</c:v>
                </c:pt>
                <c:pt idx="11">
                  <c:v>625177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E-4FA7-AC9F-5E7CB334E586}"/>
            </c:ext>
          </c:extLst>
        </c:ser>
        <c:ser>
          <c:idx val="1"/>
          <c:order val="1"/>
          <c:tx>
            <c:strRef>
              <c:f>TD!$C$1</c:f>
              <c:strCache>
                <c:ptCount val="1"/>
                <c:pt idx="0">
                  <c:v>Suma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TD!$C$2:$C$17</c:f>
              <c:numCache>
                <c:formatCode>_-[$$-409]* #,##0.00_ ;_-[$$-409]* \-#,##0.00\ ;_-[$$-409]* "-"??_ ;_-@_ </c:formatCode>
                <c:ptCount val="12"/>
                <c:pt idx="0">
                  <c:v>148454</c:v>
                </c:pt>
                <c:pt idx="1">
                  <c:v>110260</c:v>
                </c:pt>
                <c:pt idx="2">
                  <c:v>113607</c:v>
                </c:pt>
                <c:pt idx="3">
                  <c:v>146259</c:v>
                </c:pt>
                <c:pt idx="4">
                  <c:v>97257</c:v>
                </c:pt>
                <c:pt idx="5">
                  <c:v>174749</c:v>
                </c:pt>
                <c:pt idx="6">
                  <c:v>149723</c:v>
                </c:pt>
                <c:pt idx="7">
                  <c:v>129846</c:v>
                </c:pt>
                <c:pt idx="8">
                  <c:v>118000</c:v>
                </c:pt>
                <c:pt idx="9">
                  <c:v>122892</c:v>
                </c:pt>
                <c:pt idx="10">
                  <c:v>142854</c:v>
                </c:pt>
                <c:pt idx="11">
                  <c:v>156796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E-4FA7-AC9F-5E7CB334E586}"/>
            </c:ext>
          </c:extLst>
        </c:ser>
        <c:ser>
          <c:idx val="2"/>
          <c:order val="2"/>
          <c:tx>
            <c:strRef>
              <c:f>TD!$D$1</c:f>
              <c:strCache>
                <c:ptCount val="1"/>
                <c:pt idx="0">
                  <c:v>Margen de Ganancia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TD!$D$2:$D$17</c:f>
              <c:numCache>
                <c:formatCode>0.0%</c:formatCode>
                <c:ptCount val="12"/>
                <c:pt idx="0">
                  <c:v>0.26270766530051742</c:v>
                </c:pt>
                <c:pt idx="1">
                  <c:v>0.26255506607929513</c:v>
                </c:pt>
                <c:pt idx="2">
                  <c:v>0.22583415332319529</c:v>
                </c:pt>
                <c:pt idx="3">
                  <c:v>0.25824432912693185</c:v>
                </c:pt>
                <c:pt idx="4">
                  <c:v>0.25287108273034314</c:v>
                </c:pt>
                <c:pt idx="5">
                  <c:v>0.27831813657176985</c:v>
                </c:pt>
                <c:pt idx="6">
                  <c:v>0.28531981591409322</c:v>
                </c:pt>
                <c:pt idx="7">
                  <c:v>0.23511368554092299</c:v>
                </c:pt>
                <c:pt idx="8">
                  <c:v>0.28560018394588116</c:v>
                </c:pt>
                <c:pt idx="9">
                  <c:v>0.2844959302164069</c:v>
                </c:pt>
                <c:pt idx="10">
                  <c:v>0.25134112290122401</c:v>
                </c:pt>
                <c:pt idx="11">
                  <c:v>0.25080257271140816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E-4FA7-AC9F-5E7CB334E58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0402576"/>
        <c:axId val="1520400656"/>
      </c:barChart>
      <c:catAx>
        <c:axId val="152040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20400656"/>
        <c:crosses val="autoZero"/>
        <c:auto val="1"/>
        <c:lblAlgn val="ctr"/>
        <c:lblOffset val="100"/>
        <c:noMultiLvlLbl val="0"/>
      </c:catAx>
      <c:valAx>
        <c:axId val="15204006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200" b="1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</a:rPr>
                  <a:t>Categoria y Sub Categoria por Ventas y Ganancias</a:t>
                </a:r>
                <a:endParaRPr lang="es-PE" sz="1200" b="1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15169376917705088"/>
              <c:y val="2.602141375002716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crossAx val="15204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rial Black" panose="020B0A04020102020204" pitchFamily="34" charset="0"/>
              </a:rPr>
              <a:t>Metodo</a:t>
            </a:r>
            <a:r>
              <a:rPr lang="en-US" b="1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de pago por Ordenes y Ventas</a:t>
            </a:r>
            <a:endParaRPr lang="en-US" b="1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1"/>
          <c:order val="1"/>
          <c:tx>
            <c:strRef>
              <c:f>TD!$C$115</c:f>
              <c:strCache>
                <c:ptCount val="1"/>
                <c:pt idx="0">
                  <c:v>Suma de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3E1-4D81-A1B4-A2574E0FF4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3E1-4D81-A1B4-A2574E0FF4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3E1-4D81-A1B4-A2574E0FF4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3E1-4D81-A1B4-A2574E0FF4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3E1-4D81-A1B4-A2574E0FF4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TD!$A$116:$A$121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TD!$C$116:$C$121</c:f>
              <c:numCache>
                <c:formatCode>_-[$$-409]* #,##0.00_ ;_-[$$-409]* \-#,##0.00\ ;_-[$$-409]* "-"??_ ;_-@_ 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1395035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E1-4D81-A1B4-A2574E0FF4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0"/>
          <c:order val="0"/>
          <c:tx>
            <c:strRef>
              <c:f>TD!$B$115</c:f>
              <c:strCache>
                <c:ptCount val="1"/>
                <c:pt idx="0">
                  <c:v>Cuenta de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1-4D81-A1B4-A2574E0FF4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1-4D81-A1B4-A2574E0FF4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1-4D81-A1B4-A2574E0FF4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E1-4D81-A1B4-A2574E0FF4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E1-4D81-A1B4-A2574E0FF4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TD!$A$116:$A$121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TD!$B$116:$B$121</c:f>
              <c:numCache>
                <c:formatCode>General</c:formatCode>
                <c:ptCount val="5"/>
                <c:pt idx="0">
                  <c:v>206</c:v>
                </c:pt>
                <c:pt idx="1">
                  <c:v>258</c:v>
                </c:pt>
                <c:pt idx="2">
                  <c:v>260</c:v>
                </c:pt>
                <c:pt idx="3">
                  <c:v>218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E1-4D81-A1B4-A2574E0F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12709220627728"/>
          <c:y val="0.1208334126203495"/>
          <c:w val="0.59619672842687788"/>
          <c:h val="0.837083226432563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TD!$B$100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TD!$B$101:$B$107</c:f>
              <c:numCache>
                <c:formatCode>_-[$$-409]* #,##0.00_ ;_-[$$-409]* \-#,##0.00\ ;_-[$$-409]* "-"??_ ;_-@_ </c:formatCode>
                <c:ptCount val="6"/>
                <c:pt idx="0">
                  <c:v>21116</c:v>
                </c:pt>
                <c:pt idx="1">
                  <c:v>21116</c:v>
                </c:pt>
                <c:pt idx="2">
                  <c:v>28557</c:v>
                </c:pt>
                <c:pt idx="3">
                  <c:v>22589</c:v>
                </c:pt>
                <c:pt idx="4">
                  <c:v>15280</c:v>
                </c:pt>
                <c:pt idx="5">
                  <c:v>15280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6-4D4F-9E52-DCE9CA4DBCFD}"/>
            </c:ext>
          </c:extLst>
        </c:ser>
        <c:ser>
          <c:idx val="1"/>
          <c:order val="1"/>
          <c:tx>
            <c:strRef>
              <c:f>TD!$C$100</c:f>
              <c:strCache>
                <c:ptCount val="1"/>
                <c:pt idx="0">
                  <c:v>Suma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TD!$C$101:$C$107</c:f>
              <c:numCache>
                <c:formatCode>_-[$$-409]* #,##0.00_ ;_-[$$-409]* \-#,##0.00\ ;_-[$$-409]* "-"??_ ;_-@_ </c:formatCode>
                <c:ptCount val="6"/>
                <c:pt idx="0">
                  <c:v>8840</c:v>
                </c:pt>
                <c:pt idx="1">
                  <c:v>8840</c:v>
                </c:pt>
                <c:pt idx="2">
                  <c:v>7790</c:v>
                </c:pt>
                <c:pt idx="3">
                  <c:v>7275</c:v>
                </c:pt>
                <c:pt idx="4">
                  <c:v>7198</c:v>
                </c:pt>
                <c:pt idx="5">
                  <c:v>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6-4D4F-9E52-DCE9CA4DBCFD}"/>
            </c:ext>
          </c:extLst>
        </c:ser>
        <c:ser>
          <c:idx val="2"/>
          <c:order val="2"/>
          <c:tx>
            <c:strRef>
              <c:f>TD!$D$100</c:f>
              <c:strCache>
                <c:ptCount val="1"/>
                <c:pt idx="0">
                  <c:v>Suma de Profit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TD!$D$101:$D$107</c:f>
              <c:numCache>
                <c:formatCode>0.00%</c:formatCode>
                <c:ptCount val="6"/>
                <c:pt idx="0">
                  <c:v>0.18752253876667868</c:v>
                </c:pt>
                <c:pt idx="1">
                  <c:v>0.18752253876667868</c:v>
                </c:pt>
                <c:pt idx="2">
                  <c:v>0.16524893404891708</c:v>
                </c:pt>
                <c:pt idx="3">
                  <c:v>0.15432426125877685</c:v>
                </c:pt>
                <c:pt idx="4">
                  <c:v>0.15269086357947434</c:v>
                </c:pt>
                <c:pt idx="5">
                  <c:v>0.15269086357947434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6-4D4F-9E52-DCE9CA4DBC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4493328"/>
        <c:axId val="324497648"/>
      </c:barChart>
      <c:catAx>
        <c:axId val="32449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4497648"/>
        <c:crosses val="autoZero"/>
        <c:auto val="1"/>
        <c:lblAlgn val="ctr"/>
        <c:lblOffset val="100"/>
        <c:noMultiLvlLbl val="0"/>
      </c:catAx>
      <c:valAx>
        <c:axId val="3244976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2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</a:rPr>
                  <a:t>TOP 5 en Ventas y Ganancia</a:t>
                </a:r>
              </a:p>
            </c:rich>
          </c:tx>
          <c:layout>
            <c:manualLayout>
              <c:xMode val="edge"/>
              <c:yMode val="edge"/>
              <c:x val="0.32617924353811284"/>
              <c:y val="2.8749362696432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crossAx val="3244933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TD!$B$1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TD!$B$2:$B$17</c:f>
              <c:numCache>
                <c:formatCode>_-[$$-409]* #,##0.00_ ;_-[$$-409]* \-#,##0.00\ ;_-[$$-409]* "-"??_ ;_-@_ </c:formatCode>
                <c:ptCount val="12"/>
                <c:pt idx="0">
                  <c:v>565092</c:v>
                </c:pt>
                <c:pt idx="1">
                  <c:v>419950</c:v>
                </c:pt>
                <c:pt idx="2">
                  <c:v>503055</c:v>
                </c:pt>
                <c:pt idx="3">
                  <c:v>566359</c:v>
                </c:pt>
                <c:pt idx="4">
                  <c:v>384611</c:v>
                </c:pt>
                <c:pt idx="5">
                  <c:v>627875</c:v>
                </c:pt>
                <c:pt idx="6">
                  <c:v>524755</c:v>
                </c:pt>
                <c:pt idx="7">
                  <c:v>552269</c:v>
                </c:pt>
                <c:pt idx="8">
                  <c:v>413165</c:v>
                </c:pt>
                <c:pt idx="9">
                  <c:v>431964</c:v>
                </c:pt>
                <c:pt idx="10">
                  <c:v>568367</c:v>
                </c:pt>
                <c:pt idx="11">
                  <c:v>625177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9-4123-9E23-656E87E62D56}"/>
            </c:ext>
          </c:extLst>
        </c:ser>
        <c:ser>
          <c:idx val="1"/>
          <c:order val="1"/>
          <c:tx>
            <c:strRef>
              <c:f>TD!$C$1</c:f>
              <c:strCache>
                <c:ptCount val="1"/>
                <c:pt idx="0">
                  <c:v>Suma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TD!$C$2:$C$17</c:f>
              <c:numCache>
                <c:formatCode>_-[$$-409]* #,##0.00_ ;_-[$$-409]* \-#,##0.00\ ;_-[$$-409]* "-"??_ ;_-@_ </c:formatCode>
                <c:ptCount val="12"/>
                <c:pt idx="0">
                  <c:v>148454</c:v>
                </c:pt>
                <c:pt idx="1">
                  <c:v>110260</c:v>
                </c:pt>
                <c:pt idx="2">
                  <c:v>113607</c:v>
                </c:pt>
                <c:pt idx="3">
                  <c:v>146259</c:v>
                </c:pt>
                <c:pt idx="4">
                  <c:v>97257</c:v>
                </c:pt>
                <c:pt idx="5">
                  <c:v>174749</c:v>
                </c:pt>
                <c:pt idx="6">
                  <c:v>149723</c:v>
                </c:pt>
                <c:pt idx="7">
                  <c:v>129846</c:v>
                </c:pt>
                <c:pt idx="8">
                  <c:v>118000</c:v>
                </c:pt>
                <c:pt idx="9">
                  <c:v>122892</c:v>
                </c:pt>
                <c:pt idx="10">
                  <c:v>142854</c:v>
                </c:pt>
                <c:pt idx="11">
                  <c:v>156796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9-4123-9E23-656E87E62D56}"/>
            </c:ext>
          </c:extLst>
        </c:ser>
        <c:ser>
          <c:idx val="2"/>
          <c:order val="2"/>
          <c:tx>
            <c:strRef>
              <c:f>TD!$D$1</c:f>
              <c:strCache>
                <c:ptCount val="1"/>
                <c:pt idx="0">
                  <c:v>Margen de Ganancia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TD!$A$2:$A$17</c:f>
              <c:multiLvlStrCache>
                <c:ptCount val="12"/>
                <c:lvl>
                  <c:pt idx="0">
                    <c:v>Electronic Games</c:v>
                  </c:pt>
                  <c:pt idx="1">
                    <c:v>Laptops</c:v>
                  </c:pt>
                  <c:pt idx="2">
                    <c:v>Phones</c:v>
                  </c:pt>
                  <c:pt idx="3">
                    <c:v>Printers</c:v>
                  </c:pt>
                  <c:pt idx="4">
                    <c:v>Binders</c:v>
                  </c:pt>
                  <c:pt idx="5">
                    <c:v>Markers</c:v>
                  </c:pt>
                  <c:pt idx="6">
                    <c:v>Paper</c:v>
                  </c:pt>
                  <c:pt idx="7">
                    <c:v>Pens</c:v>
                  </c:pt>
                  <c:pt idx="8">
                    <c:v>Bookcases</c:v>
                  </c:pt>
                  <c:pt idx="9">
                    <c:v>Chairs</c:v>
                  </c:pt>
                  <c:pt idx="10">
                    <c:v>Sofas</c:v>
                  </c:pt>
                  <c:pt idx="11">
                    <c:v>Tables</c:v>
                  </c:pt>
                </c:lvl>
                <c:lvl>
                  <c:pt idx="0">
                    <c:v>Electronics</c:v>
                  </c:pt>
                  <c:pt idx="4">
                    <c:v>Office Supplies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TD!$D$2:$D$17</c:f>
              <c:numCache>
                <c:formatCode>0.0%</c:formatCode>
                <c:ptCount val="12"/>
                <c:pt idx="0">
                  <c:v>0.26270766530051742</c:v>
                </c:pt>
                <c:pt idx="1">
                  <c:v>0.26255506607929513</c:v>
                </c:pt>
                <c:pt idx="2">
                  <c:v>0.22583415332319529</c:v>
                </c:pt>
                <c:pt idx="3">
                  <c:v>0.25824432912693185</c:v>
                </c:pt>
                <c:pt idx="4">
                  <c:v>0.25287108273034314</c:v>
                </c:pt>
                <c:pt idx="5">
                  <c:v>0.27831813657176985</c:v>
                </c:pt>
                <c:pt idx="6">
                  <c:v>0.28531981591409322</c:v>
                </c:pt>
                <c:pt idx="7">
                  <c:v>0.23511368554092299</c:v>
                </c:pt>
                <c:pt idx="8">
                  <c:v>0.28560018394588116</c:v>
                </c:pt>
                <c:pt idx="9">
                  <c:v>0.2844959302164069</c:v>
                </c:pt>
                <c:pt idx="10">
                  <c:v>0.25134112290122401</c:v>
                </c:pt>
                <c:pt idx="11">
                  <c:v>0.25080257271140816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9-4123-9E23-656E87E6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0402576"/>
        <c:axId val="1520400656"/>
      </c:barChart>
      <c:catAx>
        <c:axId val="152040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20400656"/>
        <c:crosses val="autoZero"/>
        <c:auto val="1"/>
        <c:lblAlgn val="ctr"/>
        <c:lblOffset val="100"/>
        <c:noMultiLvlLbl val="0"/>
      </c:catAx>
      <c:valAx>
        <c:axId val="152040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204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TD!$A$31:$A$51</c:f>
              <c:multiLvlStrCache>
                <c:ptCount val="15"/>
                <c:lvl>
                  <c:pt idx="0">
                    <c:v>Abr</c:v>
                  </c:pt>
                  <c:pt idx="1">
                    <c:v>Ago</c:v>
                  </c:pt>
                  <c:pt idx="2">
                    <c:v>Dic</c:v>
                  </c:pt>
                  <c:pt idx="3">
                    <c:v>Abr</c:v>
                  </c:pt>
                  <c:pt idx="4">
                    <c:v>Ago</c:v>
                  </c:pt>
                  <c:pt idx="5">
                    <c:v>Dic</c:v>
                  </c:pt>
                  <c:pt idx="6">
                    <c:v>Abr</c:v>
                  </c:pt>
                  <c:pt idx="7">
                    <c:v>Ago</c:v>
                  </c:pt>
                  <c:pt idx="8">
                    <c:v>Dic</c:v>
                  </c:pt>
                  <c:pt idx="9">
                    <c:v>Abr</c:v>
                  </c:pt>
                  <c:pt idx="10">
                    <c:v>Ago</c:v>
                  </c:pt>
                  <c:pt idx="11">
                    <c:v>Dic</c:v>
                  </c:pt>
                  <c:pt idx="12">
                    <c:v>Abr</c:v>
                  </c:pt>
                  <c:pt idx="13">
                    <c:v>Ago</c:v>
                  </c:pt>
                  <c:pt idx="14">
                    <c:v>Dic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6">
                    <c:v>2022</c:v>
                  </c:pt>
                  <c:pt idx="9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TD!$B$31:$B$51</c:f>
              <c:numCache>
                <c:formatCode>_-[$$-409]* #,##0.00_ ;_-[$$-409]* \-#,##0.00\ ;_-[$$-409]* "-"??_ ;_-@_ </c:formatCode>
                <c:ptCount val="15"/>
                <c:pt idx="0">
                  <c:v>36156</c:v>
                </c:pt>
                <c:pt idx="1">
                  <c:v>27824</c:v>
                </c:pt>
                <c:pt idx="2">
                  <c:v>24509</c:v>
                </c:pt>
                <c:pt idx="3">
                  <c:v>18777</c:v>
                </c:pt>
                <c:pt idx="4">
                  <c:v>15947</c:v>
                </c:pt>
                <c:pt idx="5">
                  <c:v>32807</c:v>
                </c:pt>
                <c:pt idx="6">
                  <c:v>28156</c:v>
                </c:pt>
                <c:pt idx="7">
                  <c:v>58918</c:v>
                </c:pt>
                <c:pt idx="8">
                  <c:v>48915</c:v>
                </c:pt>
                <c:pt idx="9">
                  <c:v>22102</c:v>
                </c:pt>
                <c:pt idx="10">
                  <c:v>19758</c:v>
                </c:pt>
                <c:pt idx="11">
                  <c:v>32604</c:v>
                </c:pt>
                <c:pt idx="12">
                  <c:v>34182</c:v>
                </c:pt>
                <c:pt idx="13">
                  <c:v>20842</c:v>
                </c:pt>
                <c:pt idx="14">
                  <c:v>20981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E-4F9C-976F-C34B500B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820896"/>
        <c:axId val="1714823776"/>
      </c:lineChart>
      <c:catAx>
        <c:axId val="171482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4823776"/>
        <c:crosses val="autoZero"/>
        <c:auto val="1"/>
        <c:lblAlgn val="ctr"/>
        <c:lblOffset val="100"/>
        <c:noMultiLvlLbl val="0"/>
      </c:catAx>
      <c:valAx>
        <c:axId val="17148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482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TD!$B$100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TD!$B$101:$B$107</c:f>
              <c:numCache>
                <c:formatCode>_-[$$-409]* #,##0.00_ ;_-[$$-409]* \-#,##0.00\ ;_-[$$-409]* "-"??_ ;_-@_ </c:formatCode>
                <c:ptCount val="6"/>
                <c:pt idx="0">
                  <c:v>21116</c:v>
                </c:pt>
                <c:pt idx="1">
                  <c:v>21116</c:v>
                </c:pt>
                <c:pt idx="2">
                  <c:v>28557</c:v>
                </c:pt>
                <c:pt idx="3">
                  <c:v>22589</c:v>
                </c:pt>
                <c:pt idx="4">
                  <c:v>15280</c:v>
                </c:pt>
                <c:pt idx="5">
                  <c:v>15280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8-4022-B344-2C51639C0D69}"/>
            </c:ext>
          </c:extLst>
        </c:ser>
        <c:ser>
          <c:idx val="1"/>
          <c:order val="1"/>
          <c:tx>
            <c:strRef>
              <c:f>TD!$C$100</c:f>
              <c:strCache>
                <c:ptCount val="1"/>
                <c:pt idx="0">
                  <c:v>Suma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TD!$C$101:$C$107</c:f>
              <c:numCache>
                <c:formatCode>_-[$$-409]* #,##0.00_ ;_-[$$-409]* \-#,##0.00\ ;_-[$$-409]* "-"??_ ;_-@_ </c:formatCode>
                <c:ptCount val="6"/>
                <c:pt idx="0">
                  <c:v>8840</c:v>
                </c:pt>
                <c:pt idx="1">
                  <c:v>8840</c:v>
                </c:pt>
                <c:pt idx="2">
                  <c:v>7790</c:v>
                </c:pt>
                <c:pt idx="3">
                  <c:v>7275</c:v>
                </c:pt>
                <c:pt idx="4">
                  <c:v>7198</c:v>
                </c:pt>
                <c:pt idx="5">
                  <c:v>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8-4022-B344-2C51639C0D69}"/>
            </c:ext>
          </c:extLst>
        </c:ser>
        <c:ser>
          <c:idx val="2"/>
          <c:order val="2"/>
          <c:tx>
            <c:strRef>
              <c:f>TD!$D$100</c:f>
              <c:strCache>
                <c:ptCount val="1"/>
                <c:pt idx="0">
                  <c:v>Suma de Profit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TD!$A$101:$A$107</c:f>
              <c:strCache>
                <c:ptCount val="6"/>
                <c:pt idx="0">
                  <c:v>Logan Galloway</c:v>
                </c:pt>
                <c:pt idx="1">
                  <c:v>Stephanie Manning</c:v>
                </c:pt>
                <c:pt idx="2">
                  <c:v>Cory Evans</c:v>
                </c:pt>
                <c:pt idx="3">
                  <c:v>Mr. Ralph Garcia Jr.</c:v>
                </c:pt>
                <c:pt idx="4">
                  <c:v>Nicholas Johnson</c:v>
                </c:pt>
                <c:pt idx="5">
                  <c:v>Maria Thomas</c:v>
                </c:pt>
              </c:strCache>
            </c:strRef>
          </c:cat>
          <c:val>
            <c:numRef>
              <c:f>TD!$D$101:$D$107</c:f>
              <c:numCache>
                <c:formatCode>0.00%</c:formatCode>
                <c:ptCount val="6"/>
                <c:pt idx="0">
                  <c:v>0.18752253876667868</c:v>
                </c:pt>
                <c:pt idx="1">
                  <c:v>0.18752253876667868</c:v>
                </c:pt>
                <c:pt idx="2">
                  <c:v>0.16524893404891708</c:v>
                </c:pt>
                <c:pt idx="3">
                  <c:v>0.15432426125877685</c:v>
                </c:pt>
                <c:pt idx="4">
                  <c:v>0.15269086357947434</c:v>
                </c:pt>
                <c:pt idx="5">
                  <c:v>0.15269086357947434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8-4022-B344-2C51639C0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493328"/>
        <c:axId val="324497648"/>
      </c:barChart>
      <c:catAx>
        <c:axId val="32449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4497648"/>
        <c:crosses val="autoZero"/>
        <c:auto val="1"/>
        <c:lblAlgn val="ctr"/>
        <c:lblOffset val="100"/>
        <c:noMultiLvlLbl val="0"/>
      </c:catAx>
      <c:valAx>
        <c:axId val="32449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44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[Segundo Dasboard.xlsx]TD!INDICADOR_6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TD!$B$115</c:f>
              <c:strCache>
                <c:ptCount val="1"/>
                <c:pt idx="0">
                  <c:v>Cuenta de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58-4D40-9DC9-9572A4F6B5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58-4D40-9DC9-9572A4F6B5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58-4D40-9DC9-9572A4F6B5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58-4D40-9DC9-9572A4F6B5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58-4D40-9DC9-9572A4F6B55D}"/>
              </c:ext>
            </c:extLst>
          </c:dPt>
          <c:cat>
            <c:strRef>
              <c:f>TD!$A$116:$A$121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TD!$B$116:$B$121</c:f>
              <c:numCache>
                <c:formatCode>General</c:formatCode>
                <c:ptCount val="5"/>
                <c:pt idx="0">
                  <c:v>206</c:v>
                </c:pt>
                <c:pt idx="1">
                  <c:v>258</c:v>
                </c:pt>
                <c:pt idx="2">
                  <c:v>260</c:v>
                </c:pt>
                <c:pt idx="3">
                  <c:v>218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58-4D40-9DC9-9572A4F6B55D}"/>
            </c:ext>
          </c:extLst>
        </c:ser>
        <c:ser>
          <c:idx val="1"/>
          <c:order val="1"/>
          <c:tx>
            <c:strRef>
              <c:f>TD!$C$115</c:f>
              <c:strCache>
                <c:ptCount val="1"/>
                <c:pt idx="0">
                  <c:v>Suma de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858-4D40-9DC9-9572A4F6B5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858-4D40-9DC9-9572A4F6B5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858-4D40-9DC9-9572A4F6B5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858-4D40-9DC9-9572A4F6B5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858-4D40-9DC9-9572A4F6B55D}"/>
              </c:ext>
            </c:extLst>
          </c:dPt>
          <c:cat>
            <c:strRef>
              <c:f>TD!$A$116:$A$121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TD!$C$116:$C$121</c:f>
              <c:numCache>
                <c:formatCode>_-[$$-409]* #,##0.00_ ;_-[$$-409]* \-#,##0.00\ ;_-[$$-409]* "-"??_ ;_-@_ 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1395035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858-4D40-9DC9-9572A4F6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Región por Cantidad Producto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800" b="1" i="0" u="none" strike="noStrike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Región por Cantidad Producto</a:t>
          </a:r>
        </a:p>
      </cx:txPr>
    </cx:title>
    <cx:plotArea>
      <cx:plotAreaRegion>
        <cx:series layoutId="regionMap" uniqueId="{4FE7C2C7-AB54-493E-94E8-E5333EE7CB6B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s-ES" cultureRegion="ES" attribution="Con tecnología de Bing">
              <cx:geoCache provider="{E9337A44-BEBE-4D9F-B70C-5C5E7DAFC167}">
                <cx:binary>7Hprb9w40u5fCfL5KCPeJHKxs8CR1O1uX9p223HifBGcOBElURJFShSpX/+Wk0wm8WRndvEuDrDA
MRIb3bqwWNennuLfP/i/fVAfH8wL36ne/u2D//WlnCb9t19+sR/kx+7BvurqD2aww6fp1Yeh+2X4
9Kn+8PGXR/Ow1H31C44R/eWDfDDTR//yH3+Ht1Ufh/Phw8NUD/31/NGE40c7q8n+ybWfXnrx8NjV
fVHbydQfJvTry0tZDy9ffOynegq3QX/89eUPd7x88cvz9/xhzRcKxJrmR3iWxq8oYgyJNBaff/jL
F2roq6+XI45fwRWSEprGn3/Ib2sfHjp4/q+k+SzLw+Oj+WgtbOXz39+e+kFu+HL38sWHYe6nJ11V
oLZfX27s9PA42Bev+xr+vHxR2yH/ckc+PEn/+ubzdn/5Ud3/+PuzL0ABz775ziLPtfVXl/5gkK0a
TP348Jte/vc2wfwVE2ATSr6oPEZ/sAnlYBHMv97wzCb/gkA/N8u3B59ZZnv+32mZvVJ1P9TgOP/B
cEGYIk4S+iVcxDPTiFeI8oQwzr5d/7L2l3D5VyT6uW1+f/KZcfb/pca5/egf/oOWIegVTQinHKEv
UfMsaIR4RQjBIk3xt0T3vWX+Upyfm+XrY89scvv2vzNg8gdVfxpMX/8HsxlJX2FGk0Qg8VPDICRe
JSjFKaLoi2V+C9cvIfOvyfRz63z/7DMT5f/3v9NEh4/Li/vBtL8p6X9fbih+JYjAFKLji4GgnHwP
AVL2KoErLEFfc17y29pfDHSYP7qHv5Tp5wb6/tlnBjrc/3cY6C8gy/eV54db/02gRsQrFhOWUvI7
EPveSpDf4qe6RMRXK9EfrfQcSv1zuX5uqefP/7CX/1dI7Z+juG8Yt3iYHjafwfF3QO7Pr37eMMD1
Z4/+GWj4or39468vMeYJgIBvoPvpJV+f/BoeH9+bB9t+y6jfPfTxwU6/vowEe0UQpZRRwZIYciW8
b/n4+RKK6auYgcUTThjAcPbyRT+YSQJwJ6/imGDCkzQVKWcIotIO8+dL8bcO5GpQoRr6b/v/+vlF
P3dXQ91PFjbA8csX+st9T7KxmFMWP6FP6AlIwkAwuP7h4QhtDtyO/o8icxSHUrpz0q3CyYu1NRgn
bUbo2IT+3KU1Dbrb166UH+Uc8TFr63a5Zdwke7tO5Y3qeLlmPYh/YVCTXGJjk3PfQA7KJhXpHFsl
XYaJibb9Ws9vqe26g+Hp2BQOi3krJl4fsOckb5mppky7FW80kjZngZHDVHUsL9N43MaOd1dtG/dX
07LMR9EnuMnqULV3JizLKY0MnzNvkv5tPC7l3RzLCGcjH8RRSd4dDZ7uEt6ue8uRP0lRWl0lI1uP
MVLm6CtSbokA8ddy8ptoIdNpq8Wa+4W0uUuQ31BJU5vV7ahu57rxD2najTvoYcoqo2vir8ZR26sk
TeSbsWvnkMdDowtSObwVMkU3KRvlkfmk2biYuiqL4t6fm2rB53y0rztVT1WGEE5NRh3BeUz0ettP
c5vHyL9vvTc2I661uzhy9flY902b9ZrZd3W/LjIbwYavVdt0B744uY0muZ6ajiKcyUCqQjme5k3f
cp41ZVRfYWGbXaSqy6Vtmm3a+LZYJWtymwixi5dhOfeyn8/7CNUHibqEZ1O3hJswjfO29aLNp6TF
l9x4uwt47C/SMV7Oqe3DjqOEPDSUDKeNQNNNwrHyeddG7abHemozIzHfd5rOFysa4+2I0qjoS9Vf
R1NMbqZAp3soX+pTwDa+xW6ui6T1/WVnWXQgdbqtWDy9BV3pkI++F1ej5d1bYmq3RVz3RT/heLP0
7XqyxCzaRMT4x3Gx9hJNejhv/ORzQVw9Zg04TpWJSIgPhDSzyUeDRplFK+lV7pVsNzTp5XVvXdxm
iRinTSi7NeviwW25lWvGBX1w2PGzfnb1CSVMH6hBVT73cZdHeJ1zaSu/9SgSfuMi0ZzrldKdqjTf
xS5RH5u+aq5iLXrwqWq9bFmjddawMvrAB8K7rKwsEtm4JMpnPGXzWV8nKQAEKU/r1qiMdGVTNJFi
b2vUxW+Mb/x5Itp4I6mdL+pUM58NenTXJqrW+1FpzLJIaX+mWV3dCtqySz7SzHBdnTiX9ld1bKcj
dhJvWkamkM1ubTvwyT7N2DDOayYnz4rETmmb2aWPlqzmSbknTVPusUBmz0JjVcZHRNes9KOfs8SU
3R2kEX0VerXu+mqMN27u2KaOdHyRStQvJ7PTOk/Hmm+MDONlV3XVpZEUF8mYkHeqVqLNILb9G1vK
tMo8n8NNkrSkynWvos3aILljSdmdzqvr+6yL0qXMXTQyt+11iC+bkiCUR6xvu0PU8uouRf2oszQZ
Sp3TcSwhk9R6LdZueFTQbvBsTjp/Qda0C2AaVrdFE1x0VzlrxaZBTJS5iipfkBo1Q742/Yi33o9r
l2mu/TVWMXpjbNnPeaWx0eNWJQOL/QVinPsaDFd1s8db43TVibxaQsKrjY9nG9+UNuCQvK7STk/H
icjZ7Yaxg2g/XTW20ZpPvOm8LqjD7XJjGl/xD7RqS9nnMlXxwl53rlnGdMM1i9ptNM9T8xhSrVF7
wsFEBgoXFLevlfeHevJh0MHUlfxKan37+I/boYN/n5/5/csnTuz3Txe/kWl/etfJx+GpiNrnNz1J
8+1dv7M7T7X3m6jPqvkX+u2flPo/vfgv4gCCEvSnOOAPMPkzEvjy2FckkKJXUMkxTzlFqUgghr8h
gVS8SpMY0wSnCWdfQMJvUIAB9APGAVBCip4AART0b1DgFcBBgA6IxEBJPAGI31TwgykB/fwEGsDq
3wMDylkCPCAjBPCB4EkS/wgMkEtGF8fVsHc8auu87St2ScyiD6taePGdcn6yFsCXP6wF/heDLgRF
iAMv+T0IcTaO1pGjfp+SBR1WF9ChmYm4C6CB83FcxebP13t633eg52lvNKYYp3FKsSD82d5MRHCq
eQzrdaitsiXWXZk1fkWHyVOy76cyIRviObpdkhrf/vni6R8XZ3EKnBIH63FgkH7c7BjF1g/W9PvV
TNNjpzqbZAo5fh7Q6o++XMVdieO/2vJPVMxAWwR4kydfe3Kb71U82akxC0+7vemQv2qVnB5d39Vr
Jmrjr6o4/NsLJgicFJYDiAu9DHsS6Dtg2cSRh5xlxE5G5XCWcs2LICex6TiJ3pHSJdASfgPaP/Eh
9Ae9ptAzAaAAMg6Ui/kzJBssiteq9G43D35sIYuXFl+u6xi7jC+07/Iw1+jAVU/3aWjRcXSsv+u1
TpdcJu3aZ1Vq0+MUMJ4z49jsMq2lPUde+LcB87/wApb+RF4AdBD7FKwJwf5M3r4TvGq6ad6xlFT0
NuowK89spQDqVsPIi26s0HKKBhlUldmJoVuIwXCMhDI7HMskOa0tJ/suaPZQEWuSTCYKfMmWeDjr
Vo4OvpadPHUxVt2mNw4dOhyDHsaWraiYsa2aLDI1zpaAV74FwIAOkUkjs5nTeDjTUfBHNAG0LWtR
qmw1bmDvuSM6FIlZvdvwdsTNmSHMXyWQJZKi5q4VuyZ20ZtGSVEeR4MNuFzZjKTPUhuiasjwKhH6
CF7qa4C8NWDpi4kKR699H5bzPpaqzhPWLJkTlOLscyIwoYM49c76q2iZ/JVoR8NzX476fm6wvl9N
TPaJa6cx987pe94RdxVbO3S5GFdIXz5unoq3YQ/cxP44GAXYuHOlvicAa47RGKFbNs28qNeaPQBj
j/t9H4S/T4YJz3lC0WBBs8wfZ2pgp7qlS9YpCwsCfCjvcNO2ppj5wh7UDHrkqwO9GYpuZwFGW/ko
7pZxZQ9JlPhjXQGUGMnCyDYM9cRz4SOpM+tKf/ziq7KpCEBIUi+A5VpvH1UzRHVGGWwWB6ftiV2c
WvPIhFaeirSsu307RmM3ZQkWfN5MFMs30i3ijmvIp8XUzqnfdIGCn7g+oQ+D5fpeVhqCf+zEuQhG
3GnVNdDO9DV4hm91lNPKD2cGmguALXrwV/Mc9FK4BINKIbr1vfdN1+XV0K7j1s0GjCQkIvtZNrXO
Fv2014UKQIXVYHaf9U/9xHIyc7qRbZoWgkfQ6o29iA+f75nKss+7EDeQN1a5i2Cv1zKdXLFUQmzn
0YIDy6fwSKZ20Ttrm7I8QwDTde7sMhft6Lk4kjhFhmQTDFVmaEN53BymMbGaZbxrsb/RSR+bKisH
X7qtauKQlSSCB3pVo3i/oCl1Pqu6qJen1k51dBLiuVmKsYpCedS6ZyqTA2M66+U8led4FeE+EXh5
dCEaXb40dq2vlhDh5Y0F9csT2/fuxGLZL9kat0MWcRflQ9zWWcQcAz3bW01KufF1kFnZi7AVROWj
HP1+ISPdat6QA+PDnDu37EoR/NlUDf426eYhl7qswexROFDWJrkFYP3WxngstAxJNgWPLqNETsdF
jrbKptKxdxNtBQX/sgvJK1H7M5dGbkf5UHXZHONBZfGwHriZq8fRQtpMujo97WuZHHTcizKbVxrO
Ab53YHAf2SFbm6o+6fU6PYpajktho7mqC3BucUqhpe4LQZ0VGUrT8o70duoLFNHXk6yivDbjQ4/S
5tAoIEx240IgZaOUgNOZ2IFLhZbZR4ngQwZ52R+hzIEv47KX9S6JSqjSq6lPgp30PUOTuOuCnJss
rXjHMuacP65elndeArbQFOn7YFuvMtcuD36AhqBhCSTMAbe3TRQ3bxqzQmAJIB/2ZWzrkzolZM+1
iGUmRNkXUEaH24R1m7Vu+sLCNqotIh1np0ytsXizWo3edSaK1v0q6cz3pDMrWXKkrd8Sg0x7mmBC
3q+VY8nG9O2pEro8XyJdXRnbyH3FxW0q5XinJvMQOv+U/Wt0ZzsxF80MevKigTzPNKpPxaDxuzkq
5yVXcokvtFjSGww8R1rUbtkzoHdcQZYR5RCX6RktB8O3osf9pZ+xn7crxXed5LoYvIW2zXVyKSj0
9Cn0ipS5rCNlf+jTiL5XiMD9GiqWec2kwOV7wZfaZMB7lMN25QO0NrhqZ5q3to3OgdGYQXVdqbN1
YtXbkPJhV9OeX6aSxEUDWwISRps2D7i094PngEX0xPg5Weoob5EDs45CmE2tLIVkQVVlgDeyYR9I
ww+RD+LOdEPTFZFK7GOsGnHOSgbprU1WcJpxBk+xVcyLykdPrjRXvSwqOaADTI4gl44JhpzeCHiP
wyBNMklxbhcwTa6UgDzYzQ3IlPIAna6m8IVse3BBTypxnihdd0WFW8j3xpldkA7yoGOVtSdA/PFz
oVWUN3yAlRsoJl1OUu6vNIHlE7aM6iQNUMeB/qtPSLnShzU0kPA/p8BUzqXZpFH15PpLrCQQXj3v
s1kv9HyZ5/gkVWx1mZki+9iTFioHIsC6QWUd2UOqoD7amkGe7litTBHGQclCTSwFxBCgRTn5Ihbq
mVEno2wASZRRBOUrNZDtR2XMzoXZX00OsG/HF7FBq+rDKV5w0ttsDh2FbjapMMljI4b7BY9aXmLm
QOq607DXxa2wZG/qkB7pqJWFapFMdOgyJauxVdnCY5emeeVpcjq3thnzemThpowGdp9IBIk1mKg5
X7TxddaqubFQMlB1u6TrECBvquScroRbyIvArakhik/1LKNPkxnFiZwX4TOQGVBOHaXiDvsF3IIr
A5V8FBO6JWaE8lQZ37dbk9J2BUnqJ42OA1hcMSC68llzBgXTQKq6KZ8s2jQEzDR34HHKghkjNELX
MOE1NnHBrI7qjeKsjO9QFID+BT0BtLxJSB3NNy7xKtF5vchK8qNquUigVAHBSDSUxjHU29DWUYVe
NxzQcnXil4llKQK4oeIB6JKYlm1eqq4upkWV2ZIEfNJFAjBIimV82lIjD6SbXF5HMmzg/1h4ysSp
alZ9AeYfjwOHzNI6Gb31kahPo6kqM2cllJ7Au12FE5QFn0ZbNS8M9jEmRR+XMotTcUaDLfOxI9cV
h5ROTDVvUVyhwqyoywxQH/vBAXtZTQodewopJgMYYrLGmTpDLSCSKenaT1FN2Za7odyJdejqbBrd
UEAELjlkhU+9GT9FKlwKT5c9+DUAg3mML8Wk40vWBVc4oNUSG7qdn9m4AWxc3vhkDtsGimjRjHLZ
eEovaTzRC4/n/hqsDXW59+oUKl93QoGDzNKITDnvkk0l1MXcUqBUQVWXcdDVax0l870ZMDkMrgNe
h1QxAEg/niih+iJxV6RDR0B+/QZHS/wJGCd2SoijdZ11WDRxn/XpQku+i5r1IxsTMAidIYS3jJFF
Ft0cqwGAduR0HkEFtlkA3hAyiIwhQ0C9gmw4NcPZPOJon5Aw6gvbKnDSTkK2qRMDHrm6EmxfAjtp
r0K7NDUQ0+6vWvGnruOH1pgDEZESBsQCAgriedu/OtwIqHh6p4HoAtDvfIwz8wR8/7xd+0P3wzlM
7wlwGdD2U2jcfmwPRSmnuRkmvVN9Asl4TlN0O1oTqYx6NJwl9Kl1+ZwO/3zdP7T+sC6MWFiSQGdK
oVP8cV1oyRVpBq93vlHJwxR1ZtdZr/x2SSXkr6HrwzFJJOTiEUi2Ov/z1WG481y7XGDoiiHAQYin
Oc73TXGwDbAnKBl2CyuhAVm5wbdAow9nTWoh2wOvDb9jbaAteULemHJI7p9F+P+cHXDffzwf9/vs
DoiWGJzhG6XwRBn+MLv7/dDNHx76ytjxFAi2FMZwQPJ+puzgfV9ndwLBxBaqAOECDMyA1/l9eIfh
EnAgQPMlKQhBIRS+MnYkeSVgpAdEkEgwF3GC/x3GDjis5+4FAyIigHYRT8wdjAp/dK86qWmjkJWn
HgYrNfRfAwDgJiRnekwjSDke0YLOjbjR7Tgq6ARYXeYwV2O+qOw0jDuDurLM+aCS03VNablRbliX
bIpjfz0T2tET1KQhum5FY96MPU1Y7jSpmhw6xERnDlt3rpYOpoSqZDPO5i5eKbRZc3IOw7V0gMGB
AViM1olmfTOIzapSYjYONV7mZBlKaLdK7TLKo/G9aEL6gcP0sJi4qDbVGgOJIDWcu8wDZ5gVqFoo
Phd4koUVXXKx0DiFpn4+WoWjbWoRAQClXEwKOO9Q3+imCddextPBVLg7dk3k+03qh0gCUPMVy3oW
VzxLGn1UTLsTeP0I0GcIu2pJxCnWpj5Dkp/4GpsI+r962LKeJTDhlABppgW3qPCsHLd0SvEbmFvg
rCZG3SDsk42Q9F3lgr5kQxBFvxJyNePG7N0QaCERvpLJagvWJ+kmCnWSeR2pK5JG6kD65cjiBeah
SsHcR/tUfkhKrE9oOpDcpH17hrpOFXXix6MzJAW1y7q6sLOlh0X2BGSb1/k8XjYjHoZDqU33qXGJ
2LqWhq1lNc8rk9ojTsQHVpZDgUpU5kkkxyyx8Euy9Y2gEcpM2vW5VuzULUCspLXobxpjyZEARXZG
AO1c1TYer3Ur3zeYyAc2JEuxVv4M+rpQsNk00KWWMHNKdHTtBt/dKNN2ed8qe8CAY/MJNJKXor02
qpkA4rdzXsORv9etX8uMWuwPobZdoT3DG8RA0sgvVRG7srpdeRoBvOQjYLymHwS8tmnMJobZxxmR
Y3wKHfyjgvsvq5mq69T1gFCDL8UxBax8zTF1wHCVTZnpal0P9AkqNNpFJ23sh5M1mvtjjMGj02Se
znFL6VlQONOG0C0Ct78YPFnvnUlZvYmmSZ7SRqJC01aN2RNMKMa2hVlXU1bbaJzPgKS1p8DhXThn
oddak15lI0C0nDc+2sEM0sGMDXyw8HGAhryMpjxZp7soUltp1yOvQ7wtoZ1zAHTt2L8Ny9xcSWIu
o0ndIaByCqHoESasatNz/cHqNN0DqrkLRPaZwvZdlxq1bWs8hbyr8Rmji8r7J0uFx6iCnm2AgWm2
zvEbOgufuyDKnV5cdLFwITblrKuiiek9JEN7iXXnt5E1Q67aiu3DaOkdTaIl91DUiq40cQZ8O4RV
dJqWkmVlje9dWo7AMnbmRKUj3jf2dJ3q86mbYJQ9rVno60NfWuC7EgEUJe2KDnimzbLoegvAx+e0
beyRl0RdA0qv9q4BNYe1JXvghv1159V60k8tLrTW5mRtfXJBjTsNhix7EwBLFwuyy/VCp7sZhWgX
jYEdFopkDwE2WLrEN30TUSWKERncXIVyId35MrBDZ/j7YQRIniSruG1I0FuK+zaTvC6vAuH1JZP2
oaea7hlM7rK1Rg+JdmzKpImnd9bAluNO6sJohc8q1XfbGDNw6bhSueuo2qgg1VWAtJtJD/kOziMP
Q5724d06izpzJeRnB3O98zr48A54ICBRuzoeb0bjb/o4GbOK993l0EkqgEFVs76qAGvsiV6kPdGY
phoaHBdndm2GvW4dwHU4O6KKQffiODXpJz3ES15hj7aL5GrOGEcwMI+SiWdAm3VDmdMaJphVPsys
mTNdJ9EWrXLdcjx12wCUFYR4rxfl5zupgJanu+D66bQDahc63CEaP7RRM4RM0maON0DL4OSyNcBt
ZQDM+K6debOeeyAqrz2c+L0hpoQQaRdwvb2ZHHtrUW1O5doFm00rYe8n8P46R/NYyRxFZUqhP9Lp
cVRw4L0oUWxOBxzz0zGU0XYSMHffleO0DzWpLqWa1Q2PGpIC5R+lJ7ItwXEFHKm415zajcO02yEY
iz4ArIxF1nHTNHkVJnpeAZVTZynVaZKty1zuneYQH8Q5lxG/RtcaUvunvqXxAodp8HIxwQD5Kng8
xkWaBG+yFfW6AnZgJh5A7zq/iUsyPowmru+hJld9tnTzhSVrdwmMnfgUezmvhVQlOUaudW+iVq2H
Lk73KYLjBF1HkkfWC1ZntSTjnM3MKWh0aL1ng9t3kG1zOPmCQwG8AxwvECVoMWsaye9mF9g5cCjq
MWripjztZoxtluh6uS5HmtxBHREb7ddqO4eAgbZMU13mqEWy2pva+w9tXQsKyagq70TbuysP50HA
K4OMruoGWFc4/dOZ+yaU7YEoDecuXDnRNMeiW/fQ5rWPdBrbo176G2XVgvN67ct9C61jgVoJwaqH
abxcRzKWuV0sDxm2ddltAhZAeAHtdc+WsHwsuRzfcUph7h81wmRRJSqR+TFEp3AwyV31DPJNBoOS
6AONg70MpocemETc7uY0aLNLo0W/E5XveR7Wct5rNJGlaOpmDJlIu+bNyGtKMzieMR0bWs4qizwZ
D8mk1R5irm5OZhzDwZRA/QiNrxQbkpr4vhRTSTd9Hbe+QC5iJ7Oi9bEUOj4ZSUjzfp77Bg4q0eYE
0nPDM4Yc0EUtTs/DMo2nSE5JkWgaF8HNtlAwM85SpeFsEjd0M8ZszJMGTxsme0EzZPU1mu1UWMbE
uYrguEWWlsNU+LTRe5tSA2ckVG/uW9NMaVZXs0X57O3wtg1Y9zA3EGHMdDOuHxMAUBdlvMAxJpy8
p5UUr1PZdw9DZYctkcqpAlJ82WXBtUOUL6KFjMh8iPc1DF4vxErTdw44pp2WOlQ5rhgM2QIJ5H26
GHk2lYjciUnKGkh54mk2GmiL+wEPu4rDqCdr17nlu4bIcORtCbS6xxI9OOEwHP1g+l0FxPI1E5Po
88bj+H5eAUBuqhgOh+kltnPG+xQ9ihGPzabskio65UNTvq3F1L8O65TYLemlP5vtHE5cE0WyWI0d
8y4l7b6p2qt4neu3Y58eKuAfBtm5HIZcm4XPMu/DJK7pBEOLOaVVUYkurQsmNL5MFGBDjqr0ZEwA
WGTMOPpepCtOMjro6q6nIQ1Z0y00ylBEUMiRreMToarqYIFM2ix4hfM0jXIn/8Pely3XjSPb/tDl
CYAgQPKV3KNmS5YHvSAs20WAM8ABJL7+LlquPpaq245+P93RpShpSwQxJDLXkO0jPu58z+rDRMh0
RQO1F5NtvqsyhGBJTyL+LkptFXAcIJuVADBb8Fg+i6iTh7kjrMqwmn7Iewu9lQqX6gzMrhoyKTnp
M22LMsqKKiq/9SSd28xu/+gDVSO0MHfdSaM+1oAb3mtO1JFoHqA+kNOV7QFAY4OL5LKym4SFIEds
XHGR+CYYDoByplOiU8ipWgDCnwZAdDZTEsK0TGk+yn3fh2JvpPeXVUD7Cwd27QpvWF+FgFO+Sq/H
Q6PH8dRAvnQoUtaeTV2wXVj5j/26uCmnIbXgPE18x4wJvlOi7fn/quT/7CL7teCFquS3VfK3L+pf
lrRN1EKjH7/xs0SmlP4PiRj+uzmaBFbuXyUypTAHMEY5JBcvape/JS1QM6NkJUCbfohdNvnH35IW
+j9pyoGVhFAQpNDGsv+mQE62UvtX/IVsfwHKGZEmEOFCDvFG+FFRaSYcEXHDVRScC9ku5rKNcavt
g4SufNOXhU3F2ouFpKJ+8Boo2DOK7u+q8/whiivGc9qx9wKK0I9VHOhLlOHLiJQ6ATTXt2K7Wf2Q
ojJhfh3vgzoscDgK58wjaY0MsnbWNWsuq1QPkN3VZXkDBDc1GSiB5KAH1Z4bubI8LidEopUWu7ap
ox00M/ygNA3DfZlO74AcbwArcfKqZn1/NUzheFzFbC7C1LpvntZPUTMm36J0IJ9r18VH0uv+yTYV
ySPeCCCMwxdmS7rp6dQKrixEQParWk6k76IDFiq4QQYsl10czwdFEmplbtOwmG0e9xNt5gMf6nHK
Qu3K20Cp8OO8LlfRxPod1UufD1qR+3Vou/txMu1uHsnHmuv0ccH9cLu0C0Mqmn5clkRAD7vmks3N
u6gMzCmabHhjm8aep4QBnCi1vmrmDlSWUPo6Deov6Wg40s623/NeVJdQ26ZHMADz81DF8rxKkOpV
S5ER1dpCHphAawAVlskTlCinNNTfpym0+9Tp5ROniYPuQ4PbMX1SAOSukyfoP6o9j0uFuek+Nrr5
aAI8GqJBnxHl5s9yDPiesbbbR5WOc96jLM5i1+LKqpuZ04zptHmIPciNTBLVn7cd+WjmQRwSKjX4
3amuTnE4GZ2pOB4x+jnetcE8syOZmVh3fY0ol4mKFvcR8qC7dR38rXSK5MpH5kqxEGiOJgvHU1i3
hw8qOgL5sSvkj0w/OORyV7zp1yvwv+w6TMPyIBCA75w19tAOw/J1TKK6zShBlTtVQf9XCiJ9yoCn
0GMTl+7KeqlPC2+Hq1EmvssW4YpvKgSnVfc9Pyk6tsBWpj6+pH2qUEKMMblx7Uqg+Uw92LYWUpPc
iDlFPTJMH9iyTi5DvhMeKlaZFYIM3JhhoeYDFKc8r4ImKLMOUPoliLSlzMY+mtp8Np09pG650gaD
io3oLwa/Do/AK9oGDG6o/uom3+2TpE5Psa7EleXBN+E5yZhSJfQtshAZtOcuzJDAIq3qWQ/BM2ha
Pa9VhoL9spetvmuSRB1qqIufIfauD6Gm4muFK+rCL82scjErcXQ24Jmlo/uUdhG7CyoZ70icyMM0
dmkBGMOtl50LInAMiewuEgGBAupfXNvrFPq7mEfd3htkK0KADx8XFp6HsLKgeDg/JrWbPnDFu3da
twoZgtwIi7TQl0HP1oxDLdTkSYpXEh1Axiys0wGpikOJaecVMNVcHpdRrnvtEv84L2bJZtC+B8XB
gKp0xZKMkbxWSWvvhDDAeBL7XleBuE/ZdLIt87duQuHXLfEFkDvtsrIOlzPybHdKnOjuyiYM9hR1
M+TIfbI+VEPdXzfDHL4PkWA9aULNLhAVpAHOunOyaiXPLUnjh6U0YZ52YPAWiH6bONiTtnPvisjY
q7XsyxzBk9wMyILzjrfIrRrNEBRMuiuYI2dv6DfqOIQHkWnPIcCWczNMItN0aPKl7cNqW+SjDaXa
Sd2/D+J+ldkasvHBp2r93gACyn0Qr6e1bKJ38WpAPlkKVBEeKRSMmlfHeIKoVksEchL68VKraXls
axIdTN8WuUhmcU2WNsi6DoEoLcCRyypNPrOOqBMEMXUeLHW6t9G4BmC2ufiMS9CfINZEblKaIFuc
YvkqoukvyO87qDR0dz8YQfM+ajLgruRL4Ztib2hdgxKb52MyD4HNe2Rgn0NfjFe2qe+HrpsuVCra
nFnbX4Z1Md75lncHtyT+jlCd3g7KVgZon/T7qBD22ESdzkMIGXdDlcy7KVbR92Jt572Ll68TkNW8
QsysM1k5lVvBgysVRAayce4+IsnTOdQS/l6AAt6NrBOfp0ThbDDR7zxP6jOFMukaCpgAAatwmeM6
eqpqJJEJ9Nw3VLbt0ZOOfoFKJNoto3+UE0J6CLnZic+ibzISSP6gNV2Af3j4AtL63hN6RvZAstSC
qt5XZMUCtxD97WI9v3PgRz4GC2/ycmoAaEOjf1fWw9pmgSncB1IIc5EiL7woQJwAyq1kekLcDPJh
JFcD+L9776c7KFPGzNSkvpwwYTnH3ntfrmFzITuwzYGAkCWl7ZXwhTpDn3RfrYATwSF3CbA8WeRR
WyQnDfrxUCRjvR/Y1OQkkVdl1VfHTgwThCOo41pP9M71DaCgKVSHqen0sQDrlYVLbfZLIpurgluE
byfdF6VJfwxmIi79PMRfaVzXzxak8g0f7LuBNfzBJ9EjWaPhpkqluXKOxYBDAn9MpnjaGx7Pj0Oj
pgsumi+lL8ezKuPiYCrdHedprU4ToHbAykExXOhQTvtIFxH0EW13B9VAtUtwc83AA97Rog8/B651
VyluZZUxKuePkOkFp9rP/KrpdXkRan7oGFh7EpLbSkQflsBFGUmaeq9bJiG9mev3kDf2x2lMzG2f
jDRfhp4diJHfk6pACCyUOiZDCpGYGurT0NX+SkWRgzuhKj7NKbC/eABB3Pva7EAz+L84jDeqads8
rMr4oZIYwkirMcf4VoCL7Boce7vvFX2SA2qrpovUbQnTR+2C9XoRy9UqafRYm6q9MGDy9/AUzEdU
T+lBL5V8stO6HKNF26claEVWpFO672DwOMeunCDhH54cRVxJSUMPhZuzKiqafT2pL8EEbNuujEAp
UvqLNF2zuCrqy2W8jDsBASNkD/NNVHdFrhICsRaJ68cSRPIDkqrqsjUJrnpOJWpxVyXlbdeN9JjG
RX9TF9GhEaw/JguxQJYi+FsWHhxVGQE1VGFxFZctwk5YTqdClpoj4pfizvB+OUMuQw/wSkD+UZY8
d5F7GihibRdb3h+do/62d3G5ea7oRedte+CJW75MiUxqIMoeSUo1CA7tRWHaTKwm2vHOL19bqE2e
xDrnBGnul6ZI5Q4D+auZGnMomzbt8rUN7HkdSJI3ZRWcCm8hSYtN1aBkjKr2ul/CCuhGJPZubozK
IZ/6Jkcb7iI4mXClgerOeAqNZlWVt8h781GT+gCM0B+I7HGDOkkvPOJAjku43yngcieI98hfEJfz
bATfk02j63adGIs91YB8kHrY/VBX73gMiDgbCMRzUg4EqsOwPBMs9VNHh+IULlLu43bqh6yAROzC
gkHJCxUMO+PqCfhELONPRkHzcqBTzDPtybu4x4UEXr8ob6gb6delj+tbvwBsI3NY50xW4UG2kM/Q
h2SRwP93ck5U91VPzSyirGnrtHkfL6qqogvJE11djtAvdu/dOmPWuvHbEgRAn1pkyllpBfWgtGoa
z3nrSg7EQUPotaqi3UFUUI7ZXKzL91706ptLMULkCPwTfqd7CgonD2s492e5SmCP0JsvOzIk+mKa
E3Nteny6G0T3meHksWq1sLQAzqzS1OymAmoTHfO+yyAXbb9ZSeh1p5fkLELqcYJRzN3Ek3jvFdhq
Y7n4FtX9IDMf+/5S8tTtuU/tvW0My0rR2Iug6Zt3xCm1E6xbi6xTbjpFNRBmRIN1h6wv3HURUpjQ
DU1WFLo6CVtHe+iewkvSDtGFJVD0AJdgexCEC/i9tWHQd+B5pOq7x0XP0ceBVvBADbpv4mygmxmQ
1PDTYebuHUt4rutx/Qwi/rYoE0wrqdPlYXFpsZuhZZQ5SDNyDWlImJfjMOwsqwHrDTwRE7xZfQL7
m+3LDJnWBP4CNGE2QPp0sTRl+b5I6vHziNQTNdMw36ytLx4a7gfoXzDZslHlMYAOqch42KibQM7O
Zl0LRbWYenJey8E8SNmQcac7fHTyKT9XcAzcjwVwzcJQ88EqSz/RPjGf2q74IJuYXEVh73TmWwIC
Kez7KYOmts+mmVzGadM/zGoZ2p2UfRtfT4uK3rXKfIm9raus90sB75siPk8cwbWvfQFpEaklgPl6
rT+WpC8fk9LJYwKnVwElPQ2PKIXGx8pOEL0GlEEOHBWXQ1P0O4yoPZS2xCFcbOtB9418hbbKItcx
2gCTV9w9e2R9yPgDPmS2W9Y7EycVNGNpre9tkSITM96abC6ncD8kAd2HsU/PrgKerbwvr7ia9bmB
rfWm5qgc4kVgM5HguU46/6gADfJMABeHkXVF0CC8Wj/C/ggtC50dgWsr9rfB2vkdCBJ5HMO5vm+3
PIl57CvrozEDeVZcyB9CZ2S+OSDu7tSWkuYlyrIO9eeWyFJurzhDcq1bwrcIVuwBn0JKgm1XNuZT
N7qkuaVgqxiIHUhSrg0YZJLN3aCSfFJiADsA/4//FqwtcXc0DcqTUBDK6XYO1o9ju/TLe++CEvdr
MKLgHe8mMoDj3U8T2iz0WQqLo7vElNgkOXSFUSJnA+2mKvt/DRS3KhqD5QYc7FEGsXlf183y4Rf4
59/5Lt4oakhCIDiAIylGVgZ0563RozeLK2tG3U0RDHwXpKHKaDhjRZpzkCQ7WTyFDQPAGl6wih+C
yB64ovskltf95PdDN+7xqsfUl9Bu6+PvB/fGxPQyNjQ0oJGI4V0N36h9GjobyNhCdwMe8CbukSvK
k55v/vuHbJbuGNqOlMRvJ4CX44Kid3Y3OiTZ9j8BmraNu8OPx/yfcOdFuPP1125Qf7cz+OGa25wx
/1m287ZXwf9imT8sNT9xSQGlTczgcI/RNiGlEYHy6kW6Q2PocyioogTWORy1DX38CUzCocd4FKPP
QghmDHsLF9nmuacJmmiE6KOVAvpDN60w/m9QSQZ89RdQcnsihQNIUJjOBMxo4XbAfnFK1bS0LXUV
/w50aETaGfYRxB856WftP3A+9dUXJKscyLpZB6hFxnDhasmDTpLnorVRC0oO4H58kSq+QlaaBq05
uRTulOsaKBDyh65aeP/Mq7FcgEwKUZdQ/QM0ot8hf1knGOSXuP6SJLyXX1nDjLgphDY9yxqqBwwl
6rltbhUlECLviprbCgoBx5vmiqKexpCLpqHrJc55W/4VIG/H7/yypv8myrwGbkHzExxeCKeh2MPy
QUH3eo5i2mhES5V8l65rS3MaQZXDTY0IZ+OTH4pRuxxoLTre1AQCA/ly9l5aif2bx9PNHve/skg8
P45ZzMII1gKsFAbz+vm+hNhYEKG/lRT4lc7HjnG2GQLCwJQHhODCjjurxiLCRRohD2nvXMTWIczh
hhaOXYxCtUMFBMGAN75JOVz/4R/mCFv41zEi+jKGflQp25q3bNvy9RgXpYNQWQb8C6UNCXeFj4sY
9uMkGlGdtHYU4qniRI4vXMl/nJw3a7M9N4LgLAw5gbUId8/r5/bT2sVdwJJvxYo9B3sRgeL7k4pk
CIwQMtVJ37aQe47QQKguBBH2+63xWlMZ4fFQ1UHdF6YRT+Dp3Kbll+NT8FkH4MbZtyCGmITl3BHB
v+AgBeO58zqub3RAO3q9wY4TYCtCUN0MCjA8+a9HghpDoBqFFICgN8sbdkFBQVqXK7HfIuFw5A4r
FZ5CAWwdKPS9TmQkUGdiCpBHQhYonjqyzjbdz7ojvfvDqry++jAtPBQwuiIf5QJLw96syig0Kdeq
lV9lCpTIHjsDkyu04bIZ0vW4QnWKLfL7ldiYotc7EIVZhFOCgwoh5D/olQKXOEjQMXhWGlqx4LSM
yMRU1iydQrO/yZWRj3LdwOXeZ0saMkwE11CFPDS9KNcc/SZs+5A2qrHtzvDOhvfNrNvh+ffDfJ2w
gK6C7DiKSMRpjBiO7m6vN8zkAH0iu1yeFztabAIyVQTrQ9DrgwOrs2wOHgArmu3QoJLcvui+mP6w
Pv+YLLrJQQVIsjQBXYbQ9noYUKoN44qS67lFBosYXiJ6QWs5r2Rc+SWTHHF/KOCp+9KUvEVEtX1j
KT9BrgL9R2YUou0W+VeF32q1r+fLCKY9KPN+P1307QFD0y4m4hBmZRimIZx+cz8tzLVoU+HZM5yl
Imj2KIf6erozkGz1be7MajC4IG5m/KwDvNqtO/RZWYMH1/fyPKQQ8xV54z1ZLxtlYK7eKhMhwTxw
EtT3okmBfgKmTBeExDAoV9peEJ/W+KuVls6YPxxTCg7y1TaFmQH6a7CKFDp30IpvIgZ2Zmvmdu6f
Yt5xoCM9gZzUgBaf4DfKqQdOCPxjfYmeqPzxs+lHOOmBmuNHcGcwYQ6TY38+Q9HbKB4i20gJBMYU
QmOc3TfbolqqoZGq6596i1Nk9gzQbXQdUsXWSwapAqYjlbB+wra1rGsMrad1gFEQ8J24L4yXYOmb
qPQfbDAN4ibRYksQlmhu6vRYTXxbnm5gKbbQOsd8vu9tWfkPvgZdUaHmg2ILChzMPhaoa1OFb7LV
IhNJmgUEQ8YgKMaXwZNiTHZoQcOGgwCAjt+qlkIjwTA/Hg/4L4BzKumWEn+iQ/KAkeug3XKDsedN
9WUZBEi1QzpbOj+gZYwHzm0raTNUKTZEF5VCNsupiHC5fob/SUYfZjJTbLIY4qjyL6T2HVKU32/2
t1ETsw9tSozmWlEsOBDm14eSybUtKLxbT/C2DHCIQlcSAw9yXdnVZzahl0y0//0T30ajMEYsCinu
bRQp6T+eOFgyKNcw95l56OkA1U3RFv7CIa5weYPT5eJJlsxjE7pwGofiGnqvGPv098PY0tlXh4LF
Au0mcFfwEGZ0ZMmv39yzeTJBKpoPDbzyI7yzkPcF3ztYUBGNVDW0dG9l3Om7eUgKRJweXBVE2Qlq
5w6Af+wAvI1guy9rmYiHBcJnCLUGmB3m+zEJiM7RbAmWBmwiGCkhHgVXk0VSoL8MhLAE+7CbFbKL
syyrcTv5c8TZbYj7vl8BSFm2zH+oDd/GtYThgkK6gbfeWqmhJnj9xpVA3xRnhvhxRtMeJLHc2hBJ
7Oy3fRshyYrAc7oF23apQCpAWTn+yGwD0W9bmsERHMoHuYhtS4dGe3hJdB+yLUQaPxB6MDWc2vro
+Vrh1EnXbDk1heEKpzOmBsfoD4v4JrIlyIASXJuIalhBNMd8E6rhsm98V7bhYzJCBNgfxr7YBjAG
bNqO7o9zjPZ/K8YmFWyRY45YuYUU9KnBRRMoijSeLnz7Vmdg5PwCJ2QcnTTUnPiWWV0nbqRZ8Cmo
DLdXXIsGQqoqiC2DGc/ODOJ83Bd43T+82pssE6+GviZRCGkPAAeoS9682rhU4ESmbn1ET60tUsHq
h60Fk5/uvo4kqUJoy0Cl+Q9xCCq9AhPeUSzIIpq6WPe+EXQsYKoOJoduW4PFdAD/Zth9bPaIJq1G
o6b5CB10v0W3CWHzpIGoIayNyEjwQD3CDhzmqLEopgKUFqZiHGMFbTaHQxFHQoFox7+9zM8WCrdG
cf+qbO9e6o1f27W9OaMJ0gVkV3HIIZlCy4i3qS51PhKrMMH7uYk7RIeX9DZUkMsBU09CAMF/Cgtv
rqPtkWheBR4H1xLZuqa8PiSk7JC1wnPwfphAV3wZ13HEhsLdj/mJyj6CFFq6AO7hTNRsxYTXs2yR
siDoYZacXerxLhZDIssDRJ8JggEO5Hxv0e4QN0AD9/s93OG4qH4uW2EceIBsqZMWZwWnaFuOolq2
hQhKkL7gktcyne9J13QYCa8q3E0Qv2116u9nO0rZ65iIl98uAQQJCrXQPysqpINDUJBlfa8gpIDA
B/3YWJ9LR2R5I0If2XVvFNwMSZaGMAGqzMJYai5IDUkvz3pkO8GlLZog2jDfmOXGdUvxleianJyc
IrGr4rarv0G64e190wEa/+Ig3nG30UzJ4ncJ+B3e5wb54zAdnOPJfGONkkuXiQZM1BUjlsJN0toU
uOQyTlZm3ZIYX2aqnW20wNdazTgMs7cOKOUS8DIqD2lIp+hBAP6OipwsdHLTEcZxRSXyN1mM51HF
yMzyGGY171HWYiv256Va5ZSZoS/FYQZBBVdNEyz+PcQBof4AU0UhdywaQ5qvqE+h7xbFOMCIoENX
5QWvC0he2LgzkJf7S5m2hBwhJ1DhAbhhosi+r7omelz5XFTBY9qRZXm/QCQxXgew4Ab3uDHi6Ru3
QthHH88gLrO+69An8F26+Lo6Sg104+Ahjmi6LK26jdyPrR9M8kybMmmhXum7edl0kqv5noIjAg5c
1W6g5WmUreHJDnUAr8VRNkElbuAAC6rqCJ5662D4HcIJNmKWF6jKbHQNTmXGlvYUHK16xwQZBdm3
0P338XlKIfKpr1q+VKbYl3MxuvkKPEOh9UFGjZv4vWxDZs6ijFSRHLBXBLSaaHxIcK3XIGUcVDNB
JMy4gyfRl+vZFQM0SEenG9w2eZW6CAF27vXEP3XBJPhwxuZwgczhUxiAL0w9sq4UbBhLFnELyTDw
8dvx5ZuB1jV+hkbwER7nYXcwz34yaThflMKC7zhRkE5wZ68lr6b4uLQlbWqg1ACkQQrwQON1CsZx
qXxZ5CpImpdoCMCL29X1ro/voHEoXX2AWC4I+zN6IabJfAuGFvqvDI7+DZOI7chV9SEupAz8ZRTV
A2YqgFOdNteI2kbxy4BJG9dX8B5oWt+VpSsTuYf3ww3FvtOUYewIWduQ0J2tJuGeFGrVZkf6qrQJ
OgES9Hz7FBZhi+c1ZZ2mj1ORGAOdQxxjZsNk0rhBcirU9kcwfqQs6GaQbjl9BBpqKwzQoY6JQ6nc
NmOsRsuRFDSZGoOHFjIpxKkIzmf0Vkzd2GED+Bb5xnFMbYPP9S+vqkbuMX2mjPEf3CWDxNNqBSX4
Q0v1tjy0jyCB+kjrZZvnNoK3btwFUwCX2ilA00aINoxBQWMOVmtkWrmDVjGGZT5RfAqwgtFkpg9j
2U66xXwFynfwwPuILtdJGW9D1ljp3j8I7Cw8geFH5lkGy7bBhAViP1/wFXb2Z5CR29TMM8VHccUm
xmEMczvgsfnP97GWMfMMwE3he3zpO/FQ8UimLI9cCgAo69F+BHPxc/dIqCHxJ+My2F5OjuuPyZiw
ayyMcz9y3JR7vv0bG3h1zaDlDR5+TnXw8vG/J/nlc0AKwuo6DvsGA6BtoObnSsOtYI/QHqx4aRNC
tFVn0DoXmjygAC+6NOMvC9X5ecRWQ+U92eLc0hR6wU2rP6/iNkUvFczSHDY1PhL2wNgsJFfoVZVm
0KFsSS+akUJhmdcxNM/P6csMdj1OEOLayzupUKNGy/uuFY6eVihm8GvkZWlftoeQVY35EREU3ARC
w3p7+UWsCvu0oHZ7jIqUwDdXKINi9ehhnZ/GC7wp26b3ZSP5aYXhZY+X3P4KvBwDfg8thRl21zCq
begvExp4B/I172rWRfAWEjRCLM8eFtalPxYbiISGmXrqcKbR82JDPgY0nHnWcxyaZzR5aLF9QHo2
28tb9CcStwOw7O0PhvP2Ba6PBF/qlmzHofF8G387Qd/hHqe6qAt9gFoGf1cZRgt2qoY1puMle9kr
uhzSMT7+nPIULQMwnEWzCn8EN0CHh5e9rnDPz9R4QR6RuZVQMvUmGFudk6GQeDgvFfqc78a6B7ZZ
AzAAZINlUtM57ortOE+4X/G9ap1EmRwqJIvLegELXr10J7SlIGjdUacRxJuZHArAhjSlEz6vRjPg
C5JGXt80UA7XN2vjgNtx4iigIgMsv75B1ykJUMDZEk+HJ6abP4hWLqgC5Oq3ve9ShPLysDATIsIk
FqajZF+DssVHIDaR6XDmKa6q5TMRS4l4U9RdV1Wnn3ByOdbKlodJ1ah3v0IAhObep75UmI4j+3Fm
4BysMWGDdJX0H5hKOjc+GrQdcOI0vrz6khYgkHcMNp4Kb1QVboCHDWIrRLnRRtv00aXfdg3wqm2L
v+CnyVChG09Gp3B731HrEF8glTH4PFp2cvybrj1w5TQKqzZFe1e9iuaa9dTiE2KlWw2Lnj0D9tUL
yOIpR2eGw9QaK0MosNETK8j8C/QmUZYDNTQczYnWowR9L56aBrVTm481gAl+2VRiO09j5DRA+KJK
RoRKJuSKO29YEWnKA2q9bfImzTaoIJySClh8WaN1Gr+0a423/OyQnsngwsnBWn2TsnIDKbsJ1911
XEkmxncRYKxV7hdZBqs6CNfzegCvHVBoNmKAQOIpKqAqhi0OdzUW3wcRzKMH2OO2a6PhcttuNrQU
m+9lJsuxAxLNNNFsvnCeNzJ+B4OLCx4skmmgCr43qXhCvMX+ghEJHaWOZUS2dwBlHyD4o7zcUKpa
I19FZp02HexKIoXhjj5HaC9S30DXCe3jIQq7YQz+cuhPusg9bjRW82yogX8HeQLxiP0ARNJV43tS
mLIocsnhO1ruoQmkzHxLZz2b8PMgoZcmR1tNMyweaGg7VB98NIVRl024HRYU+5R2yCnjmKcTnbDL
GzR9zmd8M4hB/zowU8vu55u8rKXpIUzjOTpirNtr/Qg3dT1v8S9diy2aIPvfDi9Mvtsn0C8acybL
cPse+kgE+MRarNsHJQM60exRuW/chq5lj6NcIFuUN35cab+HwybeTiWkD/jJzy2LnBKRCD6D7Ucv
EPwWToMitwvMoTGIa0uSuwmNZh26dRAY3J8ieMHS8OxMu53yIkDHJMD34InwBW27EC2MJ9jfEQH/
cAPccht5pcE0Pv18ELcprjSDrRI8vFRsrS59XGVl20/Ru+olYKHLzfaX0QZzA6OD2mwgJLr62Sja
oSmu6WSmjJiChwm2IrwzGsGU2Eo6LLY0TkULnhHP9Tas6ceBC7oK90gGH/52yPtwoxl3rVu2PRlL
D2VDBq9q2zR7Bfssdu/LhAAH3oJelcCjjPAO4Ux5qUJWx8kfgK83BT2wnM3tQUCspjGkGG9hZbja
kJxWffiguk5g1HGBRk0PFi7b+sZAJoBBwAa9nS40bN7G/ofq7nVttz0e9hTByfb/voPnvyls7QTj
vxtiQFUvobEEBrzNPwiV+g8CgTcAOk4TQcsRPAuQFf4ptrL+F4bKoU9iIpFK/r1H4ASEpxd9s9Cx
Bk0ctt2dCrUtKjqLY4W7yEZYsp/B8fev/RpCgFID+wf9K7bOsYxhn4evxyJnFgK+LYuHFKyaeNIc
VjVzGGDSYnvfIXX+0zz/84H4/2ABcICWJyHAxfQNrljB90zrhqAX5NLioigq3PhnNOBEmPt5sn//
gvRNEwy8IbBbOH1g6gjRUv8tkLnUZVTA0Czuf0YMp/wG2sMJsXJ+WKIhmQ9lL719Nzn2/9k7k+44
lW1b/yLuoAiqbkLWStWSJXcYkgtqCOqAX/8+7H3PPZbvsN957dfbjW2RSULEirXm/Oacgeap1vXc
wgD8oHWY7rS/dOU+kknxNjGX9dm8XB/CPtPBX+/57Ova5M5Wc1/8fKkm6jrecTXkEes60MyUnyAR
w8yb6VtsDpQWWrJ+kExakLexQXCy39mlVWNsUCwtc8BS3/C/835ExnU6W5wng+nnPEv+XGb/fFs/
/oz8cFB6dJuJCR4v72PriX236U2ljddJl68r0/KjEJKdXQ13s+YNguSi//tWFywVrmfDSsEZttpj
PnKIXEU1gkJsuP5n20Oh1mQbvWZlrTdtl8b/UWsNIK/hGei/eDEwiEFq+bAcWKhKDbxZGdvNWgVT
JK+/hpvDJ9lWXbNuGH/+gusf/B9FAf1Zn/GT4A1EjyLoaH7oZ07zotJ2sTECIZjN7cAtMZ5+dlpe
mL+9gr9fip/OY4LnCU767sfvVkZmOQ+xEx9+liKjTXeE58iE6fW3Efg/Uox/+2L0CrkUHGrzx2De
+7iu6zpzGTcFNtAuYGq7rWmrVY0w6MIc6u/dUjFDD+oupreKoT6CBguj0o57ozyzWyPBQdmbSzo/
2EHpPei3ZWTHcX1AV8dM+DpSaW4oLGMmI6fXroGyEG/bzBQVWLBiWMye6AXdARPitTattisLnpTl
3Po/53m4VkfNuomq0mjUJceABFWRIsdJoe3rGVKNAwcNFzRXoWWSn+KfAgU85vrY5z/LCip0j83C
+bGM/Txq5JPO0j0lpcnSzdFwLQOm0cTXdKhN/EnXlTnwP1BiOYN7bXVIWSkff9Y2kuEob7suPWPB
gdD1pUGkRteClg1BGRRYs/675dGwbYJl+1nI/HhUmaxN3F8A2usm7jYjnSXOFrljbiVQBe2hzDlV
jCedaUUaB4UqO85T9POLrHiyKHt969rBzyzkMXN0bW0GdGNLnxVCwnoO86e5s5owyYeStisdGJcp
wyZLeuCGgTbU8aSXm8ZCPWTe+o0PBmYbN7zczaM9++NSPzJvWCda1IA4QK/rvmOI8JhKus0x9kKB
nGCXtI1hZEFpUHR+nzl6dh5GBjWZn2Hgzb13TdsskneV72c5Fsiq03ROwiwcqg9IUGGWvq3qmd82
nJS54INb6dP1GFCaGTZ2fgHB4yr3u75DjlpkU8pp2vda5qL4FLu90It+enf0Mp8xEQkKbkzyOMza
l4rOi4aT/OfI7Z+1qGEeHjtXHkxUDhxVUjhAZ/6ps2h8r3XiXPXrpvPz0Sh+VIOVW+Qc2VofRQyo
pFZ3SpA6XVy7fAwzhxY05droP7KI194DNA5UhGVqxzb+0Xh6sOfUzsI5RYSbitE6pLq1HMt25V23
cX3vto4ZKN9Ort20L9C2i7F9jHioDyK24Vzy9kHlgTryEuspwlzfwPfjFVa/57BLS8ms7LMn9c91
zutYQe69cqZUhq5IEn5dXWt3mavENqvT4WbJil7fUpX3W2/W4QvlnVN+SeTwYBpCnluhxedy7EAS
dLSg0b7Eh7EefGxok4diPmmY68v0a9o1UVgkMDBmUVWhHfkNFnIThkhUMQUm3kTwp725CkRWubuJ
P3n0OI+9A0wb9ugeoq+Nnxf7XBkFzBg/wyKb6fWDFPTmNwUtmg7yTB0/TWrx3gqtsjnKD+Xj5Jnp
Vjd7/SR0H/pArWnWlaBNt2v7rvrWwTS4o3mIRyjpLf+rwaiH84whjXvgeEm6k1gctkZX9vfdKGg4
sBSE3ayGk9VBY8aqN3kk1kC4815SIm7mIwqE4UtniszY1oPsOeakJRa/0bK9bx5cThCmkdaeSh85
QiiMPrtTI7EzNrP6s931RhPAtqjf9KyTV8oV+rlzjPUJBd/FDDUep5OinL3obj4e6X5rBIRYiRl6
rH5Y5yYoMgs48IRjs9ReJ9lM3xpNUwEmx+UN32dtoiiQyAeXpePJTQoJ2cKo2wH3zZSrkzPEDfJ4
Q6bXs+GyEHOkCsbJKqwTTsRCnlqFrdSUg3m20Rdv6PQ+Q+T4og9RdC0MXp+xG/qQ1qKebmL8lG5o
z7W1FW5fXctEtK+zVNRk8JX6GL5ojgYiBy8Vg0/QBqCbTKbrjWUW1b6mUbAx9bK/U0aV33XJ3OdB
3vfxUwPz8qVVskTmrwYVRMaqzs/4fExcySnJefFUsgRCedOtD7IL3hGeybesxNbLkKd8JlwS8IUc
jTvsnd6R7A4U2q0enURaibfOw0KU0e8HC0/DlYtGPUZereFEOsRXGKbxjhVG7r+1GkVN6FGfZcDX
uubWmZx8x0LvOIGfLu6hh+l+i04HbceUtE9mXUksWsrYw5ty3lorepo4Jz8tDRD3fSMFZtCmjL/N
3JB90rvDsKUMnB/61rejTSsaJrY5wUl6Mo5HEmDkvqEONVacvf/kV73/jvHSeszaqH4fl3H5NvCA
h6NbmxeBsGCvs1OEjWr6B+pLbWNjZL7S2i7/vOh1tbcK/FUwShZxncy6YC9bSWnYsj36QdCmDy6D
mUB2VbbPIXw9oe2y+PyjeTL0ytplOM1f6cs1t36VtAdjLvwHzN3LOQb6ulUuSy7H4BLck9D7UzuI
6bbqovYRNbv4YuVkpGzMZsY/NZe8PPS0bgyrH86qdadjOimrpm/jVfvIKaGoQfjON7Q9/OOiQf+M
oqS9w2aQPHm0Tl6bxesf2fDB/0C5J39I69EwOemu8CP7igk3JoYeC2LoLXNl8bxjilpirSZzyktu
wTFKWO+y0HftlDWvsh8EAHF7Wa5aXwxnhEo53YGyfoytxS9Zs0u1tVwAJgYzv2Ak/efGG2OLznyr
fdUiEw3a1YxNNPUDGM/UuqE70NL2rkjfGd1+q5MLWEAW+Bcbmi5Lca2Jufp/4UIj9RmeUnMcmz0u
bkv8goPWMW6dPlKgPX/BN5Mtvf8PBbrWmPef4Zu73GtHn/r2qkH1XuwM1RrTsRJNeQPGRbtzKz+V
gaPapN4mvmzvsdOM5ZaR75ycyzSv01BrKxsRYhQZ2t6Fi7TczxiTh2S/lh566DeqLmqCt2Q9xfkp
50zeFoHhUrkEdjlE4+V/ZwIj14uMcDIoEc89B/H+2U45/bWsIy1saYfCKa6QFR3G3sHmbCq9yh4X
a47wK8yq0f3hZLLY6UdPMBHYN8VctWEydvbw4MNyzVDgxAUWnBbHMVYiTeAYSi1UMxsTw91dPRv4
MScOmlmgwzXTryY/UzgWW/r4l5XZM4UI5JawprN1gtlD0IHh5qeepIUuuylmzYEIvBkhZSnYRzoo
ilWlJU27vOl7kXl9ODuZA3euGiAQb2uP8WYAwcwst8LAz3uFOy9zcJXR5g2WXmHds8qZwY87ZPmh
gsBbb2MGhZc8pU0aZipVB7InDGj6np7gknKy1jjmcSsZRw42oBpzYvrt9CY0PttXLp6+CGwuyGSL
Vhw9u2dDau3X0ac0sVqJT6yuI8Paxpj6BzOghEu0OmA2jxQNVnHi3M+aqLGvNQMO8SJgJe35H2pd
S1X6hUWoAQgB4hFuDjYn5W/z0jXcZCtNBW7/YmijM8BIrsrokDWeeIvH8fOyJPFTjC0x9qWdbTgm
lA8T2o5t5EXA1tg8dBYJp2X85S4A7sziurXSAe5A6wcSqsMaBmVhlSpLu3xoq8IJ29Yh/wraE+vr
2JdfgCUvO7cuGOPFCt9Kzr4SGKqbmnBhsxG3fpdYDy4CohbsOr0engcemA16uOmrUcv8TjZV5207
142vuhqo2dB02BOhqI3Rka5xDG+9VD6YrqwJzaqBzddgja5y3diCSKrPeWRrFzNX4mxKhpYgmBhe
+xyLQtOMxrcKD/B+UaYJt99lEw4B+jTdVoKavUY/OPVH2U64V7tJV+R/AOwUTjfKjQ/vEw0pgsjh
2Dl8ue1Mk/thiQjBjph7N/uM+VrY8lISXDDn7TW7PJt/6uQAJzPqCz5CdM+uk+4GQo6IP5PJc5bG
xmc6b8Sf5Ya/r3W/3LnSzW7hi7XBWDrJCzkkT+Qu0FDl4LZzzSh7rSezrze2VWNC1KP2NJhWpDYR
wWYeVr0Bf6Q0+dKxToc7VWPAYde6yTiWgKM00i95Yrmf8yg2XnLDmq5GJrehLZv6aNEyfqb5bmJy
9hclN1amNxcniizqVuhh60Movoh8PQzPVbnu2srs3mtgTxC9nZRBKM3k2jlWdpXWQQfyrGfWtNQ0
CzEHGwHGQPDPUIwz+4Lv0XxPkoSoO7PgM0BRcHF65fzdgPYXz0QyS/tYOoPphn2CkBNQGdv3qQRy
9klyakuCXFqW/pmNF1egr3nTeND63Al7mWkHMOnm06obALk35gP5h5q8sW2VvePjlGwPnDx39RCh
hqoj27pidNee5YyoZNPGlDRXqhvke272Kg062ozjJh0LcCD9zLvCS8k5bZB0Mb+OTK3GDRO5cVtl
o3WiSQ0tbUqhaBxW2eg3gYQ02pVu0gMI5/y2Ifoy6sMiaqCjaA1BIoGOYfy574ri1ZWjCvLOAl+m
aw3UrMk1HpiueT6qIGq4jdNPSbGfKKpOrH4VNO8GfgelnE/piYoDaoJFfoMWDDDyYD2Wui23rRxx
GKBI4SEKVmB0JnKAUaPDKKXMMepRpLXb9Rg7BtHcpBiPbauKlpeqG6r8xqyNCUDl2GF1BrXh1IsM
WmOIi3mv6WZWiRsHXoG3yY0mtd4KZKMaRBLNU1m0Y2CWK/2SJ7VT+wGnbSXwWi4JaIrAJYgBT3jC
/Aoz9YCaW8xhNRIgmJ9nLzItPegGDmDythjpDlkbhcybJMx2kE36Ese5qONw4lVhjIIbx6razaga
/My7mFqtIlxl0MrvXdOp0SZEJU/Lams3zNoeIt1k9rKXCKUI2IB0SZ7FbTZAebSfhYZcCvgAnI2J
6Y1q+frfYMi7Ovexy6o59GWi7BebKVPy8LNZq8l14NAX/toaNY1IyTOpzuvoHr3AOq3gPVzcr7gt
deXs0VUvvG+N0fnp6wBvUoMA5tHo0jjZRtnksEWwHMPcTGgoeFc9BaW61jMfqkEwxB0kwP3CdItf
iy0vq7N3yxuqsQxtSENzdbYGvt6ySWtUFh0RQR0RiA9Wb0Og3DoIVVPrpA9DM9fokNKeGoezQ9zs
JNkprMdaX4c5KqSLiZiL0l36rJgzSM0OFs4efk05A/NMxEgnNQ2QVA3FJLZxpURabOWE4sand1DV
3tVC6edtI2InIqZgIyS/AWt74+NPnhdLgCJpy2fpDcWThrqm35g15rONGHh3tqhNyq86VMiFKY0O
fWJbO52fhGOLTkVtFrNh+Lg4w/xDZX/y03i8pVk6HugDp1c1hMggN53hkhnzXG6lVSLWGn0GwVIr
HjJfTe4R/uribizCD8VGVVNe7dteR8WoPAiLmHPG/Ktc9ChnaRUEGDjsowN4j2W+71JtUhQIWrGl
AuWEGGXStvetI/oyjEpPvWtLpGbiJiAjG0D5iEcMp7SqvrSAXtpNl40cDapFGzmNQJdKtpQTLXjF
xM7Hr7EGsFALqKjNKljyJN7h0xphcpaD4SHOMVc0TqSLGq7SrHcHo6vdVyCDwugCNzLjOqChmNqc
UN25uy49Rx9CU7eH/gXpA7KJTStR2QVoOpqRAskw0RXR3LqOOXmXG9FQh18UAze1IdPV3bq5U5yg
YeDbRniNuQJtnSyRbpgzlEWvsoFyuQSpgjCZ+WFcFWsbHMLNgTyLJgsGGmbvC4IFno3IvyNFt+Z7
LnLnGEQqETWmQuFHHqFTaCu+aYiXaB5mMr7SWIa7zxwup+TOzcp2rbosMz1QwTinVgAQfmeJtOa9
NYrsvp6s6IJMMv4atwZ33psWhVxthU/my5Iq8Kv69OQpe7idWoAu1xIbG9Nht6xZTd0Ss0Ju+/cG
7UMiFTLwNQZNC7AkaGM+TZbAR2jnnThUAq5pM7X2QxPF9a43K/3FaTsD8CU6xKQtFhT63TJD5rbn
azyVJvSmoRsxdRUVAnk/hct4hDmDOq2rFuSgcTRBCpr8YpVGcBqG2ehCf2JCxJwVI3HahfG4RtpS
+UR0YXrpIi+04g5uYFzN3cUa5HAVmwYRB7odS3eHEEI+TsrtUR33Fd8SNYD7megLD9goBfhNo60V
b+cJwlKoqWdCkQDAIEfBWJyEbOgZyivaJbdLSQcA6rKUEGZGBHahpZcpcCbFv4lt5HTIRkoZjpb8
PsFkI2uoU8HU2/Ory2oxAveoWhkWzejdd3YLBw0kGBxODU3PySrN+mIVkXmGlpO7yIQiGM6QE/0z
jEnzfS7S/KQ00oLR6mUAiDzzDVfMUDFncP05SO0OCrY7iXQOhwkYwAZgK9REoN5ewfoLiOCcGeYM
/8SZ7GctSqS6pnMF2gIhB6GlhSyNV+DcMTgwhBjXNQoTfetO9syhwDdxNTSRTn5RaWTJI4iEdoKn
zP48Up+HidU2P8A5zs1kgQmh71JHpOaV1kuDygJ261AAiSjrl7av600CoffeRVGJUCoeeeSL9jUm
ICOmtlJaoFF5XNoBe09H3+VzFQ/asYVtWYRtmrs3PeSsUw8oOeBEnl/RF3APWqR7z3SMU5fHIHbe
pblYZHvo3f3YziYcBALZgmwEVEC1ppdIZypaPG7XeYcOurUTLr5G4VSmvtpX9mrsxy2bElYCXr3l
URdBY9ngbyzfOFdznaANnIyXJJrVix/1xkZ2g4510s5JKiyi78iK9ZA4l/7Jo9zfGyIy3msU6C86
/4REXcWNQ/L/gufGuyiG/Hs59is6bnhDoNzfykEHG+P1tW7wHiy3fqwR8dAaotyzHwBjHbzOCsnk
ONNF066mxmw/ZTQ7Qk9xUCGPBoCCSoz6WfMK8ZAlQPgDQVf/KGVlMApDaZlb1pd5oPvfbnNQn037
zgaVlyPZavhZ3BdOtHUp71vR1cK+6TPiuRRMBW/VJrUN/mdEAgo4VsOsgYFjfSNmpDTzfjLxapgh
lCvVJ0d9SMpsOSLknvunKFWT/cWuRJ0fstorexFEAsC1FnojLPGWxStHzcJMC30ESdCpo4cI74yF
stHT5zQACkMO3xHoDl3MjWMqeydENXmfnarqWVQamRdkdE2unQBWoM5DpxBqsxNDyWoEGivkyJTx
qKpmvNC8NMjYhY0UNJH1N73RZtDjDDQR6m07OZGRx8QyjXPUQjKOVhE5zyDBZvs4I1aguRstr+cI
k1rKadvn2puiMQsZxBJtDgzRShXhZFndDXXYTY7nGFtdWkPXvA/5Mhrzhr8i0zmYakFJtllkwspw
iLBJZn5Ax3r9JsKJdb/YJ7Ea3eYTyTALecxp5K1JZGjhXUedtb7jwHzOiNspHAB5vgd78c9Dxw/W
N4Z/GKh9vLIMOZHpIXz4dRRd6Zw5MiX9L3qGi+Sfqbfp5Dbjp9YqY9SekzcS4aSXojXdDZh4RJob
gs3YhXurUu5T9mPQ9efP9et0mY/lMqfHruozf0UF/jEANrVnrElx6n7Na7l6m8qfwg/QjgUPolYz
LvvL+PVX9cl6RWzc3I3VO8zI92P6Jk1Dr9fxS3wrf15x/KmqseyqZTRPhJ6AsduPutKwfKQZw8qf
P8X/xzn8LYfFNz18Fv/SAvyWw3I1pF36VjG//x+Ug/HzH/13Dov3XwzcmDGzWKw2PWJT/pXDIsDP
AuKA87ACFbzVyP8PzcGy/ovRtMlj72H5QsTII8E0eQU6mPxB3gqKVGwaOtZt4z8COnyYt6OPwKhk
CcN2bei49kfqSDpj+KbgIhG9ilwvzNA+3+tJs1xQeshd3dDI29jS1d87zY2I+vMBZpVVdCKMlQCU
1hwDnOwG1b5T7TkpjIE5IqHZeF6uPXqy7EI3IcR9W+u9HxhJpm5QQQ/fstY0rlQSF8+czPotvWQU
kkkZXWqdMi+sTJdGTkPfzoj1dtr3nNbWdHHnYagG9RfF07qM/JsGgDsgGLKxLeLa5X3+6LDNsJeP
9SgxjbSkDZPE6+/jefADs+/X78Xn/rcn5K/GKPvH9XxLZ41HZ+T+5nszNUNXcZ7L46SR4qni4h0Z
MmloEffgz1f6dd34cSVEU4bLqoEhzfyoLloGGFwdQbvHKWq60CRSZkNUpLZnq00fQH6J/Zxk0f2f
L/rr8vjzoixVuuHwMHnQdn5dtZmMdVNZdcVxcBImjNqapNJhyrHDQdlMu//zq+GwQy1irA6oj4tx
vOY6VjgmjggLkMRWbbns2BeN6WYo/Mc/X+ujWmv95SCRcRHXIrXoN1ufApWXgCVOj02iCiuwkqgr
QkQdNfINqs8EJvHN0A7G1dTl4wGGYS+3aed0//F3XqVxbEM6gjuXReXXO0xokjuXg5UdmyEvk1Ah
Jg4d3CmPvkMexl8u9vszZOuGgZzQw64phPlBD9Y2PnP31slIGFiWu9pru7DXeIPh5OfJcSa8MQsZ
ouTeX677+2OEzsnByIbaEs3lRy8fbd8pjanxjtheaf6O/JqTNUwrPYDG0J9/2A/XWhEQ0JDIdGdR
RWj3cX8VtBIMDL3pMTWamPHiTBUh9XY+x/NkPf35Wh/W2x/XspmQCeExbfytqMnKHuIJFuPjMi+T
EdaRW54KdNZG+Ofr/KrjtH9ex1qz21hkeFzNXx+SgXjt1qlVCt7Tpj6Ee8WXYiBnbpBV2g9JmhJ2
qDgXgWFj+hxt9TJOLn/+DB+enfUzGNTtYg0Tw5vx8dkZafPRA+75DGMXh9JAq72JFy2+RLgvT3Xs
2SH9hPkv6/mPuvDfFvT1shjV+eLo49hDvfUn+DcJ6xg7JNJELvA1Unc+tVD8TlTc87XMqmTfWpJc
UAY5isySWcUuFslhHo+TU6mvQNia9osc/fKUo+s4xNgeThFc4VO0ZNrdn+/O//Y5UfRSGrhUB77+
UTbI7DSa4DdoB8Rpzvs8D4KBQ1P4/EQFc/gD0SDS3cwZ/ratVk/5RR9NROx0haPjkNfiTJxEdFSM
x659zelcDPhJnZH+4NNX/fNn/f2p9VDlWasal4rkN4Wjzmi+Ju4Eih0NUFQMhF7kAXDufvvn6/z+
JsIl4ydzXfSSvCAfhIZAgbgpWpce66le7lAgELdY5bV9JlfXfvjztT4u5zwnHn1whLdou0nC+03q
6nWr5idjOWd8HcZeNIYoRIag4FXZEVoWB1KByTYG5b5qZUXSaW33f7mxhm6vb+KvjyvufkTXnCf4
oX9HarUSHVtjRgd3mNr5uA5/vE3vK0se40EudxqOzXc7iUAdQuJsmbESuM5/5y29D2YL547B3Mkn
7vyW9qo5gERFDBg0NKIBKuflciGEMzol0AyxoFvR91ENxbM3F8tlKaBBbfymdR7cRuUnk2To80jj
m3z3cjLv7SF3HlB76+hAPOMqIRBkCMHza4+aOy13c4y1gZ5aMt6UHKjfimjW3xdaZJdOY46z8VUV
fS89zZYnZkolMsFRRhCwDNGh0EoGgL3uqkJC/S8A1zSmeEvI+vlSDaX1NFmWhGYQjSVEZGKavhcj
VpqwRGyZ0BHIkkts8WYLm6UFpUv6PiQs3mg17e9xTZpSABmCf1rRoomDKfVJgiXETOwnzN74Y1xy
6j0XYCOELvcV82Dr3ddGxvPG208Ual77XB4Un3bnmeuxUu8G93WB1RhCWIgv7vpvO7vmY8zMoLZN
OnVMjdNCe/Rra76wzxTPDRCCmx+3N3KmfmtWiX6HSjrJwdi6RXKMjNixTmiEEtSdWPq2wGwzuXV/
rFbMys9tv7BCeZhcP1cITVGbYoHWyXw2FlxDkns3A2LtglbXk0eIwOITKiDA92asV7drLE8VZoK/
MyVpcnEgLITIg9N3WuC016O2nWNghj6KNNwA9kMWW9aThxnb3Ggm97ak1/texKW5M9pavGU28BwM
dh1zwCgtlztcvGga+7xVt/rYqJt0FmOCDM9IPxdOz9LEKO/ZQIlTbK31OWQyGZ08UBRQOROvTxlI
GxQwRlkvuwo7yLBxy365xNi/yY7l6DVv+m5c7kpb0+FgEqIVMo4htSjjC3QbmmELKUs8YFu4JPIt
mWL9gKWcp9fOhbptwUasjW5ODI5da49OknPD9FjMl1grslPuFVt/0XLIn0LdAMZodmSKGSQoQulv
usgOZq1u7+I+SY8608bzFE8rEqpA6Gp2+sWwquXExN45WK4dPca9u2U8m781TpVfZq4WEF7j3pSL
u8f3jzUepx3RNJn16nm8dvDU93rNeEfLBytEBLoEJmc+TL4VOQIKNhL5Ryg3uKvmMz3rm5RW8ykz
UKDiT9xNQ1LDD7fkJtHQaCL2xbFc8rVIbMZjkzP0nke6vWaHMqC3xWuLV+YSl+lNq4DXjqOlwnH2
BG5C09rZTfrkoEzazp00z4UN0m9A6C37atrnfskse0GUlyy6w+iNgVDqJ/co2t59ab7JQeu2mVZa
KD5ERbI32HtN916QOEUMcSxZBLPy2NUGaX4uLXFaLM/YjGZ6nTjpFIJXfhzH6ExjKX7paaFuEzGr
U1KULMBirZFKc752Usu69GhI7oy06E4awvBwWZwrTHuzh7KwJMDPh77emHH3rQGse5iNGi1yxdiG
GWxsZSejFrWxibTYvcIeyQeqC8EcfZzN5clehLVT5FUP2x4d5BnDWHNDoSSScHJYL3JXL54QjcTM
fvTpYa5t6oe6k7Tz8cLPl5xwizW4yd2JnDCTrEzbIz434NaMd7koVfSljfV7z56me3ea5621II5b
9x97g1yL3IZUNuVt17sLgSoAxI+CAbm5MXOUy+1MLZJ7ir2wchgnkkfBUlRhcxURO4Ib+y4uS44+
A89fWFLm7fxFF/thGgVzYmmWOGH7Z7dYCFOYUiRqCMzIhkMOmoW9Q6zSzs7M8kyjP99VWW7f6kCS
VlRS/KnP4olxpgp7ZGOnjOAFpoTMSj5bmYKbbFcmiekj6+SxwsZ6shrqdqQ4JJUtY8mDmVE7cEQo
tLtibt1tOSNUrkmIQRg5vg6i8r73oMAgMFQG8Qyl7X5S0+Ive91ONeC9DGaIZKUeI/7mgPbcv1Za
4xC62c0B8os1obpxIXdP/sFHmdZvpDG03yQqdoZd2XxqeuuCCEy/+FFL+IHwjSvoLRUlTOXuB7fw
71ABMO+KrMji8J8lgjZFazxqKaEGBuPkEz+q/8DQagnZhFG5QWwRXxQ+ujvmjnQNUMuEXg0qGMPM
NnIwym0AU9j7yUUU7Xj9SAxXKp7yuatvoUwAqoyMDHRQY164g4SUE9bVjJGxHxnmnDS/uoBe0oOI
uc9t3BT2wcbRcYV+BviwXOyHyG6MkKj7el/ozPCKpfPemPBVYMsw2o/dlFoBPXwCzRHiePtkrFDa
VJPBmKuLCPXSlXU96F59oy8wxPED1Q6DBC2rtnOu1WKTZmOxL/LKfUUySROnbuIzMA6vBsgsiuOs
+fO3nuP4FYlzw10vGJVuLOmPXaDlFXu68Kc2qOrRvubELveoolwOAEZ9Koy55+3q5WXKyuJWOnZ/
43UKWVfTJT4cL+9QMmY4Th7xFSPO1XNNPuMlw/O0RzlcvudV4zIEk37zCaE4wCkny7/7dgkAW7qy
PhJ8Si8pK9pnt5OficpW27apRRHg2gdw3kXL+KZLwWSNGpNIJWiQOZur3gdNUqFmzpbhjIIUr3ad
bfnFUyRd5pdJ8wncAL2MXNq3um0Vx/PF9Yf63cWFQ+hKxiTBZw9sEmvZz/YchcLL+1tDHztU7Dlr
dlOwa7AItGhfg1FAmLefen2o3O6LIzgronivVPI9gSoBQh6hDy92X3FMwhrbAOO8KFua1+lkD08o
Asd30abeazz4jGSqVXtP9OrioUC2YRq4ZUBHpDpojphPJgnp8bZ0xk9zb6TXes7gRPPGwkCmm5GE
M+VIgpwyvp7NGY1PAZISU2ZEDGOhkJWKXh0EtpYLHuYiLPBXqxCI34wFfRiQCLM4JegJskYdjGjq
T0ZbSubzmHpZzmZA4p6VmeTn2ObA7EuxjRh0h3guITUFcbdoj2nh6zsIKPxubAp7pG39SS7p8EVy
NuKEkRRhhS3le9N66WeUQjzKdJT0S+JKZEOu2aqDo1vR82yb1hsID+07ioPpKvLm+NGuFkaWNX9W
CeU/GVU6bszBbj9HUsBeHYGBMFZ5ojCOtn3k4KHPm3vHeo7jNftvYXklw56HqnwGRAB60dPu3VGh
sHKrBc2ktxOLBoC7IpdW5PhKFMUJJhHGN0bF4NLjjL2pLFEHvkrf88JMKsiDIEWHBHkH4yEg/pq5
G5zpG9Gg/p6zPPO+1vR3OZ62IC+dk9mVZHilo7Ep7WHnERIZgBXVsMTyOOuZQuJqlzDXjbdF8ocT
9MV7c24ASpVzsRd9qh4aB7aMOXjxJavG75rUrU2zkAHljMieUxq7W4bY6pS2c3HwddoDphqBmMkW
zE7S6+95j9eIMz67DoXQSQw1Ewc/BVMy9d2V3qvsCovTPgeisLEouAIO1ei/JnUzOYwRE6Gcgw0k
hSHN6HE0YRINZ4INoo5uldHhDS4yufP67lvfavVWavXyf9g7rx3JjTQLv8q+AAV6c0umzyyX5fuG
qO7qpvfBIBlPvx9L0q5GwK4w94MBZoCRKi2T8ZtzvrM33KwJqy741mNM2vVL655Fy+xAJfoxn4aH
0dI+MtfeNXG6UKcEt3U1nCqte58qdYdR8QTg5Lnt4xtuuQyMykyc3V79yrvkBU7yFXrTvqWaJnWZ
hC49m0jdZUjpoT43HH2IVJ+Mm0AznOdmjeXSG/M7CigKKy3hJp+ax9JlNxeY+i4f2/OcelOIY+1H
JQPSQyum2qGj0REk0zi+Kkv9mKG/u/lo7jqvBP27BEvyqrfDqgLp/eJkIw0Ll2VBLJRZe0NtJcoq
VrVoUUR6cbpn3ZfjE46pYJsO2aNnJenBm4Ii6js5vmmoM7YzePuDpIe5jCi2D8gQ15/5op8cK/Pe
3MGu91nV4TgC39cfQckwHp0QeBCxEaTzvkGstoVlUtihAgN7EdLBQ5NW89Ux3eBTd4lRP2ltyUAn
LILB1/emNCfrLHxEzgjfUjnflyY4HkAbXZF/LAydQd3kIKKPSSW4or2JbW/IVNMm+EEn931HiAVR
XAX10MGzRk+7Zb9OyhbiuXyV5zE0dQHyXVLC56J+NON3PynYcMcuP0CelRWDQ/xHTylCIwUgp6Et
Srjsx03D7YU507rTWFAXvkPS0VBAdfQYjemc80zNtx1n3IvfxcuNRsAR7hIA+QgDXP02x0wjtyJY
aDtGpO0s0wBQk9FGd0JanPyZK3O6y92FGEijUDsj6YtTWkzxO+wshtyJ7RlXY3DE1nV6OpFESf07
UUyucyNSuba8gWgWyGzt8NoRw7bxSw2nVWtY/ZHanocmbkXbpg0NOtaTBC2v4dFfTa745paVucnA
jnihnbb3Tq+iwpD1kWjeHAl10x9NHMtRNljxyUodhgIDTT6ZO8wI1k3N1/PJ1tZQzrr9MXYtdjaE
IO1ZPlZvX/8KyV3mVXdp+xsvD/ae46gDOZztx1AJejCUeEwJfKwNk6Ls0Wg22fWo2n0MCj5MImoQ
VYEi2X0NiomGY40yNyutirlxWWGkC7MsDfYaVmBU/FNxcpWo927lDK9NJngDWc4jch9RDwODl3sn
K423atT51hEY85qnuT/2Tj3fFzP1riII4qCKUaGWWhbBIpr3hVIsfmod2r5uXbGj/8s7sIItvf04
ll6/kcVqgMgUUxGGl9wMEGCRfkcSeWNLpzsWMZQVrn9daZegSdoPhn8Z3pOciaKvzkGP4zA0ygBN
PGcHCoo6UeiQCoR3l7IT+q1jTM65yRUbMuUwvIpVcfq67jQkEjuZ8w1YSpQvJVqlh1TAFkU1qa2v
L23jX1rNdC3UaLMeynH9TMqRLRts7ge+q/kWSTofG0PKyCbx6sasDbxG6ygOoai68XAP3sFC8zdN
k6mda3MFCHgPWRjI9QHL3H1MzEDbBilipbZsmOd7rb+Za09/q3T+pKjt/ujV6z9tBJ+W4cJdjwzL
W24kD7RdFGYeYmY0/S0lO4woBFEE+2zguk81ymuDpB9+kWvDT5BJ/EsZNkOlnKvJUjxoPmvNB6NE
JM8c5/IZp7ZxCYwpPsk0bj7iVEeSFqf8dCA88mVaI7tJxLZIqo3mo/AGccRyoVnhMshSl1gkY+NK
c8A7rE3MjQSeJAUVcDzVezyp5oW+pX8VwfrxVoSqnEYcDTdyaMwrXJGcSosXbg5F+lmpqv0gN5mn
npGLnWDOxUfByJVUe18bPhTBwInORE50/F2AKujMzff76AwySg0seK1of9Sw+7FOxf4ed0h80gXf
jhAxP/aZX2AMYIyJRR3sBWL9bdK4y43FCPymrWT83iN7ciLlKuNcIia7g+cVn5zS4pULOh9nU3M7
3OuWw/CDtaiPZpyrYMKJe3Fah5ECjn5i0nxBTzgFI1eJp8Du63n7wSoS7wK7WH7TTe/Em4budDdi
e3sPbD4pHNfak6Ih+OXFLW84EOs12MP8jgjTiU9ZYqK/9K1FHTRvxP/je7R9vpvKn75Ln0zGjzG/
DSTtfJulzxZqoCAHtcQhs00pKzgZyWm+IOirb9NJjE9IAf3PVtrxr6yZg5N0iF8n05GTyc6mbrc4
Hlk7Qc0VIIMufs9dx0Eu1xOwvvEaBtybss2a5ffx8390Dv+gczDZfbPY+791Dndp9i9Bun/8wZ8a
B/03xAOIEUyd/RlzbON/NA6+jfzBY4H4lyyLP6N0yctFcLByhD2X/3FQWvyhcbD839jF66x0LRNX
EbCDf0fjYPx9q8B+xfBNB8wGPQRL6b8thGB+4vGpHecoZ72NWYSr4opzlN/W+nsBtTG8AlZSuxZ0
9M6YZoaUpWjfUSLOz07tt++2mw+vulUPryui6x92HutO46/zf16dCajK4QWyone/4hz+sq4KMDLE
Bg6GYy7t5sOhYr7v9LRemYz88LsMiX/Q6jIaqFntf9h8gtb427Oze3BIJECYQsfiIlL512VZjMMO
4XzWHeMkfqs6NNvjNGYBaVp9s0a5O96FfU1NUs/ieufZDrJn4DzZt1nV6tNDVwbgTC3WCXrasC3c
sdyLsieUlsbbfcBOwrR2pgDh4K7ExWhJNLVpwdk5jnGYzxWUSnIxyOswF73lkJNGpAM+XMLJ8LzN
iBpzCf0x1brQEi4xoblrvid+DaR7AGHK6KM5e2jIt31Tjte0Hupdg0Fbkj9k+cUuAeGYRrib88jK
bP1V63tt6xfe08icgWGQwl6Eoaqtb5kAA3VMNdLy+saSBxqPOCo0HG64CscFTfUkgSrHWF7alODP
CirbW537FbLKgUPPmYhLc/tFvKLH89bA2xLRp26k2Bf4AtyDT1DZDt+IuydMIEN9S1xYqLtmdw1G
LX/QB6IlNzl+vvcSLQ2uO0/vaTawlUEA67Md41oY1Sij3esc+wlTsa5zy1DZqXgyxibd1sKbRiIg
SWdHP1OL65zRaHFuT0zpMgRmu8oocIjUsQAMGzpuS9FvJ8o61/PqmCK5zKQ1T4OR8DZl87Xmmk32
pWlqYWm7nCiO8+ahltmmjlvfF3U/74YECWg4OikLhB6oY5iwntjped5jT5+c+6U0tT2u1uSzS025
QzqxC4SUG36pAYFsXnVV5iK/+N35ifjjfOM7wvtIEU4cFOXXNoBwfFiyngUBvj46Jo95gsu4zGbx
AFR92PsiN84xRpdTQCTNC/OG8YBcfWrDEj3mT3vS5R2JGiBus9qrfrI4LhpG1KS7dQ5zElxlCdHG
i1SOFboeQocNv73HNNFypmQF0FImmMx1p0dmG4RFhx0UXM5xK+4SKLZxbZAwK4rPOmdBx9quz/em
3kyfRSEZ+8oiJZF3zX+W+s3QUTJ8EKldtoeglrZ5NwxUCGpU1rHUrVy+uXOWBBhtzeZDaViHozgY
Z+TVRqeJH3U85kiRSZQm4lc0drYVY0+n0DDruKEzq5do0NGbb0epqexxIayOGFkWi2OkQRABtos4
JtlgXE3ab+uMDlU+mIF6lQTV2Pyngkq6S1KOAlFf+nQlKnS61XxgbbCOBvOBVUGsN8cF1PaVuIr1
Zpjy/guV1XeMzrxbmCndyl8LeLZ+fW9gD5zHPlbGtO2cIR7CVNrDq8gwhYV9Jnn1LODVoWtmdchA
xEFyc5r3iQE8Kn1HtnJDrWDhRWQcrYV0AeN3Pe9H/SbP4KXcBjGSEPw3bfPRDyX1EcYSBTebW3nA
O09hMbCkEznmON6rkLdzZqqXcqCgQvo/WaoY9nNsxiWjXUQMy4dD+6y3J6RvOv/DSg7QSFguRmKT
/mag0nqrk7nMsAHAa/0YF1Fx6eD4Oje9cm+7weAVoyVrNLYzIstDGyvvvvPN8m5hSToTh5yh5Yfi
Oz+MVFR3+Ef4YVEslne9UyItR0QOVsFfcMfPjSfMUEegXV0qJOcYenkFXLtVawMDNbCAIJ8mfVpZ
TjxuILB43zRZTzjw6eSDqGSKxe7Ed8m5HlNEbiDZvOm9MbCnpS4pscyrGQHGLOSPiTmb22Iamu+D
IZ6teXKpumBU7A0RTA9oSaxyoxV2TNgv/BIbSEEGfxKvUBzZDg4zY9SLm9RaNy1EQNaXtJz6J7MY
Zxcf7Yj4WtYu8YOWke7QMWxzs9FUVIJLudhl3pyp9tPL6KkeYUbnl4zU/dbZ+ujxzpZWUu+bpvJC
LiANTzzvi7ccLOj3u7Ih+q7yzNVgNfjhGleDqVZ49bKv4WVx95O4hDfcxxmcJY69m2Nu+ENlDa9f
1dB/Csd/KhwB96P6+b8Lx9vxp/z4r9PPfvi5/FUka/7+h38UkJ71W6AD6wtseKCrqYYK7vfEM0Ym
vzn8PyitkUiAqeSf/G/9aFEcophwAlBRdOp/rR8BuIGu4J8AyEKL+O/Uj7Dm/lYkkXFCZesjZiJW
htXG30RwJgjRCohjf8BcyHal7qHJLAmqkTOuWOc864ziHhMu0FOjZ6BcCQISD2mryWpf5AZLhr6X
NFVfwyycQxarUAaOZgtsIUliO3tge6LvvQKUQwIXNFKzRkRhQY7KhiDf+GmGePPm1vKDFUqU8FBP
crVciwKRDOSlp2YdAOFtoj5sYL8PACipQXpuhDfjZHOP93PfuJLfw1HbCv0tKAys93TE5rXGdYeO
l2a0WUW4EJxIEHEZh9lQd29JQxo2hmYYVyCM2rYatODXYPb0d23DbSKUFfuaRGINC9c8nw90bGJL
NG4QKZvJ4NcHVUB72vRe+p3vn8JHG/hr9HZ09UUPNISKnSTevBqPqsjtiGEgfzg4MPSZD7QLGfJV
UAWvMudwiurS19++RAJfAxDHDNShgj5/ENNAp6iNPLvhrypBYKi7IUO8O2UNo7sU0LUT2kBhoW4M
ljqA5h2rDSIf7X0c0T5QR1RViInWuPT+gEtxchAvLDDV/I1MRgPTzNcxMus8WkmezZ3fltovlU5B
NFtdfCrSOf3UymG+bVFS7r9e37C+Kq5sZK85/80kR/BlkHtBV+169bTT+7Heo9zBJe+3apc1fMiD
z5oM3guzQk8wv0h8Aykt3tyimC4u0fHpIQbeog7uQCTULnW8ImO0wjKUSgX/ao2c5qTs5ghUnxNE
5HLcCU6bt5alvLsz2oUBLpcKChJRcS34LcOpkdRYnj2LgmFAro1S3HlsKlWSzGOVj2nbL29dmw4X
yPLBU84cZ5daZu9uIJpZp9oZk3Pc2SluoNYCAwK+Vmv5sjlhCjcsBCNW2fAmc3CBW3ZxQ71HGWeH
hdOJKXQDQdh33qp3di7L3rdRYJelaf2CTjERYdBXUPINS83pJjHzrNgFOdaQ26JseKxgLPExAuWc
zMjGhsjORfbMLrcCeuOVJSpTSchA7IoL9CZCj28ql0Iuksnkr8ebscOKaL2wlCj2uEY1ZtJuClhl
Flnl7wtDHx4ptt4cUY6XytFfmc1BzKC6mEiGGZXGuL4obyqgCyIa0LKCSESUQi5GG3Eo1qck9m0z
pBTv75Qqm/vBVdXDgKZrhwigYr5pG6cxAUdsmLDhKoB4B+W5aIUCW51Suyso05i1R1PpWM8zsHKY
TQtKgLhnRD7N0xjaA/nSVPwZF9UUs78Xct6ajQBIRfaDop8bNNA81nAzWkF+N9OJnGuN6hyQnbmV
qRQriIESC2J4GeehrwWMMYMug5M7696bVFp2A3Ew+bH0eY4Pojn2C1+9aoNiU7sWo/4cShAHLzzo
OtL5mw/VBfzotbyf60MCPeixC/Q2304Sn+2YSitD9FKr59lZANHnXXqLSqQ/Kb3FO+ZCWzE7jz4b
9G4jVhYAU8cad94qAxb2hkXasLXGGm7QxI3CCHE/Y9lyXXROpG4/MDymoef9W0c7Zj17bKtmtVip
BFADG36cfu6owgLWqYA/wog51LtxjFTqNUbk1YjnerZ1Ty7kdBXNZV9EZl/lZynyYolkn4FmyU2X
7Gm3RXoVyHmfwmph81V9NErvtn2G+a+JO++WwEpqloKQqHA0U8rSCbwdT8F4IVK+6u9ZABWnr2Hr
l+LRdCV3pcFlLPd1Z+mgAvxicVqcGNQi4TcUa46vX1HrctP6Elj1UwUTBU8vUhaTYKLQWzhh6N7r
/Zxwe27r0rT5OaDnMxwGsI1I+9Vise41gNaqm0mfGHmm7LnrW47t5Xbo1wighpCr32fKPbLQ838K
plpkYvmHgskwIXb+fwXT/mfTJ9m/Gop+/5v/HbbB6DUIsdRNLAhfE5s/aiXf+Y0sAvSzGMYs92ts
9mexZFE3/Tlc00mKJc0PljD2E/bF/05thO/o77URtAn+4+hryJTpuDzRX9XWAUgwPwbqfrD85H3i
FESzVzRbqrM3UOCPkGoPJFZ1b35lvC3TZOxGj5N5liexgGlWWmceralajjRwCESNyTkyuS73PfOg
jad14NRlAGcxlgxFUg7jxh90jOll+438P/2qmYB8lCbGjUUATNT6a3CJVs/bMfGuucz8+0llm3Um
fq4ntq8CT3BoQQjZDpppbpbJ7hnSI5eV1R1pciThCFtAQpmP/eAhcaQj3TTeRHrDMo1PZsbeNVnm
+IigEtWZZjxM9F97ADmvrk03aE5TCVyiTG+EnhnnHEJupOt1dm+4Q791YKPfg97dwml4GWe4PdYM
DbBznUPlyY8G+jVdkpw2vd3O37M6SM7FhNrOCohsx8rv7h2oONve7r39hO88muxy3paW9Sny2dqB
PI83WQH3PfbGD1MuE+ooecqDooLO2E2bXNUkfIma5G8vIL/eq69VN+xEuRBGo93FS15uwcTNh9bC
ij5zO7wi8CvfWAi3r9gIdhXtoDJEdS2ocS5Z6fdMi3wPBB4u/5u+tZJpa/oSpGPdFW+jarIH8H72
0RrImoIOssoeE9k/dpYWP5q40s52sdDbaRXFdSLc7oJDPLtlmje9QTIfPtH6By9zZRWo7Zpx2riN
51/goFbbYSpsHDAllMaJbR7Galq70pTOgYlB++5luedGuceeF9GcA+2PtaNulsYtyecsUJGmNgwI
9ba/eB1AsxYGPx8e+mlECyPYlsFs61M/xJyIqtHrU6epcUWe1x4oEaQwWmg0sOB0nOWQUixjZ8Jx
+uaZUnM3c5yAOTGz+CU3ywYVTEx6QpU1j0bRGLcWC7WzPeXBJZnn/BvBk8wnAgOI4C5DZonJW5u3
QrfYg5EXe0vhl2C9TmyM0LgR92qq+oMFPYycm0wu+OSASzGpoVrN0F/3I+MazSLxDYWN4FPtuZf3
64qeD1CLJNgAlNm6bjzJxqlPs+AhPZOEjo2OC//eTLg0nTFeigN7Ld58B5Lo6oHCYX2G+vjKjLc5
D43jUlMxRdi2PlGgoSHmtNuWfYaKTFYL5VPVvqf8/vYZecleOM8sjcDhErkLhad8aVHj3C6dPXxm
nZJ7Y7Tan7j75/uYXJO7r1eWQ/Twd3I0ePjSNL2HRKVk28N8YRgNsPIBPKJ/sTVR/aIet6lC6/Fp
yG0gSe6COImp4QIrpFquy+iIZ2+u+BcpcMyjI7mJbHwmZMjfBrknsD4HgM+VluNWYbyQBJJt/4Ja
AO94sPWJiLqb2gBlT5rkY+SoDuNiMJmvU80oaUvAs/fQO4l9RHswX415asByYf03k9GzDwhEuesh
dTxpleJbM+MJ2R7z8E8S2aAJ6o17h4d0OXexYV5jPfevUweRN+WKLEL2fvE3SAiAMpwK9gQiYh5I
+jyjt9TFrkzSFdXfyb1invPYMfPeN6UItl/fVjVVzWOWLIMfDVhaBJJG6UdNzie3eLZzMSCwwFXx
wXHgIePhoTgkWDrXuRKlU5j5/rvf20tkYu+PhlzdDjXVWrfcI/qlC02aUDrNt5rZJ+F6SxT4N6YY
7/QpuU+ljhlbpIcq7385U3BGaVjivAkoVr3rPFg7S6Z74aqXpB/cjaPP/sUl/yZsY2dbDBr98dJE
vgm0QXCOoWS2QKkameFe7TZ/Zopm3LqMpzfIpZKN67UW1L16FWgvt9kcULzmmyFuTlbtxfeG0LCe
ziaZG01CUzmxutwTvkG5y158u7RFFXpt1x+kLNtIQMFPUTcYn8z7mDObP5FONGewPe2ZSScaQLMy
jpbp/OgNcah95wHj4JoDORIDCXvqHaXQ26D5oA6aKkQpUe3w8FNsLrXcIpReNvlADlhorqqM1nWb
R/A/diTTXH1W0olMldaho9Jh14r5sUZmdAq8Ym/lIoW0qviCGejv5m7doQAMuBSu8cycz4QMhXph
Xir06qZ1mLgJb3R/bLdzXcThigxsEySjGtiyTh9X5E6jX5ZC9049F/4+X0AfOCyidQMEmFaRzmAs
v6ylvbaEKv3MTC872FOnf/NcrdkYRfEkjAG5z6JZ5DJIth6gkiJ0jQPZNIE4AZWxO/LcFPcDS5aH
JFeWEeLKsQmC2phB/NhVwyeEI2Sotb/czsTDtlsyEzMR1cLUl7BmT7RFT15fGsO9LbnnP3BZocly
Y+MeDJC9ncyxbqKKHcqhqIt2Yw+aZMJqtj8Hxyy2qjLxKzckYLbtx1g20EPp7je5Id905KAoPTnt
A7Nz9hrcW93W31Fx7vWlA2xKpxxa8LhCx6KBhEeh3fS280zsqh6tqTkMWuvkzYeBgFDR2gisvpfJ
H5MtRYL/SQstrxByjOdi6dYawiN2agCHf0LMMDnU6rFP5p3Mn3NvxJo32NXPIfbyn6LvyxOxXB6y
koFFvdTYnLj2tCsG/japLBQYaEy8OG8eLBtFJrR5KiuCf8Kp7f3bVrbQS/Sl/DaZBrhsQoMihwor
7N1MbeirsfxVIhu9iJ0ouN6i8oOQMJ/kImdRGKfBjI05TAcm2mbQrbLDDuGm8JMXNnDanWvAmi0s
c+74Eht0yn2i0QPn48Vzepsrpo4T8jid1gxtNXEMzmNziwjTw6pTxdu4g+YSQ1N+ocMUSDBUlm+R
9cMIRsOMDAxX4JFKodgbetNts7mMo3JyUB3StfyqK9O8A3Isnqc+mw4tOVSvJIM1LHuWGhIK277J
A5Sm2S0qXk8di4oqrJJSO+noYSI4/d0B2NwQteyrojwmggb3O4SsDn7gYpffvaFEptgjokH8rN/0
MWYM4qgAzpmppJcu4oia4WZu8p2tafvETNyo9NV73vdNu0FjWUbz1JFVZxRGmKUDXGxosRGzQnuv
GnRKWbrse8wmSFFjfBflIO/VitgqZDNwckmfaLqufOzyYVqXhtq7JYJbo26Hn5MH9LcDf74LWjfZ
jQTJwIxemXNkrW3GXvETtywzlL5+5QRt7jA5jSHsMLJtcUe/WO28n6cZD5ClHomY8NZ9iBEK38/3
S23sgWgPTOX7LRuM5Cc22L0lOPJk18DYIuxjO4NyP6FGHaIxH+Lj1MWXLOmueKIcJKl+flwUTJA4
99NAbIAxFsbWtdQVzG9RGWdv1FykdTnEEWOVhU958mC5KBX5CQ9TEvKGCeiCIghvBA1upxPsEugJ
YmNvKpcZO0WHNhEpMfPUPKkKB69KLjegwhj641Sb8xKN0wj3pHIzCOXY4tLlR1r4mCBC14ob88Bp
+DpX9oOmB3KHCmeMEnucHmNPQTtb1HCb5E6zgwxm34DYfuuUBWipda9Z0JB5roS4pkFtblg15Xed
1zrfh1UalZu1+m6wObmZKk/bZYb82SeLuZ0g+oBRkNaqlrFPZEMzq3DS4T6YSvMyeW53XQVAAJvw
/xBE9A07fYyHZ8w/JpEsEQ4E2+K8RymnZS7gFgR4RTfA9ZMMsOIWGW2LWGc/Cxt1mh88BZqYV+vT
Wa2zWaRen57JQtvuqv7WNYqobOwfaWkOm1hkwQltoVtvGU9T9CdLL77r9iQ+vcLJL9PEhMX0YW1Z
buZAQQoedTkGOqgbpkGbQoriiFjIh0ul7OViE4P3gGpIvZYIAm+GtPpBA5qQsG52OEAmoZzzUsfN
JqvTH11VceprXfXpSXe9Z8VC7EamV7ve0AEykSy1NU1rvoo4UBE10NUCVnln5SoZGJIB8tbZ/GzA
1/FLgw/4gt57PDPfqi/EyvvYrBZR3q1WAaRUcO2/190A4inOs5kNeMpRABPQQ3CX+Q11QBn4nz64
m5SJoGNcM9Sir6L32ndlVfV3lTbAVmVs2Rq3fA+TxahP9RMzMGaPhvLPcSOa3cCNcUscwjGDBh9C
rss4oFVxmyXj9G4IZWxcLBzYB+oUMSvxkGzxePK7DszcHUgi1ud1FognYir6BC1605FgzzSXc1Ah
n8gm8Jkba8DM1XeD/JUOVYVoVmSHvpvaA7FsP4uZLIZhiT3ax+FS9GNFn4WjEX+ovE9S0V6tPFCb
YuqobpEfgqxt/G0fW9kmD/z4xAt7pvFDWxWkzU7LK/9YAgDtf5eb/GdN9g9TH8tC4/j/TX2efs4f
w1/3Y3/8xR8zn8D6jXk4fBIjcKEBfa26/pj5GLr7m2vR/uDNNtf9FAKePyEy7m+44PlHpgtrxP4X
iIzzm2+RaMUkCZs18S7/1oLMsK2/mZgNFnMYVeCnsG1zIcqsU6K/iJh0mBCcE43OoWD2r1KzQQWW
yw9/BYMpQ+u2qYYBaaYSw/3m3wxDi9xB5t1j2xA3pvfDacQxSXvtqZsvZNhCtl28l02e3pO/p32M
nkdUrtvo3cH2Yy8NUVMlw33tEQj3YNvc8KtQq0mMO8K9981bxud68wwV2AQXoRWqsdh5iLa98dte
92BeS+iEMyeMpHsL45jd005hMIBj2k593z0T6iycOSRZozROaTC7wPrNOBBbL9XxL6elbbYnYdMu
m1DhC0go4Yw1JthmoMeMk9cs5ou9gAikhWuMhuhCO55Zd5ne4hzHDCx+HBZL5uVP8QJQQ4bQtSXR
JRzcH3kd+5+JmyfehmXJPDBS5kYk3cgfvExn7NvnLUTe0h4IlGiA95GvwaHsBimnr0FZOwnPGXYS
JY4kKQvRDg61/FAlTfs+15moMG1b4sCcwd9OZB2+Lxx5qDtxFjBheEyQqPBljTnxpHVzyM3phSwN
a5+LKQ+NKkgOxZRw04L0n74Cw54Smv7s6PnzDXFg53TC+DAkFTfLcri3vhwRtcQcAZnhh5jjKey5
L5KuN9BVBlExWyAMi5dZCmw3q9ECEMn3JGv6rRUX46Pyx4FGQMPowkeqWYQpO1477eFeeTvawz2E
hatU2Quw8V84NsRZrbYPciNvFZIHegPx3qwGEdnUh0KsQSGZtZnpDLhjYi1pW6LhCTa8B4PP9scs
Xtg3rPUUdhTIdD/drHZZGqn4fgqwyiEK1ELc9gSvW/GGmM5ib0vbCGcl70w2IBspwewlRJZE9oSu
gcFYf+OLydx6JMyR8smAsp6VE8JVSyMqX/97NppyT9+XfffTbiYgA3to2znaNVm5qHWe/ERv1Nw5
mnikTaMhXN09esu4sc7a7FAXLqaiTHdDJhqw0VjH7YTv2EfuC+mu7/FfkAVrRw7y7L3EbtQ4RUVu
Ni6kePUjFQlhvBHDme/N6laSTl1tkwQHU6DDb2oaqwqH1eTkrHYnR5fl1gDREPrm/GSsxqi+LF40
nFJqtUxVA7Z5R2iv+OD00KIqO6Wdgypo9VytO/Rvo/Ki3GDGymizCAfZMa8kTgykIpDos+sKfvEj
FM6Nhb/qVyNctuLSZwURMvvTUTDlGG7XHALtYBb6eF0MOXmPpV209zBIsDZ1EMFvW990d7Q6lPYe
grzIIPb+aXAr/Oq6oZJ9RpTIqR6TvooWS/BsXFiFCnGx/RhXG5weS3mfr/44KbksmAhhmvPnefkk
5ULXt4mHvW4UWX0wxbRMCLq5tOZ1tbRSy3m1q0RxEr+MDkMswuaYLeU8jukvIJlsPjHQchSDImin
W9A7w/sAilCaa5ouElRZ6ee0DipCtClo0k4zGV02vLNiIo4uB19MDuFHTuYQQADaL8diXmW1iuST
tsOEGqhyzxiCcbSv3mbDDl68DPBmmWsf/KReTcjFDEyZ0ledgOjf2bdgm4oNW6+c1SA49cEHDm+2
2UsFAZMA99bJbsx+WY1oyNU2yqiM+66Kn7svWAUBW8GltcvmZARiZ3mWvEjoBFfbCrTHwh68D3y9
2SYpAnrGKkD6MCYpP+NpNs1t3NTzbikXHcz5wiwtFsBWhRB0+2Qy8DhIOjWdnmn91aJBch9Yn1s7
+sh5q3VluvdKeV+m6OGyZThMhp7i5RBqPUuUjxPXrR+QAr3XY+McbFkFP3pzeCAeKJ1CMKTAin3x
5kKURLLJmtG05NEuDZ+YLcNCLWG04lfc2IQJaUI7M0hMd7ixjE1NeOa2ha+DtdxPiEo3uB8wwshY
Kt4pTZc3SxYggFhGj6p3NkNCE/hpMWjdCttM9mkA21efTD8KclzqoE/3y1pv+Za4CUbuWsrCEQY8
hitRzPVRFBAj3QkNQ2JM15HoIbxTDURmm1AS3ltw6OZ5j380OILviCMUjzrK1qD6sZAttdWRE0aj
oWkbHN7dJq8aCAuBbw5PQZYHG7Syy6azy2AziO4YaAE9pdb+mjvvGbZps1XBBD1joKeeFopyzbZJ
y8CxylSzmk9a0f03e+exXTeSbdsvwh0wEQGge/w59EakyA6GKIrwQMCbr78TVN1KidKTRlX7NTJH
VmWKIFxgx95rzfW6zBGzNsA/O5I8MA80FkhyL65sKpNztLLllo5Eshvi1jzOUqqDIZlAVBolL7xM
lAIhg24sa4xEUvZxpEmw3lWKwISlC8QcC3h4+2yTlnuGHSGgOVtgqHVQuyERsc55Bpp9Ewu2/2n6
hmDN3416fg4hc6JP9FnLkkkGF0FpBeyPE5Z+GB4vubaGNXFa9XWQ2sE6Ymd7OQgiF9kk6ZUyQ9Ry
8g278TeslNkukxQM/Sgec0SU6zxtqocMu9RqZh5DBMXYvpEJA++1SdINohsais0QXRMRmtwwJdNL
T24+J4GZy+Cmz10emBsWU9KCyrh/9KaSD0br3MUxQ/Q+ZOeejB7ruoqzF+S8NpLjqTx2IifjvXeJ
ufGNYkdDNj+3LXvAvTbTQHSmlwbWK80l5a4Gn99hgARBl7vyHoCwzdep05RLW41u9ypyOwI/cObx
67OjS5547dP2oh0K757dE3/WIboHofZRZSOjpMwPb7omG64loZxPLkYiqRTd9iy8XGJ8Dw4uU2c9
LgQTxmZcaGZk4pMv0wEHMDpHstG2Yg7I/qoaF+Bv1w8TUXB0pmLVIwQPS/sVZxdO7In7TPvXKq96
a24P5jy6B3eU3vOQNuZTZ45fCcVsr2bTMZJtj4ThkOjWuZIYnbfWTIwJK6tuadzhD/Xt3sfev8Rp
ajO/reB63g4wu801qyY+rMDWhH+IJnvDXYIVmxc15J4iLiuhd9dqr7UleWUKRLeHuvHnbt2h49+A
lLgDpApCvzXPSWtMPjdMOl6KsDplQxTMm6SMwnUVOq+ZaojHULH91QrBZCCNIoOCNOZuPOqhpLEf
p1HSbRBDjF/NzMvwXXXNHZxwRPksnhd9ZGRYmdQ1+3U2nG7rbno+B3iujTnhcVa9+xqE+L4ju3Gv
fNQ2j1LX4sIifXdT50O2lbED05rAeATElcu+vHXK29rBRk4witlcjinJQ6hFSonkSHfhZobinG/w
oE5XhRdne7Lek13gDu0Ot4a9JQ22wcGkjH2C/DPfL8bWR1az9JFPXPc5QzdylyZtcDATF3aKHKh4
g0qd6KIbzBQMUgxWkxqyhxC/33TWG0Cn/TmqT77BvGwVmYhENdbwE8o7vFX5aKWrURR6o/oQwYjZ
1DftPLaPpjd3r1KTOuE1pY/jLmmvREhOVenIOuX9KxMityu1SXPJuJbqan7w65bkErYPzXAfwvL0
6agLAt9mXztqJTI99VsQCG165nuCwGEPGNenIfBm9TlMDTqovTfyZfU6ogCTHpYKCmCFeUDAMblU
Tho99e6gDIqV7i6bi8nCdFsYF1kxxk9BLotdHXiEEuXzCCKxK8wNsvcQ5L5IDRqPS4fKDMbgpuc/
PTCyGk917t8xLML9VFTdC9b+cmNEbrJTsIHOgPwrivm+aldt3uf3VoQuCdqUvR+8PD2HA4yXKm+j
TQlKYq2NOUMcWGu5G6xiuMmEJAVGzgEZiX2cbvvEQuVUzIiKyJQ4dO4YXtsaMPOt5yZ1eUWw6Sg3
fjiaFeM/gldtioVcRz7zpVXX2bZuXik3Y5rgq9StBnFXtqFKGfp1U+m54PUTP8qZPCcI7s8yApjW
qiFpLps14UVOE7GOjl42Ujop59BGSj7aSI27zTwAVT/UKe/iC8zUYGMaSRCex3TCgLtMAPxpV4WM
h+2u1/g23IHVh2zC8x7f56HDoXE7Vi17AaT0+1kqQgxaPM04pvURhUKy6VonPtcJQrXA7ty3HN7R
1+/RB3VMp3g/5vq+Sf0gfrIsEtVypn/QaPBtes08y40CUf0NCV94UB20IsahjCqruHYf5oSBfaxY
nbe4cdNdYzfzF5PC+mwgXIXBZoahU5v7kh97moGh3mgd68/RKPJb+oXyNGtUC3YuNPgRC+OGFTEB
QNvWrt4TFsxqEbGn+GbqOikvBc2+DSIewXyMHKt2xIGLDjzZhnzrKM6raTvadbvFB3s0dNFvCBTs
b9sw9nd1atpfpBjFIU9rvQpSVqas1B5QqzLax6EDkrWU3rkT52pBpkfDS+Yb/R51EVlaET7xor7q
+U1W7xkO2ranQ2VlFaUUoXMpW9pxhaxl2PLckHThj3JbTShWCx5KE4hEHG0HQhHwfPAZD0YjfW6o
6VeY/fKDEQcO+ex8SQpAfR5hkC24EdOAvJA4DiAAUhMK3zWu3rMhiPM4dCOyvDHtCoTfhVNTgZMU
kU1R9E1rJS6CIIZooSsC1kq0rrDW2e9qhH0ZYXt4g4gAS9uej84wYdA1/ct+DBGuF7E6pLREt3ZG
HpDZlOUpNq1rz0MO3zR0g9edDr80bpFsyPgkK0ZblXeZGgwExtxMt1YWCMQlvvMUMvBHh0Km+TqP
o/wJ9M5TRQYbFgloJxLK1woq0KuJAPfgxebMFAvHhsXGE4GjpBU4FiFcJQYxq8QNcWrN2Rd01BGd
+hK8QjF+1h6biNDbTHOFPSX7TLN8ed46s9x2LVC91eg4W7K07FUW+wH+5EZ+AYQfrPLQVGtqZqRm
CGnoDtd4SBb9QXVegrfhaWlcpjOpiyxOxOcZfltmcQ1Bgp1gzL/tcatdNi31dmL2DNyW9s/oNRrf
bpWhDu5nJoGe+W3Ar0tQQtIfcoF+Z0AKdJO0Lh0BXX9to7E9uTkmChPD1glt04YsFH30tCJGzDaw
obt5f/OezRHG1Qv7NUqxqSCIQMxJfiw63SPV6Zvpscd+i5FiuHAIYXmglLqPjapau3XrnkVITNfV
OFM4lvDYhrnCpNIZNRk43bNvVReDNTmrKLEfEDMxd+iF2GnFBGyADv4YwS9bOajDNz6QBjAbgbwn
mFwyu01tiP3ReWwUT612mwNMhLtaWW8o3an/SHFjuqcxGpX2kxNZ2dHpC/HayKzemGHt4GTJH0Y8
lW9awz7ehcR+twyoURMZ5ILgfFP5LTphGttlmFibVnvBcw+yi7Ccvq9pUEzDbWVZyIYyL8CMTANi
2MlGTDR8c2bX6IbkHu6YfwtsT2JddmSJXKZHOLTy6qgFvcQ7oMy0PhH2skJDheUM3t+GW6XdizSR
qDSUoLC2gAZhqEpja0WUaVZsey+zmm1nRvrSBtx75B/4VymgJzu0b0VSsnh4cXTC1JieJsnHFY/a
1yDVXbVPCRzYjorRtOsmS5jOeJpjl/Q603qo+SQxnmrJLrKXXqAuwMj5Hdx3S/XLO0GVF1tyb8Py
QvqyBKmQ69cPQP+7g9tXz6E3n0Ye+HUGh4DkOOOCsAlqnUxW26RyT9rq290/eSta0v5Dt8p0l1J/
TWVqExxQnddhf+MnzSspHDzxBCts4RzeVEIXGxozLuGCDJ9c4//SWNw5N64GWzzGYA/P2sDQm4FJ
LPAt6AuRiT86LnPrAEXI2NSya45FG5p0Lhhqmql8/SexJQmGeB2V03MaMoGz28nZuSmUp6R1XgLZ
W3eDBxNNjRP4pfcgF9m4/R1rn71SSmIjQ+R6qiuaUSbxxVZgiIus9gz6LKjit7WZpgdfFReizZp1
MDsE7dgxLvKtG1rMosk/S09Y5tYWWrRdGk8gISx0BBKFYr44bOavqR0FIzq51PhSqry+AplmHBI+
eDWcR3c8eGmC2Cpli+T68Bs3uN1OtSHCLRqd6YU6i1cr1PmXOLG8q3IgTGZuo+4rs6+374EyfmQ0
J8Ra/s08EuQpY3co1v+EytjkqsyX9eiVzJz+CZXxW0eDivORvr8ny6iUvBttx5je4pkYpVjbQKvM
wLi04lr23zNm4qC/n0L5iQpBfo+ZCZkrHXgPpu171szgew+ISFjho8K+CwGHrsnVQ8fTBF/ysWBc
mAcegpQlfCZjk26cDTZFzfl7Ak3V9qRLCr8dd+8xNHUSq+4kCtaflWpRSu9/SaQBB2Qhj5xxvTpD
qclgV2X9UGtRnVWV5/XAf1wGdJ1Jj2+C57ueWBeeIACTmD3E0rwnys5SG6/q5scuRfLNa/ybDBuX
p6diwj20+6Eq4vNZa10z8HT8VVt3IRXTNLSM4VrowXW7VEKsMk8/hNukXdIeGE2Wqx8TbuAt9mvh
OeOd7HRL8wlAn4K/ayK8sw3/gaFk+CoRV+FdDYMQ2Bzq+Nsp7cHMOrxo25lxdExBz8Z7tPlEU4L+
mHnDiOAGsTiipUaZJ52qFjZCN+zDOKhuCC60H5OEChybHwv2XEvruqlKixDc6t+pOKxl5XU2G/3j
92ScqKIvk88ImqAQtY8p7olLMx/QpsNb8Nm8Ns5Ng8L29reZOW3j9XeMMReEqd3xlqKSrSMwTh6I
Ja+Jok0sP0bnOLUfJpd0+MlD+yU6p9Y5KZFtHcJyTptrhqF4EtWkUcnThro3Zzc8JYKlssii6e09
VofsEAq1WbXehk5HfRn5RHQxRo6rxw4g5m5YVLMh+cF87FGssdkhapqsWzLZBs9c0Ro9q4PRPfaD
CQenUek5qj20PalrmeflXA6fsPwycca2mm+wTou1qsV7nhnT4LTSl3IavEMeWeSa9LPeDw3CH0en
MBONemgvvCWoh+4tQYN4P+9N6rvzuqyGXddS/dPOdOnSGNEtkHoSFJfInpFZxjrUTX4B8O6r0VvW
lsUpOKhItiSukN/j97wamICjbVw5xzKyvOtiBMM4IKU8KcOdsZsE2UbgGt52VIxr+s31Cfxcd/Ee
6+Mp/wWLh7XtYdnuEm/6ggABgJZI2Rl4CW1FK0DeWNXTA04wIuxrHA3vsT+GJxbYHo6Avv539k+Z
FhOJ1R6xVM7IGNhCCtnKklrWnOunOENYx1ZhPkz1qDA3W0137bklfWDLzyCfISD4VyTQFPGxSWTK
+JoYl/TccNFNSMY39Fj/lQ1kpR7CznK+lOnM/28GN40zTldDW9AH7tMHv7E/OyGLtTSKbSyceUOn
5Itf1GpF0A8xW0OENGSJECpco9zZVioOA4xSESa3s4ezFQWUXPudOeMVn68cMuxWWVI9anjD1yrs
iCq2DxRW7b7HPv7877Qhx8R7bs5UyONPkUO5n1Q3Q1fdYNuE/WGWHp92a9kIRplx5WHxJGHNjo5V
YdrnojdeBeSRCwLZyLRl/V99jyQSvviM1Xwxr4znvdbotrPq/7s7v8eV/GVsbVnmMuj9f7s7dxkY
ydefzQrf/8w/ZgV+hCmRvgEylK73AxnEXebWSsLmsC0ok4vn8/8G19b/mCZbQcggpkM0hPOPs9MW
/yPprjHohjr2Tg35j9wLH70LmGTEEn4iHZ/Y3I/ojZA+FU825aFtd5AZs9TPoe6Sh3suKI0J2pR1
gbiSGcTmHZf0w7X6exCING3CjTySXxjBS+b0H9AbVYVeraeNtR+Y/23JdFBbK7bB9rpxfvgvDuV7
0oTkhYpIfTgUTlDWSur8vbDqmB07vQC6LWgtPava/OeH4lL67wYUgCIf0ilmCx/oJES7z8Yx3o8O
yNm6Jfm+Hd3u+OdDfbCevF9Ah3MSII9sKBofzoqBMU4RyQWEt+Sv4PjekISp3kasImERJGu3dAym
gUG61kQ1rv98cJ7BH7Et/zq4I7DawKihX/6z4gG9O6m8um1JfBKK9sUIgoNkzfM/H2Vxz/wAh+Eo
0ua5JHNEKJu94YejNKHnMCENun3tC1XzbBY0fiSDmUVIl9M8+PPhPhid3w9n8W5hzwbArxZL9Y8y
Dln1NrvRtiMBh/1mlNbfCJh587DwwTvLz+Dj6r8QaH69jNK2bR/5CBQatCMfrNVBlCYDSvxun5h8
XQpAydwsv9z++byWy/TxMsIs8okhwyAFy/zn8xJdYBGsmHZ7B8fEyjGM89BoriYL3DaFpPzLOf3u
Kv54tA83jSy3sApl1u29HsVfgN4Wei177OS9neVTOafpy59P0GYh/eUMUfIo2g4K7/vHpWyKUoXv
mdfOipQALCForkP3OpIU7B26Mkw3XXXrAvwmGADXBbsM76Slc2ACXu7R9vXbbrRRZgyu/jqOjnGE
5e1jVWiruxn7MsnQ4dpKq/kvC5P1m/vvkIKFRZ9aeREq/XxnvCZUeFV5jeKhQw4gKAIXt4hEJ28A
544bq8LUVQ4bh6tH220Uz9S64zU5rPrSBZxKPRj6Vxbilb+8C/K3vxrr8/KGS/768KslfqbSmTxf
BJYRIs1Iwl4EcErsO77IKmw+jbGDkGhQ2IVLWv2nsWCD2wToGDb5yPipJ2qb8ffioUEm4Viwp4KC
yrqwQ7JlOru+tNVs4Hun+q76tt0MrkS/2Nb+QzfExgNWjWDtO3G1rql9dmh76f058D67cjyB3ccA
bGTdug2kvxozeRaJ9FMHefsyFTStJvgmu9rpqOyM9oo2KqCV2MVuhjGWXIUsODcJNYaJhHUEAZOx
DuT0lk7ObUu+IFmqYXpoVdRe8ZOL3Z+f1l9fEE9KCgPeehRqrkuR8eMyQ4a07GD6cdOb6BL8PbRg
zzyC17zv5kBvmSpb//EryREli7U0JXtu/8MRwTP3BKqn7b4mPMVqxDbDz+wX4rx2sIyQ//j5z2f4
67rtMcBmLo1kz6f0+bCsNehFCu5Ni6cig33Xi+EY0tLYeqgoNn8+1K+PqYeJU9kwxHz03erDYxp2
GPOGvuQrSJ7lWWlUFukptMX+i6MI5VGmODA6Pt6ynP5I3gJMxCdRm/Wqcn3j0FWhd/3nw1i/rmOc
jWdZUD1cuiPvaSk/CAnT2ABBq31mGqNVbkr8Jehm4BapBsGICOg8jw4PvgkG91R7jzVaipLN2d+W
JeeX5ZTINPAiQD/A2Vniw/2rwIbPce82ezFm7nao/GwXDEm7QyIde2uUSeJoFcC5arP8lpWDe8tY
n3YD6qiLfJ6dEzu14C934COqjY8zv5PrOkTVsKlDJPHzWxPiNyBA12n2RNMWR7Om8Wh2A/aitroM
GoJrGOjrp0zyKmekil51S86niolF9T2GhrjOv2XW2F8SJEA/bHjuEvIiMWHou6lgqqDbGNZ8GA2n
YsouDbP9W3Hx+xPwSRxEAiR4/5d7/8O9Dazah10wcFGj6TasXb2DThJ+wnnOR79yk03QMHOAgdDy
xapz8FHzFy9275ta+ccO2ceaVO4enmTp3xCgUt57Yv42y6A4OVgOdoMOp82QgmPHKJXt6pgg5788
nctt/7mO4Bb8cAYflpGhJWc9LKcGsU4SEgrlFydEooSsGOamjWsW+U7B+kjMI1K8BdlHE/rPv4Lz
2yfTX4L1eBnBvX143WFDCZoZXbPHYLH0wjNPvlBWXbuiKUBvmK8lkNhH17airw2poF0Pp6y0ow0+
XETvYbOzGVttaoVCd4itAZWK3aEx44D7URKsLZLQ+oYdxGKpdO+QrW+lmZQABvxHwunrg9VL/NfS
yg7Yf764vXmnJg4UCgsU1+A38i/X/NfSjXR0E285FQLE8Hfl8Q8PjQTwnAYJC0KVZI9FsHd7MGjG
zPithNn2lzrxN8s2GkHJzhNCB7Xihx0FA1rCV1h09jos3phjB3y1ezheI2qvP9/H5Sd9eJI4koe+
QAi88B8Le5LLOxqwkiepDu9Tywkfk2wxh+YTuwkJdwYohTK8U6DIXfnzoX/z9SXvDgWQ4/BhovD+
+TVk2IuQOTGbPU78p6D1rke3ujUhsRJY+MKWV/3lA/Vee/5yrrB4UKiz4VYf13S/N5qR7Kpmzza8
uO0c6h7k3ZuFibZ2+vmbGeT3ZZzhZJs0xY2AQ0RgHJMwqpU/n/pvHyapBF8WxxXwSn8+9bjDyR71
vL+DV7YbU7soPiLSP3DxQgiLkrc/H+43n2aFHJ7bbLH3ZpP/8+GUn6Rh3o3cZBp8e0bwwXoGyviX
PeJvr69FJ4MnicuLqP/nwySNFSIf0M2ePXK99npAOX1BnLMKPOMI7Yi3s2ecgzowY8Qe5sz5rGw7
9sYZCTp/WyN/3ZR7ymJXyKZcuJ78+L4OaCQxriJKcPrW3EahG+6aer6Y+oWenFvGmvYtgy8XNFGZ
duZfXquPrNflI8m6qLjY1O2e+PistWSh2U5hIqe0RPSi3XqxGNVhe9UwG0TSBipIrcuOH7AyJh9T
e6/IWNnASGZql1cuqU2DMQ2IrpwwWNlt21kLOq55/fOT8ZuFZolmVKwxLnUOgLKfPoWR4cVgF1W1
V2NQ7zqCc7cCQCTyV+hL//GhfNZPpj/05T2uzs+HYpqGJLt2QaCj83kTzuTezEUEsQvu/H9xWtSg
6NjBMTsc8MNpAbqcGUWLag/8oL7xib/clZMbnCV1++XPZ/WbRYwj0RahRHRpan145u05CJnrcqTY
QRMetIW+y8PK3vJ1m1cmJr+VKKP/MG12ebgY5BNKzqgMR4//4fRCUtVaP5I4RW2rX+cLcjtGTLqp
TftvIa/v+OOPXwgqDXOJh2TQz4r1833zUnww4WzxiIjaJOwGvj0Ty0gM0CrzoMiYtsBIU9Tk2boC
GmLs2Dl24xaxpJPfkOTHyxU79BiPQTNlD7buCUqocap0YN8z8EVtUEVfygFbc+ogQd+FURaCXiss
AEcFpwSoSJWet/F7CbYFMagznUkDjAah0e68xeoB9ClMI+tedTYmt0yM0t4lVj6qrePryP7sD1ac
f1MJzRJystjBRMRl1NgmYKfXEe6c0pqOWUF3bR/FVi62hqmtE9K40dg3iBmaS5kXncdMupuCG9VY
WbHjfxsD6SN1k44rRHgpY/e0F+GF5xYSZLB0sOZ2BGjd9cRIBKcaHtrBqtEfoV+owdX6EbJ2RrGL
4keUydENEZetva6EBzIx2IbCpaeiPkfr4TKnV74G6dI0JG5sxh6NJo5srA1nOSpGk75Dru2NRl74
7ij07C9uE9AvcYN2xH4oyvoO7bzh7su2SaZr2MCM5GNgudvJqHz31oS6F267CcTckSJ23FXe6Mc7
AQgUvAxu/XlNxIa/L+oFNJEFS/vPhLCariqGj5+SCFXfmOXlYi1Hv7xKtIYl43U39Hl33YJtCRaA
S2bgCW4LRaRNnowHY/F8OpVPSPK0wx+5I8SkuA1QZPciCrfpgolh5EU224KOCbv+5CwwGeR9XwC6
iZXsAM10C3Imhz0jHGPY9guOplnANOR2mFtfxGovFmwNFfOMQQqUTbNAbdwWDo3oQDAUEG/mSskD
aOMZXfUEziR7ME21VQsmR/p5vbUWdE66QHS6BafjLWAdZ0HssFvA8AhgZVzwOxIOD7kSQKwWNE/g
i3Q9JmlHUdG4uLMFObMLzCeF6lMteB/m/vCA5/Qqpbs0DqI+peNob2YzRanUorOC5gtI303zs8Fh
VLtghOC43eZGNG6twYuwihG+wVy42wTvACJK19tggRIVC56oiAAVTS3C09Fs6ze1YIwg8eiNt6CN
3LKUTKl8Bn5QBI6OGdvHZoEh0aQ42da4i6W2dqmcPucLOKmIiQaV4i7ups8S4vB2IL0RCxW47neL
ZoiB/9h3brHrFwcniL37dPF0Nou7E56GtzUTHJ/Z4v0Uiws0WvygWHb762rxiDbduEi9m3PiDtxV
tjhJJyylzeItxY4QYwnDb1rkXv8mGoRn03c/avrdnQry992sSqW5eFfLxceavltabR6ex9w2IRS4
7/ZXe3HCJiHeL724Y6vFJ5ssjlkvtY5mF06k3OKmJbSc5K/FYTvyQmwDwOkT4MGJ9MXmaYpqt0Hy
aQdiIACwsesnw3JATuPCILSS33nvGnb5dXRnIgAdUpc6stJqXH1TaYEOMgxFdkPqeiiXMlxvxon2
rAmvoqziQ11zpVZtWmSbGUXffURX/9rOEvs+yIs0Pg6JguHkx9WlhXMDcAAeQoaaNOOiuDFflBlQ
T/o+qd/kLmRnmo/sV4QAoUJ4GMK4HNBhn49jo+4EESRvPs19YDIFPEKM3L25mQH7fUL/l7/VukZb
OuWN9VyMZHCwRZNXWM/1U+wXA4riZtq3VCz33iSSJ6QIHQ8jKKiytasTKKdsHY8FBjAB6ZYuHGOQ
pMFYBPyKJyFy/OozysDqa6UFSaejUX12Kzs+JHXQokSDArGDJNQ8yrJCmO2WA8LaQObtppsbXg6g
3nKdmoLMXKUkEAXbOXYV2iOXFjIQdVCbu5R9U37IyYBAaRKH/UMVDOG89eBheIybB9JsS1Pg/ssZ
DYKoiyDkgbAYTqGfRHcEomYIqGsyk+CIaOOh8MkBWbs6xeEYYl86JCrtH3p77IYLks/Dq9iDN4hX
e74o4Rmci0jwUx0d74UZq7u+RRS2ohKpTkpH0RUhUvqZ1h0efUAJV2HNq7ot4F3uZnSju6FEfbvH
iBte4YTs3bWWkbziJap4qbi7NOGrU5r74oqwL/1S92F9I+baum9irncMJXA/TzCIyYqKD5j4pzOD
R/NGI7x+kcsOc12omYF6WiXxnisbHyT6YpY9Am+sWlQo0YBDzX2jX9pJ15/7iOs6u271tSRuqFrN
XcRlrYB6n0K6EfvObyFlwUK8gmhvQGUt/fBqjGWMDkqRifQ6J45AfavtwYEK6QyE3J1bfJaRovlk
CRtAnYHbF1FSsEJ1qCWrEj6UtiZ5Fcsy+KRVFJKh2pXPCjn3pu0ihBC2MQcgzj2KSNk59jbERXea
ajPYhNhZz+qckweLM37yyLF+RtYTo+ngT+OuDK86H5jDKvIkFTiRKUwsnCo71mkAOrz1aeLAMSMS
Jspb/oOg98ELhUMGVWLWZbeaec9pY5HHMJG39+a5ffPqhkISuDplsMrb5SknSwdjVWLLuziP+gdR
tiBPhpJfMpNmeuu1NbzaJFJ3hg/PCUj7EF1NKodoTl5W/Tmr5vHaU033YOoxvY2X222j3T+X5Frd
VqLnQCmQWTp2SGgpMqIr0XDVULZN15jypjcT/NneGLECrWjaB7d2nkAsAy9/juiUn1gSQ0HJPn7y
MRS/oosVxmmuaYmDCELD42rafHDVSMVZ0W9BRVcoA8Eb7B3wBQLnDzQsQwW3ImLLhQEJcfcR1Ak2
6qjjSQKtB+eRBhJPGmtWdJWlCXzLHFHoteEkNHF7cnZppTZe1B+VU3oF9Nf2rfSgmzO7yJN1lQ/V
G7Iq60GEetj0Q2N9w7UNK5NXr7phtZjfSjsBmKnsYsEcJ7L7Znsd7tagBxZkaM1lwYVWN3s8HVYN
69Wy7gljNG791mQ1c1X/bdReddMGBY3/ytaXbT/hUk4QbllAZ64CVcX71gcfFjeec2Qd8+stubXO
sTDC9rGK48K8qQ2c0T0bylwey6nk4kHZu2BPHOx0B0AWK5zt0jdtgfeSceE9z43XXga5Dvd9lvUH
oXJuDZ/Nc6cWaYfBOIyvlWj0Thei+VTrHqL9HL21OKh3ukEUtwl67bxIP5Q7oTPAg2ICaeRgqJK9
o/YW12vFRFOQjlTzHr5zyKwcwBlFCHhikQQPdhaSvmuUd60vLnqXJXE0zZi9DJ6MofOTy4r+jwku
9ZTkuuawqQKslVuXEbroPWQVxutmbFyMytBXBf62OxXY5ZG0QewX4GuhshUMGytLmkcZt6d+IlIs
5t28MEOi4orQBU8bFUhvbIcS0Gf8Rwv1iy8jIFJuAeqt7J3XPhOnCpE7S5rH3xzM6IWy9BrqyBn4
OvFIvW2uJoTqL/6wzJnKdhfRWT5WWJWYlkUUpH1STo9kHoe3ZhENO3fUB1XiDPAHA0VaXJVENsxf
6P/lT8SFovtySy6SjTaUhZ4dztqdJkwBSZo2x9Qw8QMHhnmVYorYNV3H4Mvq9IYKdbgWXmrCyUqa
u67CrewMfnjbNRykk4F73RFkv6IxPeHsCsQXP/bVAxTl7BDH7sOYmFjM+zCiDqSUW+XxVK7KeIgu
YpIlcFTax8CZrZfIDIZd7xnmvoXHuvFi6C1Dv6SUE5i4Amjkg1OZ1BnFhXhMhNwT5FLueJ1YgEu4
X6tQgWjzM99/w/BsP45aWJd+7s+oFnJxr6MxWY/UsEskrzzLgyZ7sKTr3hCU0exk34zVzqUuRH5Z
h1sIgvrbzKjJXuuwjQm24zGIiyyEsDsWmmVNT6hb86RZjzqpiYKIcFrhJuxcrHs22q4vyTSmp3Ao
Dm1aZRijhHFeTiQUzKb92MYEMPIq7mJnJt6DGRsFmdtd5kIGnzAQU2YI6FQsgclKk+h965k1mJHc
8c6aaTGVmxFxIZDOUqeWV7mWZbmGmG0xtMiwNExlf6Ek0bPUaEbKC6cKCGVjcpUlzqIgTWZsqnVd
sC3NjITXiBlaT5Jvm3zObQEN06IBT2ut5Is1a1oaXWyM137gVOcTzWx2dS62phWw9fTkD7F5C5bm
VCdokYOe/BCvSS8y7vJZUwzwKgR4uokBz6oYmvacvi+hxE1yIHzd/0x+84p9zpe6LNC8RnJeV1oB
tHaLaMnSbq3P4yTqY2m7L9asvgXoGJ+pWLPnrMlLFq3G+ORm0thh1A63rdvlN5OiYiESGWsbQuAZ
RSvoS8qh8dDbeR+fDKccxKZ3zQbvYwqAg0VDlVfGEMK5LCa3vKJ9A/PXxj5WMgbIWISwqybPeZ4U
N3bl5Tcqpo+8iicW0IQgjdessTEoEpzzWgVEB69tgx9YoQI4SbxDd+SMe8PnmoqH+xazyckjRcJi
bygCSrTHF8Uf9RNfS3pnc2ZhCglpSAI6ju176mN2punCYQzTsXnFv9u+Nl1DE6GZuvwtFQVdhWZu
g2cTx9dLGtVLJAlB3yhxx+DZTsE8r0UQgwfUc9C8GhILBL6C3ne3cyqLuwyXBjcpAq64c8O2L3cC
jlK06QjcTFaR3VHglAW0zUiRXE6NWQbP0pL8GV/DcN4QZ5iS8VuYPEaFgzdn0zf8lttEIpfaFKi0
SFUkkRUrXCyK5iyeZcu+0SxgVq8HTar1juKVnzwTNlMeBfwmbxMJfzKwXS8lANJ+TonNlH+egAgp
NqomNGCdBUBLVkSygCPNxg6bRt1D1YK54EPxDmX+ZncdR+0qHDebAT3n8/eLKRHG4upnPBmDiSCR
kCCYeSxX7CfKvePLcI2z8X/ZO7PeuJEsC/+VwbzT4B7kYGYecl+U2uVFL4Qs2wzuDAb3Xz8fZVeX
y42umn4voLsAw5Yyk0lG3Lj3nO/obE0viEsPgaZ88NCPlfs8SWn3oCxAMF1mY3aoLbpAN0DuCOeB
awWMqWmrB29AUcFXyLx1PUSKz5cJj35Igy8jPWtUDEApJoQfiGrb/lvv0xvFeuHV8uIblnzMpt7e
l11ZfiisUNxlsAfJYcZ19DjIWk+HkTZ8dON2fOiD3Zu8R6py3nVCJDunvAmRPPM/7NFrvhOeXXr/
ctrQl+Eq9kbLv5+BVH9JOL0kK94syTi6118T/NXYYbtGMcAIMQgRzJjY4zo3eX5wFnrmfCjp/52g
mRkgxKqWio5UrTo9mn5DE6VhtkLwiYIkyqPucuBmE2b/AhRi4kstgw5ZlT2Pc34DqRyU7VJC5qK0
W3KQbEn8FWhyokfMEzPp5jAUnXNXxMEIujZL3s9wu5+we/Tfx2B/o5P+QoPqoHujzfqvNahP7Yv8
Aznp+w/8EKDSP31nerS9UbNZiASXPvFv5CTLfcdg1KYLbboMVF1azL9Fi9jvTIJNiFmmb4+1rJX/
85+OQJRqokf1LLEIWUki+d//fh3/K/5a3X4fdulf/vwfWKduq6Rs9f/859tM5qeZGEea0KFjSqec
IRzi019ayRU4Vbw8RDeFoG1mzLQDAaY7gqbC90VBcUtDKpvhAMT1WeNO/2JNE+Ve4gMFVtx1jRqq
M8FH4y3VOKzXxBrvJYehW5T+mgKpykdihcBeDmaH364ofDca7g3BU4d9LkQM4z7h1gkL3LEF/Dw/
HghMWpl5ZNyEBZyMU9WkuN3XtkWC9jenFlPSHQbkNWN/jEVnJfTZxGikgEkD1T/UPRf5wSgrgTvc
lQDn43Ro5jPX0sUVAxYXLmgInD6u4dTEhR1z4HTnqb1vCreAq5gnlOOQ4ZSw0XQNpR89AnuUj8Ta
OvQR0ILkc2d8HmSRcMRyManUhUzvxsq7bkec8rPHAiarqHsJLTNZNbqAXUyXmQauCeg+pGmbC5K4
Z9KfTymIUUr8FcorTtbDYPbqbGPUKq11ivr/WsZZbxzZaQAUZJkRTw/GZHUzvIY4SxfaR81QYm8n
o+z2fWRWrTpYZhxZJAkUQJyy8d7PyVO+1KPG90FgMRrIov+ufv17RfirFQFJOI/lv14RHr+WtCf1
169/WBa+/9RvunTrnU/NbDErfROe/1gSQtD46H04DMIjdRZx9j+WBAfMWoA+lYGTiU7VWma5v60M
7jsUOaivEHx5SHN41n9ZCf5sZXDFLwoPROFIxpC/I3YA54/U/Y+DHzE1jiEHrzwafaZBZXI0jOF4
RcaAq53IlsBaWb6wh6sW3th68XRvLD06exFH4qAKl4aJF+liuyisrrVy/ccxw3uMEghEagyMYj00
zraI/fFjMY5KbSaKjJcwLq2jXZs5y4OHJ1bG7hZy0peurNsjR49474G73figkTEPZqCrZnTCUw/3
DLKtWwGqHjmfSFLMcu55euhT9dGtVfBS8jAeO7IodvTidp0m2NFsYcT3aRLfWLRUDuWU5I+2dHrG
sdpt4xWS64p0YRyhNml2J5J+wyX8xfc/R4GoJSA5aPiroonjS0Xo4hOwieBqTGfzvhsae1Pm4g5K
T3jh0VeboIjj51xqTj7QfA+z6Gi9JSqCCcmcuBFReRgSRICNM91VdSWODWkqO9/IiH3semJ4RXiK
y2zjVWN2awSRwXSHGCECAYItqZcU35ki5s50aM0r11ybs+tehemoj52eDWwx4ODcTBqnXNPjyGwF
1tJI541OzeqifCnkVtFzAUY5dI9WUrtbmwPfVQwtYu/WVrGzFQG75qznu7q39UUkBui4zn5EGDe+
Tlnnb/WALzASmcYQzbo3TH6+g9M+box6nO5dWPifO5bgupyecdPpvVU76YGzrr13wDC/74ME7Gka
+V+CxM+mC6C19EJpCr87qEcsd2MLCKPI+00ig+Cg/abZKR9n44R2naauR956gKeQXJjwc9CUw7cY
UNBuNssRvTHN8y3PjXvnToPOr6a0fpIkHTxRRk8vBp4oIKezZ17ILerPnKsRBhQmX3IS4lCoYyij
pB5Ra88ZchjTL2/oLVeXfLCe5GjULQxcVx2Y32XsBso4EVEEia1owrOr2C/JTXA5+CaWUYhDZ3TJ
tGN0OPcw3FxyC2j4DifAyLuUMOpwNY9LpJJbB2x8hCHSCLWLw9QF6Xph5sQr2+1MXMg2KS1MpXp7
kyogfdoqEnx+c3FL6+wQejD/JJbES+PbL/Q5RHSlnHyU59rKP/hJI+6LytsTWmkZR510bmTv8xZ9
M/TOcCjDV5iqKtnG0TTfzDBYbnVnBwVqVSear9yyo0RtuyevHp3bhmxUCNl5Jh7RRqbbsOmwxOVl
eBrYiYGq0D2YNrX0QXhztEmHdcKo8VBjFGyebEZzGZ5IYooAhJS+qMSpZKqojU1B78G8YaHkuhc9
yVQRxn+GH1UcmSTTqKFdm7URX6tJFOKDiT5VNVvtTdYdosgu+kLLQOPPnQFLm+FKWq7hbs0OEr0R
AUYLwgLdYti4MGnHHjf2ymzD9LMwICEegrInZNIjAQKGCt1ozmldw5E3YrN1L/CvKZAgZ7xk1G/c
KSbpjEcLREO/KtUw3hKD6n6ZXKfN9nY09vVBTER2bshtY2baWlEUbksv4yXnPG78VTHSsmVIXhXr
TC/jb3NgaMDaxyu2WbTQ+kNdyE0RJyltJ6Yv1Y0IJhuz/NSBCm/PGXRqE0peb6xiMYp4S4PXv8GD
Mu5AuvFHM0dBRmQ97Hafxvsj2ez2GXYODd0M+o+5INGGfYqT5sKYg9ZbwjicUXq08bLcbdd254h9
Z9lyz8Q02FeyyW5LO78ipQCERGN51dUoPciPdS2IV2xdyTklEDxUfVKrTVd2MJ5T3z4BYGFSWjKz
J+yM9Sv2ky2mV8fYmQKqpMhJaPLBk1hrZ4Bh4htleU18Y3Uf9MK/bn3Vf4L2Y08r2wnPkxNg/1ON
tclGNwYG1M4LDbgD5VHoeXpVk/rMHgV4mAp/N4iIZjWxmsHKNpX5gK4h2o0kHTx5bqzvXNeI2BzK
/JjHQt8wwjF2y5ns1Jdm9DrjIiMSHpCO8OMjS2d0oEFifsSHmmx0EQafektxMG5BOR1ST41nWojz
BW0QUwM1MnEYpvRZ2o518lTVX7vxuGuNkvl/a87pusXxQshr7wB5m6L5FtVWCm0s3Gu82k/ITFu8
ED3JA0057z24PIq8q2HgTG4A2sxpcAsXIPSmGe3gnDgs8SFmpU2Nsnw18PoPI46Ulb2oKmJcBLf1
FA/rfpbZlmlsvPf5AEtvt4fuMbiSpXF2PzpAJdgLvbB+6QO7vVhitr72nV3tPCwP28yKrIOvlfNh
afJtCdCLN9T98Y4eWb1tyja/zsxBve94Di8djcJbj1bZFXL1kpSrMr0ipifZK0ciBq7oZXl27h/y
uX8mSiS5otUqP0RVZ15HkYUVIdU+lQBhcKsuAPheFY55rUdGM+uEJ//Wo5+2x5LSvKDAAO3FiIeB
fnvXaKZatB4D/1iEOrwjV43zQJpVnwdyg1f1WJjbbAIZK834Q9QQMW2VgObzUiDNMiZnS1ZfE6xM
y/g4lpG5xaBdX7wkMQkF1Uul3cRqMxqY+11LYoYerfbJsDvczp2OtV65YtyGBqxl3Y9+uFYI9NbY
ubGRl7HdMtsAxerDWPAtGK4898HsBDzURCFuaGl5L/bIIBFOYMqc3kxZCZoGfyBPlT9J8eAQIBiz
5cVFEstH7U91cvdWtP5d3/9FfW+hYESX+a/r+zPm1e41m34u73/80O/lPcU4R/QQw4e/nBZ+FPhB
+I6iF9OJvYiqaP9Rxf9mOg3fWZzEreWM7/uLJfX3An8BKQcwDjwsav5b7f9vFPi/Wp6o73E7LVp+
B9cpFrNfRKiO78iGkMD41FsRmwIoaHE30KLbOUOJJQZrxak3P6fGAB9OuS7xelUQQvTv20MD82bv
KERhZguv8i+k1khyOVr81JXgrXFJaJeYtr+QnH+1pI5s4R4sOP8okA5VN2GYmTeQz9it07edm6Tx
Bzgm7OZJw6A2Bgth1L1eF2+7flCW1p3GU0ExUL9VBvNSJExv9YIrNaAItCeUEflSUsw9+uZN/lZp
FN/LDtdvjeBAxsK8cb9XJdb3GqV6K1jkUrtU3+uYkLzk++CtvHGFBlFLoGB4Io/Kgjo/pduRWFT1
vToKh8C5pcvZPYUVE5GhUXjRQ8hbTIWGVH0upsIkxIA5FvKnBggUnRmok0G29EuRk8r8BC8Pdhfe
QWTZaUcpi2gKmno87MoGDVIUG/smmZuTArpBnqejXxNTNnRSvHHjp/qMQPdUV75+FGXCjD8kWwGW
RXuOiD4+jUZvbHBmqQb9fkqONBpNpnNyZyAlQNPUWdW94YafyAgneToBOrWZs1x+tKOoFiuz84aL
EVfG3dxl4bgWctLbIenHK6K1H5DVkC09Ye9Awg7IRw8sd7sgM9zPnMpSeuMS0jNzShRWCJH8e2hL
9T35tQ595YB8yn4Wi0qbMcXFKYnOfkpjOBajZSTkWaqtC8lohztmeJxMc1yV0imPo197BHgW5a4W
LXpaq/G7tXYQds2lgHTjYPESc2isnCUscTRruulzO6wpuP07rro6w1VpdimhU6fYcsJTCEboJC2T
ZPuoNPOPdWvpx0pU6Tc10GBaZ51RPyidzNdOaY9XTm+KL7GQ/s7Fvgjjlk/f2Ax8EPw0WzsBKbzi
usP7pmBkI8pq+ZJx23PqbMZ1S2kMRiQe7mGBD9chrdyzN2iKbDcJ966S+bY15nJlD4nDB2qde9kW
SHhNkKwx2ZDc0mS3RLuBw/u0njl+fySl2F0bY26sogCgjhcO1osdE0RZpNP0dQkMuigmJxvwws3B
rd2emLo09T9pe5qbNbBzDuZvQdY4yAi1nt8Crvu3sGvhLcHX9lsItvcWiG0u2dj5W0y2vyRmeyOx
8PgqlxztkUTtkCGcRyCQmR97MTd6VVi5vIqRpaDNHLh6mGXntdun21T3cpdPtodWL4jc12JwB5/s
s6F5nIe6vFpGmFy+WWUXb0kBd5Y88IXXx9P1FhMe50tkeP8WH26j6rgTdPq9vcgq/8hY/CmUw/xZ
YIHfRoN2j+GSRw4qj2jyekkpZyUcPpHhEUAFDJYY8+It0jxL2IfXDCyBv1ZL6nmJcLHbeG9h6BXO
sv7aWTLSR2tm86e6EkDL32LUp7dI9XAiXb1iiMJ0h0UENfySv85kEkRpT07ujc7d4c5voMEygZDE
tk+lzm+YLIMwgZPJ8ZqAFINTpIWyom5msI8sB+dChjn5WVFevEeOrO6ZC7do2AjcuURqUFeGaglT
Fo4yUSul1aMg7DffWF3ibsyKv/e5RzGUWZM89bPXXAZbytvEHrKnurDKx8BrQaQySwPmAh6T5ZnF
19NZ9prGVLOrxE2A6RpO49/qZMqNj4TxzZBXlQrvbWcIkq0wi9ilAdv4zc41i/BrM6Njmgpr+BQH
MHV6WCz3Vturw0iUDbBvA2xeV8mDaae9uWqVdM8yJAVQDH3zgM52TleR5cs7Gu/2h6ovknv6y7Cs
dKPjWyTbNch3Bm352hZSP1eTCY/WJcrG2zeLADViUPciSYplPoMv7dKiuYO0bQ2exLy6tJCyqZU3
xtgaNF96zcvlDP5QnEwh1B2EBEr4+hlnEi8RhyaHY9bmXTo5DLEye9yqAbIXa8N4TPEQfVzYhPyH
m451noc8I9wJ4QJDw1W3RMuBO7fLNQcIcWXFKDtWYrIZeZlYkE/hONDx7lvVndvA99++toMRQHEy
G4NwZocP2Vtiq6X/mjrmsBkCFxClGp33idXWx7QW4hY8n8WrFq+20iFYGC9zbuhgXFGls+R4+VU8
BdErPeNjyIR4xWR8AckXxiYwqfLr2k2vJ68Se7cyan5gHu0bIIB8p2DCh2tEuebatjt7g3rIZujN
f7DVGs9QzNVdgzbl7HpAnhedQvkJdXv/2ju5Pme4PcHEVuN+qUs+50ZWvXKXes7ahUTB0pFy7NxO
2GSudAVsl+w0pzk7gRpBiTpSELumZ+EiYjYmdzPQeHF20yJXBtfTme/9tG3LrfJV9tltMRVvJxoZ
I81/DkPEoEHtWbV5W4zQWcXwUuogn/d1lvTGuutNGDlaZu8p4fi65Ivhpv2NgfLwfjL9h2yMvH2a
FgTNOAiPZ1K4pHPRyQC6AP2+fRNlaCApsarnqYraXcuYdVO1Jt8XIXuIO1BBlc+Opwp+Z9J/sWEE
bEkWc5dNtCkugdLWlWY54ynSExN6+j09whoTOHQetMRc4WzOXhh+ftIGbC3aH467ZlBZn1K6hAve
MTDclYMmWRKFEBGGZVQKrKc022tYtdMdPoPkYcx708HfigcMlL7NUFTr+zhcFAle4F2kV4FKq3jE
rhJ8/+BXR62X5E+OmmRBg08Ll/C+KJ3E65CO6nMQqrpHrWSEJzyBw1JgenazLdIq3E7glF1M/s18
DFIaPvCCOv+KnvLsrgDudnDKjVmolSA44kpZs8dElXUkXTeID7w15UnzwU7FZNxxXC7cfcemf8dT
C1YJV74bbcMq90992rATEMVdqkOmuJ6bcYhkxNaKVIrRlBM84O51N5USBuc0YufOQQPrayVDp94H
RNinl0ZO2QgPQhTXy0gG+l+o7gEFimcFh2lf+Yg2V1mSGa9MmWn6VUKVe6WbsVgbcUFLUVozWwaG
nm6fMD+6tTmnFaegTsIbUhnrb2FpuglT49g84mvMzXW5tHBQ0pKBN35v7fjfGz1/H+v+P8nHAR6W
PzvVbb7mL8NL84ehzfef+XGoE9475rSuw+gUv9SSOvyPYx1/RYQWBAnkg0xUlwPf76c6RjNMOhhB
eALLMS6a38Y2wTtMpYjfECljakeI/u+MbQDc/HJ2CnHkUl0wtsGgHTJZ/uPYJkt7SfZKqA4TDYKP
bYolaePXzgCqdS6qNTLuot3VJGeSQsjGzEO7Nk1op/Q2akjSCY252Zmtj1HSFRhwSPVYJ6E5fB1b
nx2AX74OIjYstsDbknEBDoD82TWaYAPiod6VMRbZCS8ULoIQDzIXMTkwQfAeSG0pUZ23M/kPXjtA
rkYhIZSO3HWUFs2JBjxwkIo8Q0PkckU6uFpxcG3OoyKpwS8cwPyIqfYDb44aufHro5jZDCujae/x
daCo0slzKpTxMckL4zFWJa5KNZbIM+yYBn7tUL/p+mYeNd3kUd/1AbA/I+NDwvsFaGzfufaU7Tht
ys2E3GOVxhyEmbV+o4mWsLSERJWQuNBS9dCpt1Vb79TMq8vevvOdEUyIaC/EZjmrzrbvkJg/Rn13
sSLUfnIsH3A+WFfjUFM/ZGWPYmpY/lMgcyuu3KD+GBUI4mYibE/ZFD9jGjr69AlXuePcZVP2rAAs
oEisHmB0zp+yHGZ37UDwy4K6o+7H581Kt+YWfORogzwuJVIl8pe3oNjD+dUhZcCeniQd9cwwUOFn
1UOsw/w98fDue2sEBMrZCvJHTCKgbyFkKttWraRZfNNzfWv67nyIEAe3zAVeKhBOj3UIXkQmKO8B
6mHqDOz6lj70AUw5cGSvVTdTL5uPbhY8+jqp9tUI9snSU3zlRxmCKponBxTYWE7y4An6tqFQtw1P
sUtXwi0qXDMi1sUdsyH4myaA27VQpnPXEr92TZK0RKhkyzFYVRDVt7ksHxzDGrdOUzZyY1fOvSaA
dqeDqNw4jvQhiwCvTOn/Lmi3ft0XIwrIRsECPMa1Za3iRWqZ0jhYtUHvV3Bjx+4cx9hrdkNjeE/C
HZIzyQfmM1K5fqOnNoGanDKA8riW1c4KmgjI6DiZULWV1x6RpALh9dJ2+maU3mzsg6aqom9TKIZL
bjcOrVgwrdtcJE4D2ShGTJBaD38v9P+fhd6DkPBnC/36JU++VU35x5D77z/1m2oHaY5F2AJrM+4U
qpzfl3oLApyLooebfnFi0pD7x1rvLqodEEhIeYCu2HCsfl/r7Xeewy8kIIg9hcAz699a63mNn9tk
Js5PoHV+gIUeCY/tst/8DLKgBV/VCo39dTk44banuIFT7nDIwDM29HfEGk6ndOyXctLM2k9t5fZP
matpNuiw/EEn/IO06GcpkfWLFXZ5N65JRxMbrEkHz1/e7U+EBLckvTiUXX9tq9K6jnHvIUMUlc/c
tm8rPH2D230SfY2MrimCVqFoexuozVq4cDVF+SVsW+TU5FvD/M1z6wkPGVrvyfeir9bEk7376fv+
IYb6+R2/kZN+ajO+vWMffST0AzZl+qG/vONESL7bqb12Ri9GU4DW7qmnBevsWjERQtFPo4UDhExR
gjh8OvZkFDv7om9QSDagbr5IamAL90PNGb5NWKvbQpr9SjQe/Oh4CY3LuvBU6FBy4jbN8L2W6m1S
N25RBfoXQE59sf/zT/XPX4OgOBF8EXSP/xkXRVEcD0ad6+uS5Mr3VYyEbAUKmlujLrFjDHQkH+rI
yj/++csu99rP1xL3+CJUcxgq0doBa/DHa4kgK8b6H5fXZTBb11Ymu+sSHgfsCvn+z19p0Z38+kqh
iQ7WxeFP+/yX+wwnBCh5guiuA3B6LwjQmnwPPoJjJh20rak6FMgkxgQ43RxvKP7qplluij++PDcK
bm+Ajb7P6vDLywvhJDIui+RaqMx7KdKOGTB8ynzvzYXe+izwy2E+lfshVwhlVFaJr20e6uMQTu7V
6DuNyWAzraC4E+r35DS17WwkkUNfawNrpmnMhVh7Ibbmg+f4ZGD8+dX7lUyA+54SlWUDpZDt8qwu
vfefHlPT77zS8yKDXJYIyHXTauDpRtYyiCTrqYxPg0yyz3EQ1lfjrOTOr9wxQYbQi28tAbXVegKm
sMax3H9NGkd8oUMvxenP36Tr/dOXTGQ0NxFqJtZWns6lyv3pXYK2T0z4784ldVUdhcEGw/sMAW10
QgoXnD/NqEzSSUDQrKSUYt1Y5R4bZr3PXYJ0Mhpq93XucZ4X+RB/GIiaOk66hX7nqfoJvXKwiVQZ
rTsOwMkqQfaAJznV5fVQQ+RTBtPNmFgWMhvnaNHh9rI4eH6b39tpfBtPS+sg74S6xrz+2NqFwcm5
x1xuJVjyN43bzbj/hyC9yqUXfIrMzj1JdF0My8c+XA+mRGzITZccjaDB2zhMoHlpOBkLC/e11qp9
6EyDdEkCV8SOmOruiDrDfqTiGbJ9JAyY0Uxuo8+hYzb9igOuQZCToGFZa/uYVWV9tOiGf0n6Gv92
7RTZA9kKI8IO5cKrihp8mlyH/TKJulFDMW5dxhE7yxqtfpszuorX/YAzE3+VjLaFdppNV4c3MjJi
c4MSsz2w1dikYJgUmUEr8o9MUeXZbsKahlzrUXJjvdlpv4CcBCB8S1phOu96mMs7YxzNF5v8pm86
xiW+nu3WREsS2328G1vSyZxhGLZT3HfBrqkiuUGTgu+Xf0ruptuAAOqLHhC8TlNjLSL6E6LycG4D
jI/WDi3IYt/42TbG3G3eDejRMWwRBwwNyVWkwrWwgWB3ifEKqh6+jrtuUG1RYCfOcdt/ob1k2/Mn
PRij4FAQNizl1as9FWlLida1XVeb12TsFdl4ws027/uwa6NjQfQ1w3tSgx5MYWAPmxw09x3fAXZ/
ZSKxn2UBw4AUZfbDNs8GtfUZ3JjrJkcNciMVnNnqkE1i4Owx5mF7hSHI4Y4aCAvTwxovm4EWTKbR
DS0PxyfSKajxGltOpotdmSdNuFDEiboHqJL4GGwgwnnkzplw5SpggMQyhd3APCAXJCroiKpg55Vx
Ma8DWn40rexswajLhkjwngoduQ+mGzKa4iT4hlkLaQb9YZvBoBt0wbVnRDF5vQ4pUB6iJLJB5+mg
URk3cKhjnGGEq/ez2oWNLpPdlPvFdDC1LmqG/FOerAUxUznDKpXQ8ARc98GoC2zZjuNnxYb/mwbm
G5O2DBkh5Ye0KMLiCJi8zbcZo7v7uWvJW0mNyrbI+ZQknayEtGW7j5qeOAs2Ywd17Wxnu67mHWBI
zhfbr8X0aR2kUz1cioBWIo2wEq58ZFndqSGoNt9w9Ik7GGVoVjjN6cXjgmt1/ppnnEU3AW8AxRUo
bnVE3useYlIh/LWdZcrZJFWC7b2L8GYYQ1OHtyQlpO4abiKj+6JOZ+NsLuEC8BdjAq5kKOotXfa5
OgKdQKGThUsY4PLvVhaWMGJLSe1auACw6FbtmBjPTYmn0FglPEf2tQUdAY98gF3TeZzywe6u/TrE
/VeGqr14XcmWFGuR8QMheASiChNplZ9m4BXyhKE6H3d68ObkbLVx++jiLnjB1o/pISBqxCEKexTO
VvtzwptHJldscoeMHwTi0TaxEvUpHwYqixRJ6IP2/OFz3Ujn0IsB9z3DM9RzDGv4PV5epSPjyd66
nseakaVuPevRahd9HflUOli31oREArdRivV9tO3hWHLqs2/AVYTvS1MtN2eaYrMQRDHqWwxObbA2
1cB3I4eSN1ZpFt0zO1j43glM7m5GCVmzAY+PQabVYWTfpk2XZfd2gLLpOLrp0F3asV3UXJAabiHV
EZxdDQUvXVUzmrzRLtoZQ4dYPvzy1gfWJ94XE5BrfLR8CozmXCoJCH1eh1nPo1PncZZA/hWLVww3
4EvM37Gm2m0pb5TlTg3+2xpo3FEOzdhdgDjUmrTHTo1IkOgZEV6rMDPxZ2I++EQsIGNoLXVyWzLL
Qe10Cvok4WAtPcSv4xT7L0NJlsxqbNLp3mlHU59jytz0XBFomD4E7BZ7XZrWtQpj9QkOlc9p3pWJ
faqCOOzOkayg2U9AecD3icnZ15ALsrUp1PSa5Zl3O3barA6K3kL2YfCLWB8K3EXfpjlc1pCE2MsN
54Bg0chMUu9qREQfDDBacFFqtDWcl9V2agaJybjV57Agr2VDE9iOWfagZK56aYfvm9To421ulzwm
sxE54dEtK0t9LViQpxMKaZ6NYVmx8UgZXNGxh1LEJjOos9V0Nsf6MG97dloGrpTeKn1uwj58NCbK
9NMcto31pdVgQZgwWqI/JoPNr2I+JBkvDjFSLgz6klxB6Ju7mclCexknkT+kvVargMgct4C3cpgH
ny8nMxky7Gssh9Wl9Ef3ymhBOm8lJvj+HE9DLdeBh1DvkUqEaJaQYNwVS6fuGRvoQa/CoQ8Uu8Ck
HvJYWclHq0Lu06/Ips6mp7p1jJBfBrplKwUZNCcjqofPMjbpVuQCSdORVpx1N2ojmvdNx6x5m8wd
N2lit6lzS9bU7F0XPlwdMi17078skqSRZNl0YBgva761ISixoTYz3l0CIDQhuqMzNps+t4NmPweK
uz9zR8SkE8kDJLDU2lcfBmYKj+mbV46dLnzPvV4Qeh2WFgusXYfpLsCkN0Cy+YTtekAZnmW9ePJs
tJDkA8Ste3GjPOjvVaQX23TMHU2yHlDuHQeHabxKEEpWV6KppXNrj2buH6OxCvlcIHjiS0YK6LAp
AN2QqVoWXXvJ84j33xCuvNMyoF8HQt08Top52mbyfZHA6JTi8laV/q2E+gsllE03409bKZeqbF/K
l5+FUD9+5rdGionHyXaWkzbHXAoPyvkfUijL8pd++qJ2IoBBuDad8R9NcxfPFIdik3UJ7TbQ198b
Ka77DsIsuir65Z7nY+H7dxop7jIC+MOhDi4OZzn+56ARJiHjF4xXTVoWMpYJDWVdEwGaG8Wig5e2
t/aIGJwOosqcctdlsVxOC059iWEHEOAUyy+aZme1EniJ8PmaUo1HOSvin+le+q8z86JtUSYEerpF
PV1VKmvyD8kMoL3Ss/kldeIxXFldRs7q4viaNoXR984eoEL1JNpWgORRYY84x0ma4dLUfrmVbUay
6LSEVWSTn11qPBxrDnMA2SfjyuyQAK4aasO1lZYzuWdT89x3TN7IJcqPbj+apFanAQQFD80OE+7Y
3cHpkUQgD6Un164vk0veV8Ox44QDN6Rrjn1VQFxvSBC+60kutFOmu5UdfhhKOsrEgsJoJdR9eVfT
nH4YPV2vnQ5FZMejLUPyjA7pbDUW7Voko/BbqhxbwkpgxmZECoZ6ZVd5o9es/tlsrfjmucrm3Fno
DhLvBGOCarQGe3NedDavXJHpnOkwjVCA+PV8bBtXG+5ZNOS3b9PGWtUoRMZ63wQ1MhkboPilSt08
cfODyCcLmtPOX8g6FuNLlGDOIcVCValxrbMagtEZMX7ZEDBsafzOIwsnaUISNUlMedIfrSKzwv6c
wyxJGPGOFjERNJADQ4h6U0P1/NQ7tnWvNaVFrkJj/BKWok6/hRDwvlGQQz+5hp/vFdaDKCJr57dk
G+sVGE7xEcYXoWOqCPsrDNbZySc/jgsFkESuJ6LDj4nL2Jp2eXbHMazZvjlWMXwON3rK+5WZJByK
8jGrNjTjIKpgmzsFaF05zJpI3ZIk22cohXF3jPet37lgHvDsb5KwkdgJVBsTes94dE0XPqWuZX58
MEuzb7e5M3lHVOrNbg5n/VLZdf5qtwrmUZhp31s1ChRLGyBhWcVt2qD6JuzypDlu0dGPc9ARAAAP
uAaeZeqigZpJcbk1uILEqcMXe44b1zzHqUvpMHrGnjNOuRG83CX3mcVaszXelVVr7eWQBekNs1YB
JTFgqJXZZna2rZgShmSrfhOgIFqigrzrhHhgBslt7l75QTqfymg2/4+989qu2+iy9av0C8ADQCEU
LntnZopJ4QaDSsi5EApP31+J8jkS3abb9/9F/25ZNIGNDRRWrTXnNzdrbuOlG9NnzpG3ll05h5Hg
4CCF80ZuYHAJJ3H4kC5F/CntgfkC45mOLdyafdEV9fnohO0j8IRrvw79d+bOvomdwaa5h+sm6Jyr
lak0E5FWbaUg3lRmrdtzBVr7e+No+4bI++RDwvToou+8+bKZivI0lOzRdRYkiAgmdvfZgCWoo3xA
czMcSfmL7hMPFEqAU+ySEMKnFU9ELXKiA604uMRD4l+2WUfGWT7M75GWE72aF8t8CRfe/ViBigNQ
p1fy7ubSFncoLse9Uw/iuxXKtNoqrsahWHN1NqryC8azaNtnMSMyayTGe1MQr3fP+BD7jRtOzRdP
6uTBz72EYMii9z+rCrpMHQ0Dv6O1zsgNdpn0twRejKBpZjtogJqhbpI5cvZ4Yi8g6kSeFj+ImenX
E4GtwZLjB0/QOYUk2V84NJEfGP8V25Lr80C7Gqhajvzf1ZfRjEDGL+LoRHeETFApCMyTqDyiTeSV
8usS1OltVMrsNBHo/pVNa7QrbY1Nqq3o5e914xlIiHOGkeQOvZw802JagBJr/x6tV0u+xKzdUzSK
eDur9ZE8ZYf9uJ/QZQi77DovJ1b20RafiJsmyDQdLUQFjkcaFizKj76cSTF32vWOwLNs64X9/J7C
D4GEyJsrt2yLgXJw+YJcfmLHI9T3pJitLVpDOIZYw46L54oPbr1WN6uDQmBa5Hqra0KyGA6pW7fv
2wv8d5gknB6z7tD1RXdomoFkq6aznxkE9juyL5u73INhttVzKrZkOlvInVTyfVkT+1RPdfhRwECj
18SttV9Zcrap0hONHKDb5IWy8kvGXZuQGdgVLrFkyxMpDl7iuI9JF7UXEmXUeRP17W3nIPlQnT1x
ZaNUf4PIqO79Kelg9uAxAFug8celzlCRpNoRT+JM7hk5DsRVey4VfoV20aHQ2yANaa6WHNGrheXg
cq0bUoFDCzFPEV11k+vDENBZGp8J/HBXqU1cjONS6ZfD5D7kQ9leha3U9/aMAxGgaBrdedGiTpNU
y1lDTrK3IZsVu0Oa2Td0CIr3VdR07xNZ97c1kpintoizi3Hp0H4gwH+EfqUN3zsHizzpfQxDb4Pj
a0hJ7OpshujKtdUZ7JAJFkg4PnqejVI3A329szIfNpLPpqCzU/u2G8JE7EMZN+f1bGGjqYpZX/i5
ropt1hvXWuMJrqOaP3hLyLBwSoMj6rUJzEwXr+dO5gRfTHq9tW1iIISJYqsS5Hb0Xq/+cLK9lRe9
rO2x3OA2yA5BVgSXIfaLBxCPwOUsOMrFJokl8j6JrHLsmv4wtB5Ip/8Ux/+XMSNCfYrZv3cJ/Hf5
/Pm5+q02fvlPfpbG0vsDnYbnoLFyJPYBGyvAny4BlCGYxwQde3bR/C/17596EkQosIVx+jL4Yz8T
MW75U09i/+EynIgiymJKOBD9/6o0/r0wpvUeYInkLCjfkaa8NgHnTut6g/CsU2ShegMzq9fTGHnD
wy/X5PZlfPLrKO7V9OjHYdDGoKaRCGvc14L/1Rl6orgn6zSsngO4kWw7MdrypponmCRvH4sL+mut
b471A53PUoovgxQe/v6X0QLfRT5Ek4hP2mmiG2AcBv7jiHNvtZdbWhgYpN4+oHg9c/kxwGBW68M/
NkEu9quZEUmJfueEfXxigUSvF3eNumzIsQTsZOHBZPoJb4E5s3APKOUnQeJsmetj0MxwVDo/Ac84
TTgwqEszqhHq6Qj/AfPIqIeks2T9ZYe16QjNPTrOsNuOVaBdFD2LwRI51buyKKNjiVDm0VGwjaKp
bw8WO+hrVrYMI1ruo5AAvHekV12dZcmg950ywguLZAOKtPUpLbz+CRTcFfuLbD+HJe3JtrRPqyuK
Kw/Ku+RFI8Z37gBlB/1Qc7NSQj66NsnJmOfKg99RYYLhnRi51PPJbmLCZtbOPUp8lpSPet476YKi
UYnhInRUc80eZkaTWYhnFPfWqQzmbrf21nzqQCgkwPCjONhKQ9kcZFVdBmu1vCN3MGUn1c20xnvp
HWxGQh9R54Hy24H8NcxOokUNwTPyXcPzTOsWITHW6hr4DPf51sZ0gRFUVPXnsQ/bj/mYyPcwe9y7
KLEjEDz2EH3N5YCKx4l6+s6Vq0lDBAu1HPpJkoRsS5ECFiIQAcaMV95gvJTtNiCw4TIc5/FCj/X8
JPVabnnpwNREzGK2OAkSxCyHdCicO2xxNm9MunrokoM9cRT9xypspkMDyPXAe5lycCHc9mtvWBVp
nX7Rfd7uEvjJF0kkRwIMVz+lRcfFSeu4vOrKan3PxM16J+gaX9prLIfNsDjFWYDP1cKHnsfQgRrr
3iNW/Cxmwn+a5nrYC50Vl2BNx6/JEKjPhWMU02uysg+1VIYngmu6S+PgSwf+eXYwWtYlE/AlLL9C
XCXlsvCoWEjnLIrkMRos7H5xWx4tIDs0+yq2XAsswQaM+5ZU+2ATtuoih1VJNJBKiA2xZf7sSzvm
h8NPIoZxljYB4fFh0N3Fc+leUrnf+gu96I2UULXYK4vd4rvTlSg8d587cP2q0Dr4vaWuCiqrzwq7
95Zv1v8MT7G4odHu7opVqTsEO9a2VvIOqXq2h2X4wRp7tmorW2McEMM1sZ3rfo6C+b6uI6hT7AIP
usKEM1fvQxE37ikr0HSBbk2wC3ypeRfTr2JYycyKHX4O1ku2QE7WIcf5n1SFj8+VCoedHRTKSzmX
ejkjOiPRDGuSDqJBbFnJ+lQMszclGwJchxlYCOJdNtbTkD94/Yv5Dz4sEV8PITL1feRQcaABNvUz
22n2Vz6zpU2kcEUdyTwPwg8LQDt5CHXhsqUjB8XeZbhc5WHIaemizK9UcKAuXZO7qfD5SfilE1uk
rifwu6mw1d8mEH/x3bZBN6QXUWxNZIsN8ex/dNsUytnGrmMr3c9IAN2nfJwt/9AtDHm/hlg7nE2q
UmWhcQMs2d8XcKOq7uhEQ/ER2FZxHyHgP/YAl83BQqB9tiqfQizZWFCEG+vNPAaQwpYJnBXWd7aA
P2DgPgOh89mNu0uH2K4TI1nsJkuhCWInPdcB60BC+WbozL8O4yC+pwidv8CLRNxRYwY4eOjwzwyv
Bhk9WhY2iaV31gLeOs+WOdqralxrYoaJ8dtYEuoNljj69OEUOgcnIMqkpD2CMDBS6L9ttHOWZnNl
YfT+tPT8fx2Tyft1sMEi+LVlOIHTXL1bhNd+8wJPXnIiBn3les1Fi/Vk3Y1BUqb7Xs/NGUON6Kb0
s+C5rDrOT5STw1Q4rN6ZmDLUPrLi3Kyg5e98S4Hykn35JGxFA6LIA+CAKD/vk4p96WagjHBYPIiT
5Lktdz9edf9pkf5TixRxLz3Dvy8Dd88Qvp7/6+u38r+um159+61X+vIf/ywIo+APvI8B3T5SNOiH
Or+IzkwblT4o6hdS6oy49/8VhC+90gBEKygpdGnhL71S/49IODbFlf2iL/53BWFoBCL/XwDjocQC
VkMpQnYPqerO62QN9FHMBJbQvVwJdUlWwtMSrWL6gTij9HBlKS/at1VYqs0k/ZwZChm/Hy2s3c7W
zXDlTK11GXMX7nUH1THRXUNC5jpcNUl9SnsxnstuDndeGQUXzVhb911NO7GpE+tCQcCkt1dBUpbt
8pgzjq03KDiso9N2eKwGeiIBfTcUAauDPrfL6k00xeKYdxgBOG+2d35yKjLQcQLJMaE4+Bq7+N28
djf4XXBFObZp1DqnbkAujMYP5idOAoc86Rhb445l+evoOzPU+Ra76dRjSRC1vopBwOxnhWR/sr+k
FqkGXTlY+zjPnYO2Vwz7TccoGdAJOtD6Pd6vfD9gL9mtJRlwS3/TF5rYgaRQz72rxKEMK7lt/bY/
iSrg+BXNEa6Ut1O1jE56GPE4JWmzY6S1ngBwoylptGmotNOJ/htWywhiHHwRbIeZgxw5Qgttt4JN
rS92SUb9ADBuAdFcDudFFl6lThQjJqjucB/NxH+ER+AYADrmYhMzmqPSbIj9FMg/3Ng+4ggljiTV
T76a9Haixbant6F2ir4JMMmR+Z5vgRuX42fEb/jwl+q8JdDhou3JAhP0VJs1xFdatgd/7erdWASM
tSElbTo/OEVxdK5w5G9lgcUlW2PrSYus2Qj61TQ6aPuIcVkOUEOx/SIBOnObNH8IczrBA7a7XRjO
3YHixj+4+Hp2w2J7DMV98oxkclxGggM6Wsy8KfNPLdTTC/i2ZxoN+NYFqI1rvyeVtkyOqSC9DhNL
tytLa1/k3UMzBE9yWS9zF9VJQmPsYNWZvXfsNT2GbfW8gr3MIfsf8ybut3OO08ZGCHPeudE3b7Xy
nZoif8c98VDSpqCeTTYA4Cla8+YwJoXeuklMVUgE8CQdppMDFAtH+WedmzufNIRE4EDDxWIVn1ft
McNMZbvP2ZKdjJADEFItN3RzI8rOvNuFSeud0pVmHzFnYM/IyN6BPv5gDaraFeES72hokA3WaN6+
km+wEcBeA6T4h1jkj70bJFe1nVYHIT8j6rfPGQp2W78NrIeS+PphOwZ4RcMyy+5gNEreeoFN3zHV
R7wt/YNh7uycMCru1lB6u2FYrwYiDQ50o+c9vSFmrQUmQh+d375eHDAnrmXfZkG/7u21qPYOOOjt
iB12R4M+h8KeB2cO4Ottlsjp5LrJmfIn9wK2IolCqBsfTeLGYURzsHOxim0DrEs75H8dc5Um2w5+
bj9q6tqNwiPFk9uBoU9bUGwjEweaafV9YQl9G7ejfe4olBGojZiEbGcMAvuArchuUVWAfwo1rdAD
LuygHy9Dqxb8oHVZExx15KV6bXnF5wz4tSG4YW3t2KmMEmN1uHI923XwT2EK3jYT9vclxqUL3c0/
bydcu3mg7m2ZnY2gHc7lamaYvX9H1m1H1IJgyBwh3F3nMth53qIw20Zf6NjeZYwZYme8LceaTI48
QzCbWd8qb9WHEvJdr8LLbObn0cgcZ9JbYE3WNehS6il42C1z3mnYpKGQG8fLnruGtmYi1/uhcZdT
OKGRgOpjYbYb1daxpTbGZZJmaqYldhL0V9oND6D7niNk9BsJnQZZ/eDfY1dPiNCLjB0P44ST09rs
vk3IvjbhquNrSK/iaJeMJxgZFIe8dCcoHMw6MGoaHHwlT6mgX166n4JguMwTLz8D5PFEuUr9xtwF
F7UIzkZoLQ9RNL0v435G/RZ+C1KYKFOcqS3Y2wfXGS9CT/XXrXTPM8L8Nhhsy6sS4gbhTLdlijUg
Fqncxl33ve9HSuHIizf+OjZHzyOzNPYx8cMZgheF4RgeDigQX9B/LuEQDyL9FGkZPWhPnxoCZC7W
IB8Pk6u7g5JgqhbJEet1fegmL7sFnH1JQ2XB3IbLpZgZNBZOQkLg6Psbu/LvW8C1u0B12YXuhrOk
7xAPTPhQEoUjrkx5vaRVF3wsi+XDHI8jTKHwazNiBkwpFRnEq/m41It1IHXa34JoiG5UOQGBR0hI
tWpOfL5qURdslc+wsorvmnxt9nOQHZYOfwsLGjD51Ho/RuxuOwZXgvEFa+E4nslp7VlrMob3SNhO
rL/ZOd51siZhwSMqIIph7GW1of3P9HIV/iEJZ3Gg5S22i9c6xyTM38/gDs/g1j5o1CBDgdu0tZLv
wmrD87Iu4wPGH3R8beAcsJfKveNVNk45hv4NpmJGN018wDTcYGrVq6g/l4BP1aPHnGegxSkJsqlP
CyhvHK+L6gjrfVLxVIWmkxoAa9103H2VvIn9PppboxcrzEPW5JU/iFPnNhkDwbAF8vUoRoQ19E3J
SyM3Y+8PDas3WTc0y+E4127s3+E7DIP+YzMtNZG7vZgGPFQQMmB5buq8zCyiI9CWrX3/HxUCIJVM
6X8osQF3IsX++wqbRutQvOqzmv/iTwmCG/0RhTBDMNoLU0RTIL/0WYm0woGH+CBC1Y0VwBj6frZZ
Q+cPEin4cbTmpHU7PgX3zzarz1/5hHhLpHMYHlzxr2iLrwQI5nSQZPtgXRxsI3SITNPy16ZkOOkK
8K/3LYWInX+nXRMLewdpEbv+Tqnc1U85NHV1GLQoK8KYtO9/IT25rS+dhuLSPbSWIRYXIPxoR9VR
DIeYpxHC0mNvo2ag58GTtQJOiJcEV/Mk0AJD1CgZDaJdzEcUd0j82xCzPUy1+TFVJBbsS/pfoIw8
HWWuSfyAtHQEwph1NKDoVkX9tpwXYISHesqHNtvqgSXVepkt/L215HfNvce2JhLG6ML/wWlFSPL7
1aHuQnM8rP63dpinCOYSSxo0d9pEdB/JPog45OJkdfW9g62sH0jVjDg1l2YEn6dGXbk8/nJv/S8N
a/cvpxRiTmN/hiuIwSvoj99PKczdBYNan3x1SttHhOFlSXFOtYUmC0VEkFE4VyGKS1J+GFQyp86X
FrJebrdN8dxg5CbqJByBzp/TLxvg00PiWUf2AwtfxV6pNaXp2gexteyDteiC63UtHH6M/A+ayRs7
GUZyst7+UEbl8svOjiG1uQdBfbL5jIK/pFOjI0BlirHwm032YHDv15nV3FVl3Ky3bx/o1RaSAyG0
MZnbPuJAxh/m4v5yt2vaGOQMLPFXpMwIHfdtGReUZq7NE47SL/du5qHB1L/B+1Naags5PJzuaGbV
/xSN+fvgwTNnguJHAFOSbGpRGv9+JpjdNersPPg6DbIPrv1WwwnAn2SJUJzT8lzZNrz92f9ykXFt
GOQTYx075Cq8+uyWk1hhU4biSzl2faPR5+D7KNgrr7Ge/+FY5ib8/Qtl4fLwCJsYWaYd7u+fzgVl
V7SZ736lwB4y7xvSa6KCzihyue+SBrgCkD4dGHTzv/2Q3EP0MGhGSFzNr8MeRV8OPamjw5fFJjKF
4LXQqP9i18q4um8f6tVwxXyFEU0IpiN4cli87VcXNG8ap5iRD38FmOID18TpUD+WrmKNwuqfxEl7
s0RrbGO0zcC72XtmrMX6lA9hyx6/KlkQYwrnuIreQbshMnqbTgZsWJCnJPWJbGiv6k9vn/Rfvhhf
On6ED5BvBwrX6wXNiVBwL65df6k1+T9i0wMPyb9PuNz8D01TBY3YxfAM1D+Fd7+CfnGxfOMPZxwD
EZXe0utlK7YI+mnZnH/GT+C4aJdDn0TcbYhSCl+SI0qcGScekyJ81uQwLgxp+h5bx7ay0D49kOYy
o2NO2QWrz0lNPhRyjsBlok1gMJqRf7hK8vXjyQmGNLN4TCKDQX793frJ3PbV2DefU5m5PIq51Gq9
pf0EuWwDWCHR0zEa6EddWyLOeJqG2vN4GdRsdFgso8JL9BduwCr/Hgw2V4bXn1eAiZgcHEzfXxZg
L25ZXfxlTIIPQxKR68EeJiy4U6dSmT5Q3UOdVIQzwO9B9A3SmyXaGtKUA7q4NeQ77DBq+UicHyXE
hoQIo59xc6i/HTq2LOhyuhWdz/PdpXNmpoxeTiDlDL8cuRv163rL4x/5H2rgOetTv1KYzxunzSMw
qw7kzA8FfY+83qOVKdenVYlwepj6Lpjuhpx/M2+gKbKCYIUKGr4zN11mDl0JrFwaG1xr8aAz8mn4
MI2d52ly0OBBa38zzDl9sg0AELZBUI/CoSLPhOhe9U7NYcXLTHf4zdV26Enk1vs8iTi0lc1AZOAE
zOZogMnb4FpEwIw/djLzJ1ziU4eI0KulPhpJRn2RkgQ/no/LuHAvLZJgEm3yDB19IacBUdfGjpV5
Z3Yyhpl7IopJDe628eq2KE4/PwA+6pSPWoc2iKadbccE5G58u+b2G5bELGJlFdpWtWeLE/CPLGzx
7cCZKcgL//k7aOdY/V5kpJ0h1XbZJCwbka4+12AUmebQSwva81yLhs+UvFxVAL0zV85HX8MPzDM0
sfO67Efy7Zw0MkcUllH46TYGqreBOdfx8Vjoze3S0KTMvwtMWdw0sI3z6q5W7G/CQy6YJAebFvQc
z9RURxF3TeIi7qNHBo+M/wpUZhweMGgUUpxbGPEgmiJH5xo2y5RzfPonpALdyxK8RL6DKS3LGXFT
PRUZoBiSpuQuR+HN3+mAapEPARcmWK46gQMo2QNPMN976E6sAntATIzbAdfF5v7tRefxJwY9nZjO
o2Hy+C2kWmGjov0pJH8i+YoWAVSzRnFKmk/Pv5zH3JyLF6VIF7YB8XX6i5bQ6JudWIOAwSIiAE4P
SaA0dRuRg0V2PdB49j9AIeYP20jokNPKvchc426quIIAknFabVYZmnuupAT0TrlaPK5PYgfmFjWl
9fTQypr/7Whp8QCHuWJtoHRcqTJw7/OcYwtYzeJhvBvPeSd680h7zNNJo8fRzTfhD9SN9Ua1jpge
QoZ4XIW0CVvCRFDPDnl1RRiVwy/s+gG71JbRLTvmLRJd3JQ7TNCr458WWfro6nP7gaTeLJp2IDtC
szKlJSjPQ2AzkyyipMVrDO3Bs3fc29gpkonwwFtf64XbXw4IQ2hUVkwGawqFuYHx5cMa6IEyqBJm
L90hkd00DgyGYUOtbr7hGj6gTfubZ5n0gGywyRbCImKwX9ulJAJovigYHnGOsUXr/ktH0Hnjgzxy
yG9CNJATEnkfMeny6utmaCLY2QFep7ncsxCz3OwVJB7dbZN2bKJoM1K3L9MmdgOVnugcjlipgRay
zCJ/xtIIB5jFVvOZYZEXKyOqPl3SNLlEiIqcktgEpAvcPFlulpRQzbprDwVdBv5kE1rOPUSCaFck
F83arPxd50Jixk3kC5bKoSPpFJwHyURwiBbbcsbuGrog4jBQ2t3It1TjcuRdAGVj5ndF6Le4SHQW
I+5cUnhiNR1s1c78JFuYjr9TfWzWpcIGEPEuAoHHjZR6Y8Ly1HoL4XcXKrVYHSauIs8CDp+BG2rq
eqGbM779TvsXqCS502U5rJx4ulhIS7eeUy6cP8slr6NJtyFv+Sr2SczbS680L1mlxo7bcQn8rMHc
iDeU9UHL1PJukG33LSFluvK9U4sliI8km74BwFW5psSymQXqL5UkAfPq5z6EVd9cnBkiSRMdCwQV
RHsjYSfh8mzMyY6lYydFsiMUs473nj3G3X3cLXz4rOHlr/dkmYWccZjPxMaihU1DHuycBApuHpkR
pAG++eW2rjKCiFhkvEZw467ZYgrnoLHMcj9YwLSeHEDKXGMR9hENdirRxOb5tJhFqK0nY0ynCO6R
115DSKrz3RAVvUKEuDo6+GTVc9nf29VSPkSuSzTnpu+7jBTNup0KHMrT2H4hh6OzLvqksrwreC7w
wPD2Zd0nlA3BSqZQ3ZRfvbxce6jnQdU/zzjh5hv4jzTZZyTszF2xi7eki5ES7ENB8YQ3AP6YfTld
9x0pJQ0UGgTDl6LktbqPpaJf1PEdgSBtFpwzxD/VU4/fBhn6ZEr6tZ91CQBY05TftL2l1Ud4EaN3
H5RKewl9KY/UU8MA1YQrtohbHaJrdZyoM5XyJiu34VrO60puYrkivY4B9jQXDLXjcROo4mrGa9Ee
iKZKUAxRoK0PSc6cmxdfoMLzgQk3oxJPuc5WY7JuyBFLFOMYXJNhjssrdPtt4pfJKUSJuiNrc14v
YNXY9tGZoeEc4nZx6Clj712zbRoL37ptkWZ5j+MAkqc52m2o2w7Wlr0sD8aara4YLtTWHWDWYX1i
VEXKJ/rDoAdfPSU1IcwqwONzlAhq12VjT3Tb4IitpVE9K6TBqMJlBQ2saISbbsN+HTr52alyWX9N
SZkxSt1A6Q5Jki/wgMPPasKNKwZfkYIX150PdLmw/TI4xpVFMx4yuVUUxyloKWvTbylMfkXXtZEF
DOud4yu9EvMssF0l173Lh8lvf1bfCFfjwLmD8468FtIinsts21YQHf3HWftA8HZtPPcxYY82hKDi
pKfQpxqL4V23hx4EDPd/bfVIKo69WCbzWolYSHi4O2nKx54XOI9D6gVmhat821SYmQVfPAYdiGcd
5LvA9CAv1i6xKEmJtJh49SDryXnLqNongPaoQ0wi8WH0G1P9YWs3O4cQ/hNnq4nPQfY1dlUWfPDr
oeZUnNYKQYqDtKHX0GJiZJn0h4HKHhYrV+nouT5V8GxTu2HMxdDGWpZLYBWzER7HM+9w2vv2fnLI
jhWnyHNLSqIa6SBrSjWCIaw31CV4bLe+X/VmQaxKl3c0tD6P0oQ8BsUFauvQvDmZ9C6caY9hmGOP
sIma9X7y/I6/a2I4oTUbsybmWRr8BrzTEdOHWScLLyz5EcZiEWdUY1Jz+ueoj0y9GsUTq42rxj74
PM9dTcYXqLj6EhzHxGtRta2ppeo2NCVLGilzjVRTB8r5PlqDZsg7l85k9LROTd8ARVKMCnsT2b3P
5WcN16ZE+tHuCUj34S318w3mOQ3XsWhs07EIIkAbNRPV2OJCtowvoobBTMWmoxwtLizLTG7OYBys
lNvnzytBcC6JY2MrVipSUv34jQ16nIoAT6fWuCsoiMytmGGLYs9SwR78UPYOvaeXr5EXpuM8sf0b
1YPsYmIFDtAFSfw8jQNSFeRZZArN6e0653YcfZzIWsuLU9oGSTWfeZSj08MauqaKddbWNJ8YikxZ
etbatSkqbIUY0DgttNnIywBULhGIGKuWbTbbfah2oEaoUoAqmmp+aloM9Ce7TYZJ3q4qpckO+gkC
aH/SK5hMBGbwMPioEw7qibGoZx6RrupMw4spJj8QT54p1JySrXHWoYTDRhuPGcrBzg1L6uzk5e2a
ThP0YdSFKLACY0GgCsSObupNhf9Db+MyJxJ5a3MF8u/xGtb8gX9vfpqqpF9v5xK7J0NLFPO8w4BK
mNIQnUxiinnRmrN9eTwK5iecLKlxfKn9wMJXXYpFTMmnSc4J6kycXAU5e1XHvUAGtqYmyA9e75l7
t6zdqL6qIG1DeE/KQeI95xdUgqKWIT7f7chQm2PVa89HsNsJ+WUOlpHXazQ1bPmSMMr656kfM3jT
QzG2qCDYW3ri0psdYsPJ3XG5zyqcRlzZvPXZsdnOYr6QwYsoL9l48j0r7a/6Qswu+ycUxnqZjouL
x/t5Sp2Fi0K8pal8hsSeqDWGRvZ82mzBc6n3P3fEciXZdTosuIvYfdVJJ/hTwp6FMZFlWcsXAXxs
vbUt4nm2IiWYVO4AgiUD+Row6caHYC3FaG2tGT/DrZVGZtMNsMdUYf3imE1+GEFIUOBiG+6PeIjN
mFxVNHThekoLO3/WTz7yrTDyG6RyFCGsAavTsec960LSlAezf+B2CuCU8Iv6eDVLZcuaHJza0F/Q
zNXhwq1/cqSDbE8Xkjrq5dGrp9KUVtgBI5ixKFXKoWOIPw3mxqhRW4gNhuUfzm74QnN9Y3sLyWZc
kNXsuP0IMQyphg6RhcWJ3TLJAQGKSIpXPefJMU7rZXyHlmYdzuS4OOVJoleFmjOGlkd9IBY1sXQG
2I35NRFzTNaqvKtNJepim2OdmV92jUuB+Tw96/IJp74JEx2D7UDnyi33UTKZXeDLxqKMV3PSzbrM
GoREB9SIUGDJdOvcm6AB6x2bJESz2zmta77SzBnNqQMD4E2I4ACXodrjXvEKDBc0R/jBVXNH4bAx
C5bia7TgPRUDKDqSO7JhZTIAjLt4Fs1iduj6ZeWI8LhzDSunMHfl212j/6VnhCo+An2C29QHxPh7
05M4HxgFUTl/XmJl9pkTBsXU31lQ68poM5BDwVf69iFf93RpU0m2p55p57mSwun3Q+q2rqWt0Mf6
wWymNy+3RgkekVfXvz2UsQO4kTADI0ZTjLF+bZ0zVm/Xie7E58yLzfrUBJ6YKApZrFm73j7Wj27g
r/1jh9Zx6AhS5ECK/HUqNdgOI1MU2J8XUWF+vRhTk3e79Ql34THED06a0X4NcLU+j7Xno67G9NXJ
ctsql303XQgz2YjY8pq152Vl/jn7qPvEbBGw0Q28E5Dzzvzp7dP/y7ciaAtT2KJ9Yzvu2ubvf5ky
LD1AxWQO/WeVOQvnwQvKbAt5ubKFevtQf7nnBI1hYtfQ5tFXla/73ZRRJJ5SQD1DHBejPsVa5vOT
s4bmEQniBFPRP3y41yMUbARO+ANLxzTB/Ytjou8GIRP698/EHJo1Si08bLdjxsp+l7jEzupdHFHv
U0xo/vytxJnd37DaEU3+9md/fZmZmvq+mWUwJvUdNCC/X+a5VstEvrX4RE+CraNOU7pUEkk9K+Db
R3p9ldFf2Xxa6GYcjebYq5lbQWEI3RUt1EjAY3Gl2tK8oLKcndoJlISpGt8+4O8sNYYmMO1oOzPk
9Znw0T76/aOpHGu3nDFQk/1s+sk90VcscyyKmu817rtyQc6cJTqNtmHhp7wZ3z4Bkwv62wSHUovo
MxslKGRZPrr7+xmwS0xLpw3rT11q66TeM8taiz1djzTKjy9ly9SnpjQOPM+s3z+b4hYBPWwvqkAh
pD7DyW4uToXPg3/Q+tc8xQ3RoOwW1lLWvBKGYm7ksJOC6It5Q8KwYrUOZ9+8LCc9gppHLmzz4G8E
qxO1iApHmkcOIu+ZiKCCFt1eUsy76ixjtAzPqiksU1sNKNVZLKzeDdnFGGgI3xlSZWqbELAUv75t
+5bTCl8a9AOlPatmUbimaMql+lHxuY4plgHFQhHf2MQicP1lkqO7OHenBZnSRVoXtGXfvvx/ueFC
qIp2QM4qRLu/3tojO4vUslf9EcAogtFT0iqzBSK53FQAP1vWbx/SPC2/LrlmqY1+zGig2yEWeXWP
MyjDbDjI+WOU4BgT+zGLAoINJIhv69oebM5ggzZ2ZBO1OLEpCq2yMmfz9mm8/uSAljxkWbaxSvHM
/Rh//7J21kFXz3yX6ceCeIDqnGBkVT26xez2l+6grt8+2OubHGkyhDc6RQFsTHCbr27ygNDSLG2H
4dPUgT96IsnJ3BZ53prK6u1Dua8eaX47+DtP2kHI5E0I+1V1kAAKKct6ch9Jq7aBwNG+VMkhoY3K
TjeDDMSzwMC74h8hDRvuy8UX0ROlsI/0q6WtSwuGLY+Z37czcXr0EVbPFOpZwg6FFEWeihT+n2lr
LZZpA0gVkLJ7NsnAtIkxPPDTk+WAqSUtxuddBGLWTIqcqTLrNRsCHNNnlsU6Wh7qxk68FwnR3+op
Xl1vrgE5WMLmOfVCMICvr4EPkCWqgnF5HCsC2VH4NowqsDXMDTvnt6+3eHU/m++UxStAcAGnlHX0
1f08Ny09VceLH6TX/DjWiIT02qTTmlcTSz1L0MvsvUSkw1WokbBxc//8Uz+NpkNgzTYX1/dC089k
L9iy0rkAYegoWAUG5/Vy4FENmGC1GGwBUI9smPYFuDU2jSuL2nT4OfhjWmSGSFaZuzw7q7RX/g6+
hfnC0e9yFOvHdDx8aU1MDh1QtbP+h70z263c2LLtrxTuO41gTwJ17wM3d99IW73yhVCmMtn3DHZf
fwdlZ5UzXZU+593AgQEfq9liExFrrTnHNBFOM35UObWgYOxZ+Eu/a+KlsfzHCI03kmc3YebBvheQ
+MIPnNR8oAXy60vq/Hj7Fr4qk3yxREOZ7IXmz7ev5i/AaFYFX7Jet1+SpjC1jcZ4dGeBgjbo8Ufd
JjRG9zg5cRb4lUGyaK6l2VMfxnizlmRxhqYhwlVcP6RaRl39GFC/trfZSNbKKnJ6rExucs0ZtX3p
K6OtPIt4iWnFLMe66c2gPEYibs/sSNFMtR71qa+0if6M1LfqD0gxE9OrcDIZiCvN9EmZFQzUHdGT
wwr+z63BrpRujEzRzzYGa7+rpnrNTDx7ipjhH7JMY0qQVB3tvDIdGOF1avYJ1YR5nMYQ26OcawEr
rmrsB439+a2KStX0gsaKaGGEbQugpCgeBluXTzHgZ3RQQoEnodC3ewXI2r5nBFfcWwbhvfSm5C4Z
ZbJhTDBV+L8YLsNcc2PFk0beI0ws193g9jRsoiR5lqRu0DXHDOB3Q1M+zAnuLo6fhDkUOGRX8Niv
RjeJzxoax0/k5ZFvLU25ikYrP6Y2wCYjnuLjr5+IHxdrHgjGyixmoIWZ6XNQ+GlNK2n/2LhEi3fu
13jragEaZSsrO7DpjbAef/3Lfnyhf/9lNkK5ZZvnDPfziSSYDY52jVu8W8LO0QiN4gH7lAZeK0/P
vaFL6r+wzK+MCLEm/fp3/+XJ//gz0eowsmER/1k2Ic3WLTGi5u91sZC1dEwH4ybXVYRvv/5FHz/p
v7fhj78SFBHCg4U/ivD9p0s6anmq9Whl3tWh5J3RAbZ0Hvphoh7HKLPvCg35LKQOBa9oZrqVr/cE
V2wRuFr+CNKRdMu4s24aEAuHQqntR/bblnOSzLqnPOfwAhYurzytU42r6JPiWy5151TQnr0iH9ae
3YQ61VNLVVSrMA1v9BwsMmT83KJ7kzKLUweXxlrjTu9JiWEgqWWzIS5GvImx04FquvrfnIXU5U/+
4ZIsxwCOQVwXQgz+khenKnY7Qv+Y34EHcPGjWI+2hJVlu3Ee3wrVzV6hl42+1EKGHnWjWOBeJozF
v74z5l8+hr2INRc9iIpwDHzzjydiNQ0gxNAwfg8lgwPaaU3qjQ5WeZ80xrnze3htOzvvICoBZs6Z
9pT5rqRvde4rq+88vMPKzayGxk6fJxpnDQ69PKafvmpS5RxPhX2a9GkLWE9/oAea3ZQKN82zGIyR
o9WNjF0SgJoohV37jmNjX24IQfk2WUl80W1SW1M6xbs4LKub3CRShhTHVn6eskg+ClNLr0qBP9iz
RnXY6Ci2JVEGcfgwkCydrKJa8AdEowotuwsZAdhJTT6XzZ54b5iKc4qjyXhW6WoHHkMHc/ybx365
dj/cYq4t6G7OoBbVrP0BzP7TqU/SEua+28F7HRvmRan15AlK24QZsi7ERR0WU+avb6f6I3mLF82m
zEJ1ix5JR4Jn/FQ9Ev5HThlb51fgH8aBthl+/wDTwJFGZbJhENGx0pth817pInuKw7E7xUDwrkpP
vs+vP8tHNMaPfz5HTZZPjchNlLg/iwGbASW4E5LqHo4MGKjby+BT2cwwTmpAw14ttJQOR14SwgnE
Mpr8JLLMXYQc1qdP4rorBp4o+JsSk22M9H5p/dJCL5Q2OqdW3O5qXR8vlozCfWjaBCaVYLwHr51I
1aXDKXJJji7cauycZrVVuCybJO2UM2gB8o5oZShQYaPpdhoHtrPEJG8jHNi9V6WKSztnzMuJUs/x
Cmd1ViApGRJmuAw9n2CyTGvOIu19p43FPsozaLYNocmCJ5Fx0YpU9vZWd+OCkSuKupGJJnOlzsoI
JWjRPpyHCsaPV8bwiAhX00p1jzgFR4SwQu25a8r4BVt7982A2EWrp0+wyf767vx1/eFJcRHNIV2z
uD8/L8m6xiQUrFH6FR6+wJkFf+szKo+JqSG3jJrKfp9bSWhGoXzGXzdgWrN6iD5/8zH+hweWlBaO
zYD8XbgdPz2wKKVakoXt7GsAZEH6HzcETHeUneLM6jZi7t0HkirkZrIAzFZgl18jB+YMz8msPvzN
h/kfXljsk/SWWTrQWrraj4vhTIB1Txx88jW0SaKqLbW9A0yH24jG7pF9UV4kVK9DZRT5Pht19dwV
NhsZ5szxdqHfI0guhv4UK1L/hnK+Nj2njtP7v/mUfzkyABxHPs8rjmaaovKnS9bnwZS7tSG/0vWu
w0dOFibmSc2YPNkK8gKsPmWm1M6W4zuNWX6LZmGn3hxo1bDVYaM9mW4WQuYig06Drc2EhF1g0yTY
ycQcYvYyasa9v9/of6zMD1P19f/+n7f3PC5AX1OkfOn+7EaGFsj58hc+CxJEyx9hj79/y3ejhQDb
SDSGTpXCYeGDr/IH0EYlT4OjG7pggDKLfZnH9TvQxgZow3ehN/kwNmt8hj+cFjpOC81xBD9uEc2q
zr/Ds+GQ+sMeZwq6tHwu1+Eww+ehr/3jK5PXdtuOqTWcgOChx6E8H5gBI/swrVJAzu0djSzG2mZC
vk21PMvFc8dJVKWarPL2QcuNbiashda8ts54BqshgQJQ1JVzH6NHgZKxkknB4GRVDaNRbEDpAZCH
GDHtyNIdGI9Qr2l5vyc4Kac55s0dzr3qXGRTQkB8H1OSYVUuTmaQjAc2lF7sAQ1O58kIggckpRUH
SgsbZ9lvh7K3w5UYXZ/kbwL8lvl3TjVDkiHOyYfIiuECxBEEBhjQCzCZhchdDzQbBngFM/wZK7PG
uzntzTdRaazZ1D/9ORYREzwtWk4nFODwZV2cv9m2GPtsi5Yhc3wCCuK9lYe1fXEZAaKynARsD0Uh
/sCqpm7bkaQmKbNpoES5ke4qqsJNMpOPR1+l4AcXRhKMGDGD/kYzg+IV4Rd6CwsJzZbKpfOjtmUj
C6tJAxISTjMdyhw9nVn3Lx14rqdgLhmxEr5NriIjn5E2RmPyhxrQ9rUXhr31aTDVbNtqJP0aatqv
rbCqVcb6zWlAM1757DfDGmQ50RhxOph7Cz3Xk5vArORcBiWexjLE+Khd6PE9j7qv0NoXV4Cga+2D
M68vyHkCPEdapElne/EHk9784NM71sKqB/xPJQyxflcvKHucN1DttQVwPyyo+zxcqPeT1kHAb8IK
Gv4ycPlmB7HATExCbmryNm4WTsxakHvxli+JM0DVcxD75VjdqyQdHdHEZC/IeomTFfQrVpjqul3W
gw32tca+yfMJfP8C8ic0AwsvTEz4/gyEYf1zxqw3xBmP8IYb92Y0CQWol3gAuQQFRGxetlcu8QGE
p5qVZ0YSrgvY9f3CVtx3S+QA3dPgE28DOQQFeozP6NZJJ5ha4qW2YVdrD0EWy/3Q5DZuQEoqzy2C
9t4x+i9iCTzol+iDABUVRsklEIGzhp6vphCR6ypcIhNyi5ZAusQoLHykLWphyIEme6lK6hLo0BbU
h+635DCYiOguNR2dzwBJAx98+vREJlm+Cz4yHBQFMzaOQ6IdQBC0NxPA0kttJgmUoY8UCESwwYoo
00UCEJSPVlh3KMPcYl+4cfjcwdAZ6eUF2V1qEDGBsq/a9l2OeMThObQDAxKJkYorQh3iFZBDQY8s
DM53jomo51gR74fssKtumjxwN7ils6/wk6c96CaIclGdeP04uYSRdV8S9Ja+PuFkNQG37RISbmnX
a29MbZ/NrDFXRRpSarm9BhrUrzkfhxhrqzqqpHU7QIeGVu6lpiWn5p9d8V9zH7omB8Ff7YopCtm3
9seddPme75w39zdYY2CGXddgpvTB7vhjW3SN3yg2sJOTx/KRMkXb4/u2aP2G8os5NoRkqm7d/tO2
qBMzpZJJ5SzcNLazf2tfxPT0475Im5//0U60ySI0+aR8iD9PS5FTajzW0tibmePgvFdQPRZdv52D
aDwAKweBrpTIaMphmN7NsrVPZmosBANVHe7KUgoOc5XyRryEOKf4OdDvBPqDRbxKyI5gFX7YGvYl
yvr2biJm8AEZWbZNERftcyYdn8oqcHAb2skBzfO6m9r6M4OjZIe5sAG5nCCnYnZfzV9ElSqrOAgt
BnBjqt0z+0oPbpEVx8DWs63UWw/dRHEmqhQhOZxwX0ny6KD2LQD/OCcII1csIAFKaB/yWpIEGmTj
DVSJDK67456mNlxy9qxRuyIsci8IwMVZnWJxpi2g9Gia9HpDfZJt0XuFLypRDRfo7bfqaMlzoKkP
syCEQbXQaBa14eJ+pxP8jSJ6SXOZIJapuItWDQOVWxdZpqcmNqpYg3xsYldjuTUzUb0P7NEbvSFn
sY7JcShkmT7WRgK/f8yMZFvlY7Jz267zB2PIfWFPKj1STT6XThzcdDIarl0Zz1/QmU0vRSP1a5hi
ZdKnpLlYejJesQjFKwYE8aYOTHkUo0X+PFQNH1OAvan6rN/aKhRhNQQea6RFtuuLjzAjQ74rru7F
jYlHARaoVoRE01DkyhgdbUqKMWnWwTlPq5xsG3iwqZ36YV1CH8Ovsq3r3vwWugRstwmo187CQW4J
N9hreZTfMi+f2d2wWh8YsAbKWqe9eqwQjz+FU+y+2rWVY0K3qkNQWcN91Q/1gxsY8Xmm7XoeWoEO
HWRX/Bx0BswAKbJ7A7rwNqfn4XoDCtedOWbkcKdLpuJMrPA5DI15g4oSYj5MMvp6caWykWEf5+ys
9ycLOcyt2/Cs0GWzglUyG9kX3O/VJbCsbDeNUj9aDKK3eWXFr9Kx45e6ilRkdpV5zdE970boGxcU
UPpRG8xy18gyvOmMsn1IZt1djXmb7XNF7qsiGAL2RtMhP63SXgsG0uc6NED+M+7YJUlm5F6ethnd
psi8yarhqEWDweNYNztFdGu6Ct0bUgBApNOYqmutCuy3Wh++mvWY78Op6sHzMPwvEfZv6NM7/mQX
2pNupF+mQa+ARYeG9mo7xUPZ6wjr22razsCfr2VkWUjrCf85mAp6Dg6DjrhEPT1p6BhW/UZcQXJL
pHKN1lnX3S9x4ERbIBaFF85x9kiSU47dGNuNYEx8TEJu4qDrHB8lLAs0wvm9rbfdZ8rtvvG6VH1A
jrlnB7MO5JFvkdYg0LNskOpxlqRX5rTZnRlkO2sauoMVzMXeSPPSbyuZgtpwdXLu3Hhvk8+xmWKA
LhS8I7EBY3JXtRis5xHgkJ7SVpvJ9l3kcekLWuvx0ab7eq00MlK5oTRGmgj4CCV1das04wbuRn2s
G0RSK9fdmF2Sb4N2EGd0Qdm2zq59EPQvyjIdTi1dvSYi1HcFjpR2lQ3UuEC0my96N/FJ8HoMYrS3
pToQe5KpUuHwpTsvnY3zwavETHz7YE8lAsApvJnbMt2SPU7UyzSZ5Fz1o0WGDbM6qK7TWhYzbZm5
lNLx4WA8hpBhlnxROtIZZ2OWObqinls10LWrujrDuQFYoyoviZYyzwxDTkNx5oJKs7CTuPgjgd/H
z3DsxD5j3LzmXFl7GghxcAsR+vAycq9m7lj7FhxH7s2I0K7xkoxu24SPUv+8WYk9bgm+dG5Fa+WY
d3NdXHpn4fkE+Yys2cmsNXJH94nUZ3GZQbA/w2qMT6C2PzFat3bsiDOM+ra/tKEBXZo+1qlNrGLV
TYp7yqXR3HaElZ8TxNZPShBnF2qDak1QUrhR3TL0Z4Awa7Ot9WfGR9rOIilx3QROuYnGRPs626E8
DzTt3wy9XjYXORsvtMTiR6TyfebB7cPWmLjhljz2FEF+SDqIGkS3qkr/c6B+9kAcj/dCcumLyJz9
aeqqdTtqztGBBQoMOgOyjo954EHjQO4qKFe4sxLBdqjLbRGP3WIUqR4zGWxjfH6wT4L5NgV7vq56
LEBgUMScoAQllc0Mx80SBHtR+1A7uAx7Pg21lvoDLk+sNWy3Ma/4saVdskM7hk0Bsob7mlpW7OfF
IF5gowQ7ViaMv53mT5pl3s4yUb5U2EUPVecoG8xULVD4ItubhhJsYFW212wanEeES8FGFbW4j/pY
8OvsQFlNk2JtSFxvLs1Ufy7aefoiZsnyz8hixoY0GmCW9EH1Zzq+Hgymo1kIjdZ70cQgbFDoYlZY
bI0iZkWLxXWpHtj7kyR8kCYHES+RdTatCt3trnVYZ7sy4pX2xspOaQu1Da09Mhnrb25DcmufRQQc
wv0glzxfT06R3/aEW+06U76ajQkotGxrRoCgNz+nnfWK8e9NBPIbroZXpxzvCnWG0zcPzP70Ot83
hT2tMZc8aHVYHYi2sx/gRWtPKQ3FL2RAjc8oSF+dviC76M2Kse+mhwrxpZAH0Cp1322pqOvZOnPU
KkLLI4NKmOTjlJ2xXmQAp5GUaF8Oo3Ru666esJxawTcZT7pDzTZw4wAHariEwOGuglJs5cSpZ5tH
VXmOMS+WrxULKGevxVI2Bummxj5GoLhC8skyifY55KVHlYi6g2xi+9Uk6O0TLf0wuQ2YXB3tyFSb
BxnNUbDNZgJjClLlhxmTQ9iZybtDpKXyaKIcN+Gx9gG0cyVOS6S0se4Xipi2qICLTW+1z3AmB1S6
YeYLan+gl8bzqGjDzorBKk15Jy985bhxM5vjZBYd4sY4EcUMmVUohGumIbuMYsP85SzyWMwkNUT0
fQ/sIMp9pMThCYiousJkPF2oZetLw908zB3VWhQPb0bqTocG9BKaZkVu1WKEbCSX45Y+a9IjgqQ5
xvGePiGa4Mnvy6DDjoW5G0IGPgLIyfgVjWs+E82Z1Eq4nw1sNzIIgkOTa/GhE+HJUrNsRaBidYJw
2vlTaNefpG7hWyC9bBvXfbzBX+jCbRMU13EGSycw4PuUEQ69DlfCClOxs5O0Vph+a/nWFIH4Zkgs
dqsKY/4Y0+nR1XfLKSznuRWS5uwXaSzBko9BbSxzPeRScZ79U8T9S0Uc1EK6ff97EUfkYtm8vZd/
LuJ+/57/6m2S7WtwEOHxsVS6ktR333ubS9uTqgmkBU5V3mGa3H8UcYZKpaYxSiaulLGF9efepvUb
A2bNZWSBlgMihPvvNDc/RiD/PcAyBRJBxyYy00YGSIn182xCsErgiiZojjZFjTefbpEzyZemd42i
OSQCIkntpRSTUbLlWATq96S7GcC/EKyIaZMgU06kcRyIEXRS/VwoGoLMyVM6ekkEwDgwTtutTJNu
DLYpTu84PmHR71leZ/5flBQB+VGuwaCTo/lM904CGYxOCJvMaU6BiEESizi7rBQ8wEV+YB5Iylmq
D4tFFbRqL161okEmWFpgEab7hMR0dDyOwezrytIkI/cmjjuaZ1C6wMA4aNNWRN0x98ok0nPIjxPQ
W1xtJfGI/7w1/9JbA510mdj876/NU9yEMTna/3Hz5Uv8zs98y/78Bv3x/X+8Qrb9m61BpgdJqppL
S4Mf/ccr5Gi/WSbvAij8/3pPvr9C4jcEa8twFkQ81vJFYf99PGD/RjffAoePks34wDf9v//8QQrX
/vTvfwbRIyf+sQ+yqEo4JfG00whBAfuzyDiccDoXSRjt29yWx9IpTCzVWtUeiX00/MzARu2lUlfv
WlXxppwhvWAhJ2VEHXYp8ZmknATS3jSd29y7Dl/j6pn7FDtdto1cJfR0fLPlsaTVupEcj1PcEpG5
bzEkNRuZyGBe4ZkeIDY7ZmZSeyMo6d0p9U2K/h2126HAvdh7zRRCasqd8JEsF9idPUKGFbrcF3dA
eN7iXqQT3k6PyNuWnDvGpHGv4DLHdHUNh1I9UGRxmh2LdsF9Yipb0pfqO3Oq4xPfQnu8ETbRN6Vy
jYMqAfI9JsMOJkB5ngd0E2Ori2foZv0xIWz5IagmfQMtLbrV3JY2BR74xdhapO1ayzmIxmqSbVgE
iU+Jhim/DyMTPKc+Vquk5T/bolaPxOk8lilHgxBr7dkxJkjnWbdScGxjXymZBsCw6e7TKrFvSUXV
rwFB2Oy2VmOomxLLC8JYLEG+KwOX5L7eoAbuVc/C9+HzmVOfKpNoo9LNPY2wJi8Y9WdiIasdx/qT
bUzaFmH3DfBDjFnaJIzMt1GVrwyTMrsgP9Q4dUrTB16LWRDv29x5GAx2LgL4R6OdEnrL8ayulR5b
rUEAbO6RPGpyP0x5mh1t1yXiNU4005f8Les06J4CPHUHd2geJ+ivuC1F8Qnp3HRQo4p4I3zfvplO
61DtTD9LwvCuNVjp/B580NlJ8vpCkid8SxbwyCbfprRuQtlat6muBL4S2f0r537timspWWPqHE/T
XH3tNIhHXrH4XoM6DhcfYHsYQWo1iaWvGMCNp8xKAy+jgeXLQgmuqt69hG1JcdfZ6T6yCDA4Dh1Q
++uIy6B+g3zbfqIQk99i3EdXC4csNX6t36dAThBOFvKENbG2Vl2fc8mGKm/OUhOfGI7Ji1Jpylob
xFcG1J/sYQBRkJtFve8TuulZDAESYpHa+jhJ6f+HBAPNiiTYuw+ytVUHmVwxApf5ThjSTDaBVRYZ
iqBh+BSFc0lU8UT/f90qNbhVICCqN3OX12x0wEGAn4prXy4YfoJaTlXN/BGI2BRc+0q7ZXT0Orfu
q2iYzOA2WjeYFivIOHHlkusT1Q2TCJ4YEWrWsxk4D2FQfRWahE+OhLtaN8gYdmbW985NRCI1QDYH
4gUH3F3ImnPHTwg9uh7RpYX26OAW3eO1zhFYWEY0rmTYDtq5dds53DrB2IQr2VSvOXomedd0k81H
akm/lcFtjxWC9ISUyr7Xe7/trXEjhbudDD3ap2RD1Vdt1px8JwM1p28gp+SY6iJJCaCvigxiQmme
W4iWa1svI4QhgbquKw7Zlo2MQK04l6K3Q/zSzceCaGPowm3E3p+RYmFpMCyCiWA0MQ0b5nmxF45Z
+oJgGuh6Ug9HJ7Y3RtHlXhVMqiRv0kDY3yTmNSrzdF1Zae9ZA3B0p08NZq55fUhSHecAKcvbHr3c
qlfz8Dz05sAVAFjwUANb25ud05xH0SlPQ+gzkTpKkYZ+nrX0ctFdOesREcwmqY7WNL5owWj5eIe1
PVSeeW3yVcfMFOVZJc82ZmKj0FiuAegJ35Qc0fap1TusVE191d1Gf3BMOLRoPh2fwgn9Km63aRso
QQk6NkvT1zlxJeWnPRxNgkU8FohPGRFlXtTLaPSQpTUbwEUQ1+f+ks3h9I3SC2BnD/8FFjUGecJ6
5HYM2i9GYNW+ZWOC9CKrUBegttwH+YQVGpww6hL5iY3F2gAj7XfFXNMuBM22ZANXw4DZFBHbF61g
t1kz2GxPxjJl6kP1PsRQuUNWJY6xsKtVUzjJlmyl3IvmZtdWDoxhNlhMkOQigAABrtsUYi8mWyVZ
NY321gBr2EI2RaNzEB47NlEBUDlP0lbd41jY8XrUsjsoCwiE29DeLlIhh2lsvJS1svQmAMAEILP2
DrRXfJSlNUMvNUfiT9PQF6N+26jlSilHDdc4r+g5qsL4EgvII2lW0XCYcWXTzlcPeCOIsJb1cczz
GlDw2DKKaCAu5NWwTrKsOhEDQEaCNKJ9M7ufIYTT+zSbdxJw5Vqmw+c8h4gs1EldS8l2ozbR3mna
EMxXttA4nEuvBnddW+gXPddQBcjevKLvyzeN0l7CKbmTolWuQ5TckkHhHKiTNd7G7BLa+bwZrdRl
a4zRYXpW31rQrVsSueC8IDTsIeg2xjg9GikUXiy4g3FXyzi0DnPSTfI8tSIs1xo7Z+Np8QhOtxM6
CmvPwBYs1lbhzGIdBeji7vNYuMoLHpgRihKC4NmPTTSl9FcL5ut0fzN4znanqtOuMuN7024WrXsP
MoUpemZcekDQPFamSnuGtkvpCbXJv06lOgKiRV19o+H6iPwqaeZnvZLjcw7j4WB3iXqUddFu60kZ
PiBZo7VSp7Q/CMLMWfqzgmvQR91uysW8VhHV7xauwBt5kxA9SpkcenhwQIg0O79zSK49ANRofRwE
a3CLA5NwJ3wnBFnZtt1g3rZggzaDU+Nhbzp4uznBuTS3dC5QOqH8jUQYPhlTwCg/ybH2Eq+2CB1w
g8XNbPS+mE0Ju0GqA3BlfR6WqEH92FQyj9ad1lRA1bVJug7jpV7AQWBv84gFp8Xb2jL26I5EhwkM
AA1Fp+3lXkSTPGZRquyVurY4+CE1wI2EEuZGhXdO2dLNdczQHsxK6bhz40e6tIj6qMUrAOpI9cdE
JBQyTX2XuMmA0AOdFuo919y2YOg2DYLX3UwOTu/BSyLOGOiLveQ/Tt0zM2DXJz6XiXji5KaXcfNf
Zj2G2d2aW70LZA0rvZOT5xSDzvczzG4xTZNRrgy9hxc3XOujkl8MpKokbip2jSOMUeXeiA3xHATo
T9EgEjQZIkVON9VkFD2PSyewWHfdC4v3vNa5SMfSVT8bSytusk2Re9zRoKblLGhuuw207KGTyeQ1
0tRWXWfN1YpI0fymwNWkrqw0kuvOjM6VOVQbd8i70yBttBewzJeOn2NeW8haWNzMItsaBdoNIP36
wZH01vwMDcT7yHjhk8uZ+1GbLPsYGBFN6xj+xqkVHM38IFRD95yjUFppk/3S5Xr7PAWIX6zQNDaZ
QqCdNppi3xDq0qyYMVqvCywAa4IDbz/WbdYBgC1nEpimrxqz9FUHQ/+N9TQ+xIOikltgWC8AXtoJ
Hntuwy0mlMPx6dhqNNHgp09Fp99JtdTXpkWvspzsdJ0asbt1x1yuiS7pjwBRhgujxuGutWkWocIb
VwmaHUIVq+htwnxC170sSYsnOhtGmFo1a8BH5MeVdI107CVrYu6sjdYje8QLPp6qNp4vUGiq+wrD
ORIBGwZA2antA0iX7CVUSVEiFyZxDzS0g0PMnPaAiaTeYFysjwKSw1Wnu0bAUVXutVnwCzAKeqpt
VGtE0SpnfwIUTTOQq9KGgMbSnBebwarMbZIpxX4UnMUrfNcPZZPpG4WWbgdQ5SYOG8wcSd5fEozT
RxaJ3ucF5GWxe40DCyufnjYAZpS6Wqd5QpQgePlylfZT7ZV5y7veGMkRHXKwRoxVc4AipzJKLXMm
zTUa1nEtrW99Vw7vVg4Sf4XxZDz3mjbqm6Exyt9Fwv/IAv9GFsj6+8smADSl4uuXLoY5/+fi//dv
+177q78t4j6Yjuhnl+4ZVfwftb+t0xYwCYdG/meoFPnI9r7X/vTcsNZrKKa+Cx2+1/6G+A35gwW7
1TQ/JIX/XrTJT25bfgm2YheTAyltLF3iZ9ejyYLi0qTvd8SNqFAUY3rSIC4ofboXopY/O1g1vKqc
u3UhR3dFtk7rjeOUHhw1rVaicx6c3kkP0KTS8yizU+8YrN6KxUi30b1MKAwuEoRNkzSQEjG7Qx2Y
C59Jg05frHY3lasgWrAkdmJXu1Y0xHy0eCB1DCddq7U9eqHK76Th3K8SbDcrwWzGB7T60mcuwxNS
MuqqxHJuJp8tpRJ+lvPlqcosAalgs6/65kV1ogoPcK97CS/4Og/sJ+x1d4mufu5JUuV7q5esjL/R
fiaFq7TjFT70qxqhS9QK/h6rGru1aOoXS01cYGl2gUqKP68IOYKMeSH8XrH3DdmqYQEtAjh7terd
YM3SiMUuSb/hZCX9wuJSwhRpfVHzQ7OeS2CQEcafwGUQzj6P29YPGr6KJY5KoDKYkwb4jCQUmV1i
EGFHBmvmW7XFf02N6xJRsF6+MzHIdIpdSdKWtgyhJy5Blend2uzU+RqW2dUlLHlNJcA9gULAyb3m
4w+6tpY1H0inMOHsED6SMc28FqaizyTj21TUJQr+RltR9DB+SyfUZwiTvwSZonId3Aeclt1aLzKQ
Z0A20T0CvTM6x4ER1SP5SNz2IXCClLA+lARYnudNNYt5NzhcPb3llw6mvadl9PDxkMT1xIzeqFu/
snkO1Em/5j1VZCPchwEVyUpL+Qf73LWP+VBhkhp7pux0fSHV+GWYc2JzOw2x2/IUdXytcO1L3Koo
xspWW9PcSPA4WCOXiQcLNSqUV9O88Dx/g/LC0RBVrpcN8Wfwwtz7mX9LAjwnvaoU/tA5YGMB/FB4
cJValQpJs6v5LOrWXQExefm43zkZq2BUeay6gb8X+Jy7IF249TVdY2k52UGo4Tdecp5qesK47Hg6
HZtHpVzeBTR402MW8a8wfD7rKh+EN49BJOE5F8nlotZ5mGbu/FDznhD9EhwG/BPniHE+dNv2xYa/
DYWSO8xZPvEc3saPi1FUvBSDwpcSu/A5J2pxHQi7PkDANddGwEObpW1wmBBi3OVtUq1Qo5MJT07l
SgcitQG7p62blC5D3hhcUkFK9hBG7dFplXGLPAlQXB3EBH/N2jq1eSmRWRDFwTkWOQ9PGYFfGA2L
9OxovKi6YCFweqZgzPOyNRX6N3os8bWPzMvH66VT/+6EKrX1SJuLDHUyxjhRc3YHFuQblI2HMBLF
dmT+t+C5eA1TvCQf9xYryUKqKU5WT/JEqPIIFDQ8VvrAtfl4ymc7nTfQmtwtI/d0PUHF2qCMzXzQ
eIS5Lw/A8oTzil9jYy62+sQy5va838bszruP29xJzp1dw2OELqtb94kavEGfVnZmxJ8KGIYRq1SV
XeDqrF5m/JmhJ7dATUlB5vO5BJatBej0Va537kor1OBA+6UgzlaMF3M0t86QfAYYyEDCHopTkGrp
muEidoBZ0JgweU9LVLOniRp6Y1s8ZEWuFyelJYqZbBxW4iRHxMfioM6ISUZjC5mkZRo58sPUoV8Z
rW6tbKouH2pV69Va2+wHC8exTU61P8a5ILfS1NcKJP6VTV9uHQzcug+kWiC1a4SpCvZQQQROx2LC
obJfkXsJt6DnI0D75S0CWbdjbsE/7P/P3pktt5Fc3fpV/ALVUUPWdIsZIDgAoiiRNxUUKdY8T1n1
9OdLSP03Rbdb4XPtcIStVpsEasjMvddeQ2b92JtMX5rry6IdYmeAh6Pd87ujO7vhlWhscTInFQYa
aCR4wG3h2Bl5mWpZQSKNeX5lRjBIrRdH6Qh507vpG8Mcbs3ECrjca8e301Wa8yt7g+dKVZ2uiZBp
V5pnswUqcgKmC8GdySh8hZtLBuhUv9Uuf533Caa1UH/DmP1EaFm8MZrmBUGtvS7wMl+WtfuQl8Qd
p1p0p439jat0pxYBnIcplkTuaVmbGQQg0sLiH0BoHwklZM/N2fyU2lkOAkRF4KyBymne8KRMvplJ
KYGeEp8ATd28t8M0W+GIUCXXU9j21OA6j9DSg5Cc9NCgnU90yLNRGXd3UShwW8HOOIPGhjMXxPSJ
DmYNsbZp11BNKlqQutYOVdA/a11ZvhIF+yJivewXoSXTN6+2tBlNgDbP7ZLtf9x1RVNu/DzFyRKb
7tpa0hWz5hNBqE/IUbQyDS+4xodu1jaZhd/UTWpGngtpWLT5DofBTvuKweuwjEh2zY5B5Fu0qg0A
67KeUjLF7QED7XVIAKB2LnrKB1w279/NY+5+TADfTzWo1N7p+i51DYo+JhsooxwoUNRd77mdma+Z
sygbEmPiiQn+HL3FKYeLVXj3eLrSjzMKXIr4twZCv8qTfn6ugOVkYp7i/pvZgj8JE7+/qt8Z42Wz
Yw1acfpKEjaazSp9++er/LfJjYu4HqkRPFrDR+fxQbM7j6EmEDz0u2ziBVGVgJ9CIgwhra0un/S/
JuA3TQAeSh6GGv95FHj93EzZc/H6vgX4+UN/9gAkVwuX19BB7gNw/i7v2vX/gOaMm4at8gsNNSb/
2QJYPt0B1QaCO0ep3FXk9l/jP2beHPzoDOArkQbw30zQP76wVGi8qcjpeH/wyLg0CO8EsOSoJ01O
OsCO3d2eCW8VGEfKcPqcG3JYhqFt/1eKdmb0zC1peZDv8c3Z59TKffeBHbLfjg1n2kmZNCdoogNg
8xhv3z2Ev1n/HzRP6lOIbWTaqnjdxr9JtzsbmV1tR3IHfhpvR1PWp7RshmWsmnuMg7MFAdzjStSJ
dm5H93dhKYi0PmxAqulDnojHp0dIA8Zsv15m32NFMUxuR0qWk8mNHKOZjMNI32H26UGJipqDTGTT
bqfAzcl4DKwAOnQVUwG2GB98Kj3UMIsy8KbrdlQxpuz72cKbxxTMEDfrBUaQMLst0B3Chyu4ggub
6ScBEN40vVFDpmcr8dLVjJXnLhI21Cosxw65Y9dfAwrtLUFRGEtUoYEOBR0tPiRwkai3amnc08pW
N80IMdWUg7zrrJ4a02mrZ2KnYx2QbZjeopYrGopseCCHbdq2yaWmQPzUBDGw11iaBSQivXzC1KV6
NEKdHxxl7B/bWh3+jhOc/QHV+moAWi/33CpEY2A2/GzgoWLbmiF20wvdVYX7HJv3U8kG7kp4hnY9
F0fMnJqMbsbMFpUbN6cSb5AQuh4wLcokb9FC3ryeLRnvCMIYV4QlNAdMcOtTm3fBYe6hbDq1ke0v
1Sojv+EBtsjwUCez84mnY67nFr1bYdrZsoff9jJh5rYMXZqKeCwmwoKC8rEn6qCi/yz0nTNSFCIP
DrC2LHyIVFq8o+Cf3vDXmT7j6DR9nvSm/eIQmHUkkEjs67Az7vtsbr8kHcWdLEuYnrnHHfETmO+k
clKrLxxKPdjbDNjaiqjEESOfNbOb9Fw5kbIiD51lYpYNsxT+MVSm4PRF5hzuNMnZU4i+fpGIyT57
WkdFFffZvqT6vpnciny/PsGAvbWKhthGB1p21dLxdDO1k8uUaAsFND2HlKsbx4vqG6EDsmW4K34H
+aSq6bp0k2c6oc2DUT5BdBweAuLIr/164FdZKheR8cLCkFyxP2oQyFO12LXavr208wI1z5qRKS21
z0hsSFNexQE53HdMEie8Y01xGwqeBMWktyAYgRmbRgrZKqt67msaVs9uRskkR1JHVx3x8MWqjILg
7OhB/UIsyHxdjNH02RzJVy6wQIYgXKcbLS06JF2OcR+LeCTglC7N0Li3bchzVI7y68srmiH++z41
XP18aXzrmSchnHLaCoP3H7Vf9UjRFRwygpxHjTotipucafob1qD6gBdDjj1PG+TmPmrtJ52MPGZz
Qf8Q4hQYAUen8dbUS6KmRPaEqf/wvRNudVMlNi+lNAcUUjwoppLdBmpcdQurWNz6TAluezyT7wvG
mY89Es4nLDd5W1U705hB+WRBPYKioNmfpDfBCdJIjV2CkJfPoee2qCMRdQBb++nqcnFexCJoy1Y7
S1wdO4r+ZL4mb679UrVaep4AVGk+VUyn0dGfyCzJl86ox7sOU22DMAMZb20ZNy9VhqEib23aQ4YE
2/mKRN8/JozVrLVjWvVN55ihZ37xUt9IncehRD3/Eje9eIwZBKfhDhJ+wSCjm7ViTWU1MiBi5Gcf
RhjE4mypGVKtpkkGkSjwpfoIt2GVOFBDPt3wHjKC6lDHAj9DHt8wJ77Brh8eIm8YdXx616k5FmbF
Z83ub8i8zTde5NqnubHZO11pwbcMPwV2cJNT9CIxYRHhOB3tcRL63DLrXPdZwEhNTN9iD1RbDP1r
GpmoPorwBXyLWTKJl4vC6KtjmQ/jOrMHhJxB2L2ioK/XYUySqZrmZWNjHKSa8BkMO5aZa4erUM3/
hJoEan5FwmwzBwcn8Q5aShprnNUFpnF+UO8x9s+guEuxrPXQXuRxOhADnGVvYTV39Ah24W77Vkx4
pxZnQOwYMormX5F/Ul23TjJunIgFWye5cRVPASIW34MIqiafEMGZgappaK7movRz3rocNXNZWaQc
DiTfbCM1TYWApl+Nduzvekatlpq5Omr6alwGsSb3/qW9jGeZCTGqzS9j2zDrmLJWDMcdY3wq1HS3
b02yF9TENyQXckVd4KQcYUyEJ0bDVjn22/AyLuYA9zbDZYZsgsMlOLWdLTVgxvm33aAvZerMhCqB
PySfPBvEY7RSeVUgPVVxcOmjf5ldO9KZtj4JLCPoHtCNr8bcUGYsKkSrPlGdeRs4FczDq8tsfGIT
IUUyrQDgEAqX10IN0kc1UmdObe5NWQFpRBGrqkVVik9GUfIGTp1BuqnTyM/zaJGVzBiAVItiN2YY
5mjlwWic+blSQ31zyuf7KqnKEA2sj6eM7eMnHkx3sWIEDEy3DnD8xdLBcJzXHeYAHumMifB+PLmK
V1BeKAYhJh4LvfI2NSbKa80nUHJUdASYXslX1wljvKAgKwhFWyC/QNvUUVYu+jA/ZYbGWR7r4z6O
McNa0LyvQi30HzIvNLZZzBvvKIqEN8hg7UP0vcb9WcTkeGpn3Ga8G6Oep8OEwhoZjO1HYl07DFUF
zOUIctfRl51JBsQ4NthzYKm5yjFRva4Qsu6rKEeXG8OtucrI/XvsE3cSC9cekSqZY9ZeRRP6LQDf
RP9eoWDLVkSJOHKlJ/qwx5DSR2OhNVuae/txzPqYWOk0To6iC9uX3ErQRhmtGOBjGgUWQY8+bsy7
McKkd4Feq6VFl9hxQQwfvpUJg/guG1VdUNUnKTsFsA54YHlDHl9pMiN2L5jcxF2w1pmxW0Nz9Ou2
FMtGtm3GtNWOd7LwgnaZxKV9O2EEvpujovpmVp7WLmF1QlnXGG1eSiQikjiHMkKsE7stjlhX2WzO
VfeKjg1GfjiaZbrR0xakFSv86a3IgL4qOJ5nwvQUjyKlTHAD5lirC/7jRnG+BHGxb+c41s5aWVVc
Lk5Fmz6NEfaGumcvc4q8aCUcWX2TVT9Xa4gY9Y0xczpDIqsPP4qvOkbLlxhT+wrfLAHctDEnW2A1
leHhP0Ejogx1Psm0pixTBWOxNgdwwCQysz1Rc8URgf28E3o7rgAX2YybBDQkr8w6gErScrj7eUnH
H/q4lMHKug1zKo3CdqqbcL58C7/+ammYKC8Ip1Wb8pxPb1iSKmzbpTzx69q4YxssXgGsy2GlhYBH
iBfZKkM2osUFlpyUjCsytP4hinWenVFrXrHU4VNtQ/xLrhhocP39MK7CkLO8pNh6rFrSpNtJlb9M
Qx7dTmZ7E63TwgqFce/lcnrzJoyOINQgUkpif2HEI6nrkx2orNbKyvap6denf+5h8Hn4FcT4MThi
QuPCS2CupHq3d61SX1plXiV1txMx1fYSzxX71nUAuMMO0HcSFGGYolbrLsQEzcWCbJ1AbNrNXfkU
kkl5Jqq5PqDpm66wZ66/9r0Qt0Nsys8jVe7mN1+WhvQXxEV9WQ+GuMr6Y5j18ctC1E7dQbPanQaJ
bTEwl/5EOpSN7D6JbjXSZ1Zs/zxUY+AtSzuQF52z4ZAWsnxOKoVVCgqPf/5Sl/HVO3o4jRdWjAy3
1JfC6eljsxn2Nc8lDtsdbvMAWVhoBwBrfX2cR23YNk0frdgO5/VkWWz2QU/VklQ0jG6kloYY0nMy
ivpgZc4Mn8wuX7E8g5eNr8La7+qZPKGmrBd1h6z/n7/5B5co1SYb4DquSa/skhipBofvn31jEgmC
S2a3CzWzPgQ+zR+tEIqzOqmbU6aq2dlCszmwKJ/aqfFWxViw0PrO/m0z+zdfxmV4CXhBUw1Z+KOd
jd1rVoU6iqgwDLKWqEjRb9W5P8FBJfO8iotxRfaV+4aR27CLCdjZELX37CXVl7EIkdvZlEsalLZV
D2nzemhM8ThUVXEdzyh3dD23nkyRRvK6CqtiuGqiyCPRC8heB93axJIFnbOVMAeP7VvdQOnWyJx6
Ncv9IwXkvCmkNV0JRDKrpu5HJkHsMKbotTOBhs4nzXanN3jDuq3GeUJj8sQe6wiHuncss33fs4Hh
f0DNTrMMKB6m/J9mpOsFHhU5O/GlVif2uD4V+Eyxp/iqbE8p6H0MtBZCj51PwkqrtSmD6ibF+BUt
LnnrgwHkEA7R8IA9Prwm3zazp8bqU+fQZRAijuQQhdykGMW4JlFtQltNI32JJSsjtp1FtpTVLG28
N1qx4oJQr5aBwNGjttCBuWQJhPuUkmYVzOovAgr6YKXDOiHLIMZsd0BK55lXsMjbV8B3CTEFIPLc
6BHGK/BfuOKw8Mu1ZBMmF5OI660rDX2hTRT5tNP6ju6bLZah7hcdGasaUdjL1tZKotShZV3LRnEZ
I1F9m5I+3TRxF2/7gepKT0dWx9zRUEBW6R+6OHtyG/rHWRrVowf1LF41UzzQVHLv/HT04sM8c/M5
dLRzk5jW3uDgOKXWEG+DlNnW0sNbbt/ZXvksJ618FpOBKZmZmSb4Os/TgiN5RyfqHaca+5J+pOl3
sqL9UuT0MlIa1l6X7Iydgh8wk1YuLR0cGEEA7bCYsrHfGHOIHK5N6FoKl/lbGLun3Gr6h8sQCs5J
+Wy3TbzVBR1WZdA9Ews/cwJ0CDG/mAmAUl1n1U3n4jSF7JWdjYweUGcsnaEHCtG5UNBm1ohSPsGQ
NPiXkGjqF2Rj3BWlFW3pDhc2E6ddEXEmkt4HKmeOHDmkhnGEXkas9sR0KsvN+usI1fBojMAsbRX5
xxDWzCFG5nx0Qm5cwwG6RYloEwBUDA9INWnvxyneegoBwg+vuslT8CGUkiAEYzG/eazSeR17c4Wc
El2hdKtvXd/Rbut2eGuoaXg+RnDgyAVZFpj4ni7fWgofEItUNV6MMlPPAIXL3lBLVaqzRidPcFUB
ljwh3Ow3soH1QjIwE0jsEEBGVPMaS6LtId2L+qQXDU+mTChFLmdxVRDwrrCeCSqvx6tK0QuuYzFC
BVjl6jJ3uppDLIPkALp2eQ1NCQTD613rO9lr07UIQTwsUohPF8SHaEvkNKMyvSPREEtXumDy7ONd
BvVxmeHse+wDx15e4AEGVNwGUdPZAjhy6xWQN8fetEkRzxMdEb3h3zxdzyw31IXIE4PFKMHCPMaH
a72S6bmuBOJhCmCfPoWSrC9deVf3A+Ac4YgzXnd6BmGXK0ILbALizCzB0h+B4AInAv5DVLnEp7dc
EwgEnAFwN64LBMRkb+X2rQk76BMFj45nBDzML13SgAjOIq1hzAmAMrsb65cwAXFpdQbMTLLAbUhe
3GMrqPpGwbZGRx/Azgep0TxqC4/jplkWpHlCRDQBe2oMYNZwEePtBb+5HNgyBbstykjsNV37rqPl
plx2NR5fllMs1a2ebn68muRebBgQZvuihHCqG1lxhLjBHJmpytHr2vortMB5h6QZTK1XcOKYW9Ht
IOi0lqHesblrZvtaZn75JAmqRa5R+8fRZZ8tRzTJi8iumxe9UBPWNO2N9UUije4RqCJhTav3uW7U
NtwGZXvFkA5E0o9dat604cc50ImBsyj4IoV6UyOpU4AG7cnweCXE3LevfR2Uz2SWhbcuGlUGg+r9
gei2o9UBjHS4nEChX5fy1vNBSMO0SM/5SGgbNrLsSJB67i9nA/PO5tDD8L9lXq9wJ0DUQbPFLW6d
NkfF6HvQJiiJmJmZ95cpvJ8zVHNKKmFBO7yMnMS4rxyrRc/Ng0RhlO2nTC+Os8UM2TYpYnP1DIgn
qB7bdoQ/Qs4qxflomGtThMPDNFImkw7lHfUyM++1vGCzZR/7WsIMfIycLDiAXyBkUJAg/pxi75lV
cAiLaFwlkhKkZTeBvKC16SbEkGpTl5JCqaPZyVnYW6jJoKAlfvvLSR/Kp8zUAKhHMGPySGkVOgpn
y8GaywRcxidYvTyXbVa63A2Qo+mqKUX4ha5+QiFu5qqfaCUoVGPJuwbQ5nPlUrUjZgayGLByvnV1
trdoYB2lPjRIHUNEejyG4pWmB2c5gpeZmczjPekd9WGsMkBEtVWixVLkBiu9RbmS8ihjpXnXiGuq
fc4HzIpAp+cGdLrAtuAa2z/j3qrd/rtbBHLb8dUxP0lZuLFPT1RlZfWtzRtKjrqdsz0BezQxVRzd
miQbDIPNXZtdzdqbXsRSIQtqBAHR6YaQEX6lKkkErI+JQPtML33qFohOkCLI4sPUg3ICfjzV7DQg
8+154JOXztepCaR++cfLwiRykSOGdMjmxR45U6FFi32BneudNLVpk0dJvC0xK19DqK0PoWuzyWB0
Hd6Kyp1tnMFjeCLOTEeGNcNGtulbL+bSWUctDewFKHbb6klAFz2PqgqYcJkYVpWJiRxAAlc87t0M
AVXviceZvLPVrCYxHYDKGhYLH5aWvXfogq5cXErn/40qfzOq9A2L+e9/nlT+sD7syn+9fv8XJ2Kf
f4uf308tf/z8n0NLZLr0ukgTlcfYj9Hkn8RF5IcGrEbGd3iCKnnvX1NLD3GvQGKLoodkINfhX/05
tfT+YMZIsgfKRVoyBJH/zdTy0v782tgB5wrSgk2BMNlSV/6+PZqMIjWwmdF3hOxiKveWYXHMetkD
FqhGaMeY6tCiUfeD/quRaovEan/ToSky6IeGl8mtgyia9ApUmJfu/V13XtpKI0NXsSubSb8JxNfJ
r47tkHIqs+ub2GR3db/yK5QQIguuqypEgmyKYj2ajwJ23BxBSdLCa33WFnHpbTpkMJVr3NTK7o2B
3QJCyEobOK/06kUVD0SULvoCT+z0KaGsUH+chFhgr/65nQkqQ0zVauvJ9nei7Ghnw9Q5QtIqpsWs
d9A9tKa1wLVTvNqs4oE9Y9HwTuwkpho5ozNhWldhP2Lql8w4urdK/cym5WnXtp1QInRWy5F6xHvg
lEVFT9OgGiO/Ozn+o2Fpa4Qwz1izwK9MDGj+FiR4l0A4f6FH0bovs9Ug8yVE97PUcHWsx2adtvl6
6KonPBL0LWqfu7B1ryB5fpvDftkl6bJ2xmxLl+Mtxq7LFlZRvORS6NuUVPTFpI8vhQA6d/r2iKgT
gQDW4ZXT8mFUk6kFvpSEP6bX/9tcfrO5GJajgiz+8+6yex6f4/fbyc+f+LmfGLZg/bNlYDBv2aQq
gmf83E+Yk/9hCqb00GYQIesWo/SfLAjT/AP7ddyyqeJBbzCR+7/9xGCrIQ4Cog2JGcpb9b8iQtu/
Lmb6HnQWGNU4JjMqpssXjfS7xUzNnc0JAaOf2raq+kU158B7cArpZ2YFM1QibE6woxlzuZRjUZRq
ZxA/uiuhcZZnMSV91koqZZ2IjpXmYE/ma1jySKaEra7zexwtBErQhjK+Sxq4QNhv2da+jCibegGz
soJcfDQ1oLzIp1KMyRDaliZz/Dmx5p2PYc1CwZrfi1nDjjUSo7jVJBWFLDIMjyJKsWfStadncsSn
GKIWt43uZaAJatJm3qB+qA/2RCPTm1HyTE7YdKelE6RvIiEfpwZlCHtV6i4tCFzfhyY0FmaVCWyp
dOMURs7J6LQ4XhAIaH7uLcZXv9lPL5Ssv7b0yyNwHNTuMFGgMhE9+OuWnpMpk2hB63yaG8vf21Zv
rytTNujCSwl7Cg2dMhw1c/8Ox0zziDub4i84XglpLtWx7Yvw/nZdu9z7cz9cz4Ed3Zi9KJm+pdoX
onLbc6TMye04Sa57uzOwyIm67CHLAm8bRlTHfWuVt57XfO7w/tzZ1XjE8MW8NyMTQNB/TWo8496t
kbsfV/eepuZ/COfhfFUsMeT3oGu0jh/9Kyr6zBAwH7P7Mg8eGcjIuxCr1q+GKeSdRoAZsdVWsycE
Ct5pVOTmIifJdtPCjYVvL/VvVaraXN8e5W1ISOFhLCGPBBN/qi3T/E6GsHEFhDjeRr0DPxcXpzvb
Cx5CIU2mYXH2QKojTUWa6TtgvGIbaY22TQfLWU1l061nPeedtjp9uNJn6xUo5zg2prHrQEN3jH6w
1haBtYqhUK+lTT+vV360sePHrPJJWBTl+BJH8O2yzhpfqiaw9u6UNbsGcvYiiKJhWQ39potHeWZR
pjcgyCymNo13qfWq53HSEEPQOO0qhbl/hStGjhGiJ/tVzER1UbqJv9VnqOBmDBXWLQp5JowSMT4Z
YMl1Hlk1pXFmfpm6ovruZXXeQHpvWgezYL9m4uYaZDW27c6XVXxFSpd+HVBU3HmFMVzbac3FmRYs
8XUdzcluaqByLzHNMc9a3MnbFrXh0SK7e0PeDpx2W61NLZ3hrI/tFxG19TefIIujEI2/1LEV/E2G
1Ic9y4bhhPeDQRVmWBRWpq8Q+Xd7luLHBOHgaucIDOnU+YTcaPggPGCWT3PsIqlgBsi705Tzy2h6
87LlUJ+AAKfolbGjvKkc+v260+svLgSDVRZl+hYXka9StTA1Xg2fsYuEfTs0drZIBqvYZjz7Ywly
SHEDTtTi1AVzujTPUm9SBngTlzpd0BZFgGa7mjbwnUy1oZbpobGrzkCToJlr3KMwz0tgF93AKJ9P
l9eWWQfppjEwTlPDajaqMnijedS/elrefvETQLZCm2sY/TFU55whYoSSsoi/FXq6rcsGaxSo8n20
sPre2QpEtO469SLv1tPr8ndBdR9nC9x+i3MHMBwbU5uMLbW0393+sYa+S0cYnNFVOtqqM1xjMTW1
9imZfa7ASEwd5m2r3SfgnESjysqvAEyLSG49soSmhcUa7BdmVgcHDzLJczo4zbTw6xFrwspogkdM
n7kY8iKMfR332m8mNn93AdR0fC3sTiy0SB/en2JO28aIQvfMdKNby8SQN3UVhpvaCTJgpIJ9JkCW
d2ebaiSH7Zu2Rq9Q4SWm21fGiIkXaw8dhzmVz5Z0jaNDtvUhMqs+2NSZF9xnbg0QFhUhBdw/75uX
8/ivw0K9+zDwBYYlRHf4qgf4cPPzRgleR/tc9jYw/di2wRtvc+DtEGJkD8ZM95rIVt5mOJVvu9zj
CsyicPZeFQ+HModDP/pms8/sscGBudbuOyf3t/4oOvQmdV8AA7Tx0TW5/jEnr37RtWP7RpRvxSOK
xbc2GJHHzrM34K81y7tejGmxdZEcQZcGTZJmwzbU98EXMzKSHc6g3oEoQMhMHor2rGVGUmWRfASm
m7fNOAT7eIqa9Vy4hbeExiK/k+vEfoX7ugYCX5nGGowfl74y/WYQzNeSMVsvmDlU+0wMwSOAdbOn
JpB3Qi29AOOV1ybQIkzAU/6yL1JIb7Ixz6g9CHHIE2Ay36yjV52B/CZBc/XImzd8x5xS7SDq1iRw
m/q4mK8FLUoMs4edr4obOA5kBd3rtPo0DWiRvrp5AmEjxzMtjOSeyDym3g1zA01k5jGSY7uy3Uze
kLrBWfLPLwJFIk/6lzfBR21McJ/Hnq3KwQ9lA3s1apB0qM+YfIOvYykCH+SyN2dISqFX1tA8sPKM
Uf9H4YZSrHp2zG4+zQZ7Ej5Q7R4hpruKsiQ71HHWjnjc6HG6HLQkzvGLLDaAFmq5Gq7+bQKm/cz2
330zRzF87+GTaiv0erm7aiOvBAqlHLsegHTXRI3g4Y4hvgUyaGVBtskMhkwYxeT9zgs1ucKexN1L
kX+W2NNYfMsW6wPNjLd+7WgnWMHTuGp7vX+tbY4V3i+VtIIkSxpzuxVqJulmCpzV1XOtxrj70sp0
Z2sISVfSjOe1b01fDAZtK6vEl5DvExGfnbAg/FDwsiZmC70EsvELtlT5qkHheyihXOxmn8z3BQLy
ejvXZlReM9cScC76NHrgHIgfWg3rAcDR0ULqFefJF0ZEPrHRae2Eu4i6BZ97i91g0RKB/ar5rnEG
ElYFTiPLg+5Jjqo2d1bNTJDlwopQM3UyQvzR9ilbXla23CgQS/4cdD3LYIrMOVh6TitwJEJwch9i
y7EPdMGpMxuJ9S2C4DnBH3Wq9EqDmUj540+nsItLbT0jR/+WA8kpYXOOxIydXV9qxWwcQ3tMDxMv
ggcCX5ZXZCZH5ZJxvPXVKEH4eZ/6+QR8h7mx4Sby3FBb7vDC9/Hmaef5zXRSjyjrWVuDuKToKJwA
3q7ezCMEMRRDHooVRvdN4C7GRuMtjGuqzAUA9qpDpKIt7CrQV7E1Z29Iuc4dWpQYgy9RMkFImXpl
Y5rfuG6OzVDujksOA58740/z6bKQ/tfY/qaxtWzUt+/2nNVz9/yvHy5hN885sSFfntsoLkLMod53
tz9/7M/u1gAuIzXaQZjro8wV1AJ/drem+MMFofqJof1sbAXWeYhuL/wEOPe26nl/AmXC/gMzclXS
GSZNr9rwPrh5/ZO7168KEfpYQih/eIsZOgK8j/3FXM51DzXVoSjN8nmJD2t/ajKM8BZyrNundzfm
b7qZD030D96HATCoo1pAzUCP/74iCm10em7UiVNET/xYiBLSdjf4D2nc0cZRhVSPIY3+sz8kze7/
46MhhdK9I4jhSfz60bGWGgx3DXGaqeUfC7/R/PUwQexfu/Q995YnDXPR6g0APcZjLMN//nj16/86
hNRtBrkjn9ID+uTBffx404qZoyeZdcqI5YkZiAxkVOkdVKtDjEwKJ9ecIcs/f+blZPu3D+VVQT0O
VwSGxq/XXGCg3YcVqmmbmck9ThKME3IQ+w2Aiv9QMSo/itjiw3uGAO02Yo776mCasM00+LiAaxxX
lRsmctdqTRismb+LZ8cz23oZ2INuXA3KxGhFOI7GXLoyqLZlVljWD0jtF0O69z3whxb4cu8cKE6A
LyrsUHyAcr2R/HDpRgiue413pQdzkBmBsBuvRYqATyJZ76ndosD5P3Tqb97VXwUiP54YKkAfrR0L
g//99eY5ms5ubjf4VhsDZGptJsvFLaI3PUEqMhmzPNuiMm6wMyLwc4r63wlU/n1hIuEBdXIdFTrs
fVwrg+8XKY4n2Idp5NHEasFMfk/3P9TGbxrFD/Sdy7WS/8PK8lDcuCQO/XqtsBe7Qtd744Qjhzxr
FcHRmyE28JMMLKt9lakQz4PuqNWpoymp3JHFoiUMqJM00n7zuP/uwi1dsFviOAAc+OGtNYVW+jUt
xKnvcANeCjfISuJncrgocQFh/J8f898tElf5k17+Q4qn+PXawdD1WLMG8wRUwWhggu0FwUeWV72r
E2vcJEjIh7a8quuYtxwU0LjJB1+GuHEb2rgwkpmiwBnkOaxtGa5T3fSOXUqmkNE5IHXRwOSumBJW
me0Vcjz4kd5nv+nULg6MH1Y6+beuSoFELMYb++tFJFkINW3yjVMQoPzcYJzY7C7vjezy6rFpcg3G
wsi+N3EDc2/0IZtjqg6lEZijmiDXk/cjULnO45w1KyPQ21ev0eX5n2/23+yCCBIFmBaolqBJ+/Vr
arSzgwM/6WQz26RhULcZQgrqHx3BQp01v3uzzY8vkwrWEojkmM7iBWt8/MS8C81ET6f2NFZWeWV3
uf0c+FL9l4XjT6+rKTEsEXKC4oCAJ7ifiAbGcfI/xdBjyVMtpu7VKtE4JUh5tmixq0coAGyc6p24
3KKWU8OB7wm7psWI8GoyLO9IISf2RNEYNzN+X78Jt+UKuFHvnzeoDkJBqH/QaJiieR9e2hmJhFvH
U3gq+SlgWWx7VomrJbe1RVj6roBRNi4TlwgmSLpahhkQiXPRxo/CGCt8xeNjHIttn5mYw1rPO3cD
FxouYeS0PQNsvLKVON4O5hXe0VSyejRqnyuNMG5kD3B4FmM4RTbwES3JCtMQVkbSjv2aI4As4DSB
QC4I7Dr1RReh/s+To5l75Q0ZiG698sqGcKeKVL6vBsSeW6OcshcYzcYqow5A+DLNOCRNuGa9Trjv
QoWbInLbOs7vA4h/jpOTlVR3tY5lHhoYnCOUoTlmdaT31Qi8XK166AtGy2i6XPeT79eRUjQw7VrQ
dNaEPhCeCZ3D8SdA9870vtVa1nhLzAa7dDfLuTMXNVzYZm/WU6ztAwLcjmbYM5KuoBIzCvA/TeNA
nJkr4A+etNEitCSxVWBq3ZpptMxRU1QQbvOsWYKVRcHKS0b/AbNGjl2MD67cqVfuS+XkQ5OMxhCj
NgwVXaODwJ2Xtv3cgrDFS/zNjBtKQDZiklrluY0nfgxuF6qswCo0mocgE9DEksw9Qq9Ne05mIzI8
yAN4ybvVAYpeMl3D0q+PmgRU34RTiZpzgdM2LldkzGN85ncvXpE6pCeYkb7VwVQxpMvDG1iYzabB
ZZ6Wsnocoe58NVpoeObgyRW4tPltQi6+tGlYtmAwwcacrfIp91v7a4m6aFE7tHa8KPJ7iL93t6C7
LlZ6z+NZRkFXbIn3gvJvuOAAeZjrTBiDQkpotRquxV7ZvYpad8iaj8PqXiP1Kb0asCxIsXstMj+/
dweaZeJComwq3RW5Wxi+L7pJuB46EeQGAZ3XwjBH08YQQMQacD7Zo5OTr7zU8KuvQB+OxddNk6JZ
TfWUezg0qeJntuX/Y++8tutGsmz7RegBb16PN+Shp0S9xKAoCd5FwATw9XeCyu5OmZZG3+euB1VW
JUX4MHuvNdd9nefcacwu9dlEIekw2hvuaxuSoL1VxUiNp8Tx9KQNxRObRMekMBGxvh6CiHEFk1u6
TyfeShg2dKLhC7T8jsgK0N5LqtdoymYeaprVxhpJVrgZI7gTCy+GR7/4xmTqxnc9GLtuPU+++yq8
cQQ4YLJe7YqQ0agcvVct5uh5tNE8qRl9ld+jSTPAXkBuLaNtKZMWHT5faAiQZIl0m4j24lt2vPrM
sk4893AdN3jq6jMaJPuxNReJx4R+6qrrlrYQw5lAVYd0L95YS3eH9BLNNQ0kwlxs0+T/wFWGtDKE
z/sqbWZqoO4OPyEpaV16EgAhYnicVYwY+CoKyBaA/MiknhqMqO9jJGs47I4ekyjBvvIg6lBBJlxu
ZSRRWinV84/vZwvVFHWPg8PrdjG22CskL9Nt+74WyQvflTeYxOQhjgfr0s88kcFlZTjZo/U4WHO0
te1suu9TthsOSfePmbCZnjuN6G9aVo+Tzb23yomL4pPkSHkyqC8YNvR9tvzTIKeGRABCZ47mEg4Y
Em9L/YTlUVMw20JTbF+yvGT1q6nd3r8vFGZCgidsvIX/ai8mx0wVPNqWkyEYI/viOhRAcRw7dPla
w7yYCZ+0XwvzQokyr694jXh29nK2Vd0y8aiaup7gjLC5sAiva6h6HpylF9EXzObowIiUEXbEKl3N
VFaH2p8ouinJmQ/8nWFV1yNhfq0h8dK+L3D6ZamSg1v88n3z4yxzMki0DBelN7nFGmMcKImg8XuX
hJApvEpKz31NqCYWe6YdTrCxdTbDh6jGbNuUlvhcGEBTV9X7J2QJL9O7QctlGcTM023keBe6I4nz
keIZkXG1ZAuqL1FsMQEjumJsq5etSp7gyrQmZFQMA87R50lfKoX9isupz3il/HtYmnj+DCpzJTqn
VB6wElmXbnk9YeVZFzPOmJlyt+c3ZwPLVZdWZn/dgEVIDiU1P1ZpfsVbC4E0BKrOf67w2/ACd27O
PcPZGD3rIQ1QAIZtse1aEh2RsPCO0AvxXpNy5J7qBqrR90GAFCV9PwHSDUHlYGX2Jzq4La6Wc+Mv
hy/HDtPS8tUT4ty8YC2qzyCD5YHlfgvK2uGppjbWh4KJnPuAbvccVal4Npa2E7pR/1WGHd+rWZTl
lgqe4ePy4YuXEj87SCfeRJdCvTqPKUOAR5KW3gK2ZPDBdRWr20gLezyG9fKAMBEzNNm1aA+ltABy
d7PGast2FC6I37EoskNgwYiL4/JhMjPv1ckQFNoGJu81rhimJh1aj6MjucnUIi38YyIDnEwwVfOC
BYIPvbWoj79fITMRa2QshvFK1ihE3ze8uCyal9ly+ERjtqgpQ7e5GtnSPvYwLR8Jg+axQJ/Rt3M4
8pzeV4zv0+Y0m7xRTYFEzgkXnTr50NFVZYdIeXqbWmXfs5NZ7ppsBtJAs9Eq5o1cTuddFgkL0n1t
egSI6yqJo6sCn8m9OU/4PwJndmj1olJeeSpmOEpzPi5MJIyORF/Ch0l45ckyy4W+T1LhO9txCNrD
lAJv2XpRX3j3mkQWpLGjm89rA5XfK75U3hp+OnqutMm2tejdY97Wi143Qu5+Kgefv12A8mofLNMe
eUVEzo2el8klzd7HPm1nxr6OLQZ5liLxsiV38QksQvX6/H4Dvo9Fy8Z9yGzGhWVgJaqLGef93RWx
ZlrTHVRHDfjks2Qaunt/P11AzfuMQsCe4FY3vw76kFckNHteKA+caRJjIfnnhSjHMvwGgSuHtSUH
srYof8LWabzXGDnU4/tb4RPBPK9yW1gX30U1arWVdcm8pdoAkjQlUaqqrGrVeRUjEY04Yx20NkUI
6WWEq6bLBRnYsskhpbe4li5d2f3EQkhu2HtaF8vlEnjlrEcv8ZGsQrfhywpIpL+3oT44gJt4aWBB
Mdo7qXWD4my+Y6fOS21iPUE9NPKpvI+Abt7lJZH0ATcb7PsyfSMtougcjHw2ywREbHZM9CSt6I5B
oY4hnmPYCyOGq34526zv+MycFpPQDoGFvi8nV0KoZKv2HMHZecanynX30wBZeLTdztgAa9PWSrIW
mh+wJKSahvlQJTeWymAdEKtrXSTs2phNI9JRZv6at920xCwfSfFhERIbefRsjnjOqkYv1wss9tbt
7eChD3V5YzveW2IIY51HmYK63ZogUxnZMcVn32L8LasA193K8dlSr8nv4wPWTI8ZQTXtekrHed1R
8oxYoUw+QT8T9xlPz7yqvXHG94/mYGdWIY5Rguw62M3kqaUNOCLHVZa1ZtYsj+zsNXlfTTWtiwYv
j8Ct9i3SxWKtsTWDIYtMsQJD3YGnxttintpl8D9lIqYQGSVExpFrVbODKUhhMmqbKgxVtn7dFmI0
HoAY8HhAa/En6GRukuPRZqMCSLyogxXJkcvg3w6sccplSdcmob7PKfjvyTg21n078s0sG2WkDdwY
J+JTjZIWH4EpOT0MqhSb7Jr1gStGzhRyE79PJIzbaF/r/GvNGpPZJWqiLYGF+FGMTDxDs+MNet8Y
xmZcNaeiyBqGvI4xrfZ1IM7U0+QhIL7pKqXLchybyLrE2oueLaNTX+wZiIXvAK5jD8ZzrXyb+VNm
TG59GTNazT6oC+CBxfp93IyynMGR/DkHCGvFN1Es681GIA4vJbL0jWgoX0GWx69RaHi/HeOebPmE
uoKXJxUGcMba2/nxMjLPpB61a/Z2yQGfTfrVHXxTnb2m54vrDIwsiB6iK+P7CqOlRkJu5LHMq9A9
IrM2gyMbNt0dFPsb2HK93Ned6ncF6qWQvUpHpHI+W49haFGy8yJGJeo83JIgw5a8EsJmJ1H6TCz+
MPmPCRXrzdwGzrHxNN/DvOj+vy+ZPbP85sc2dN2oKk3UlGUQbv2ps3ccOXlMZK+fdOLPV4k7pU9N
H6NE5wthdGa3AwahsPuAQMvShBrmNsatNPxar1lOV+GWjEl9sGPPeOsbx/sCzHz+WrCqRGmgFcvt
EdA76yqbyoUyicxW9R4L7vjR5XRJFRaiwBXeVlm7ReyOogrCyCUNsDzFmZ9+KJsufvBZ44O0L4tp
kyvP3E+hN10ipxFPtMbyt5oMLLkhISxVrJTpJN3OlcGOtTDj0VpobIgbZDT4L+/Vmf/r8Pylw0P1
b4l+/a/i8C8dnmP1JX39Kd/9+9/5p70T0sKht0wTFLUhSFaqUP90d8LwP6j5Y3bFo/se786/+s8W
D+hX2gKmieTMQt64FHH+UwtNIszSJOGvUZe0l+Sk/0WLx126S/8qFyEaYwXFWVDOdsCO8bH9WHfr
bTpYc6IpZTiz3jhtUbx6GdqgVQ9NjkXNPNjsYtWEAqhfnDl5jIrHT2R5PVOu02uLMQUUZDp8CXqr
vJmFrj5FFBYoGUQ5AAH+VrnR5IntymquPpUeMi6TBtCNTEeCQbJBOtezVaAwyjO2+lsVFf4+9cMH
spqLe6n74cYcXstaIltUSf6MP0S+1BgXjfU8QFDf52ajXxUZ1ppEcWOaV4YT22Kjo8rRiM9I2iQ6
oc0/J0ZOGcGRiw9ksqWAxECAdq5brci0jfprqhGCxZ0pZnfjSTt0tzhlSblAUYgoGSa7s29ZJpAC
k4jkyqGExoCAnzVYGVWBZDk38vqtQQL6UqOpuvRqwozpwCOIIzW+heVQvSAQYcUyhDFmoTGnV9Bk
8SsSQZuxy4bF0fagRyBC+kR+sFcMxwuzU33rOVNNImuoW5rZ+M6YpdL8EjqlvnMLBy7qRNyaqhln
xz4GO0GtoepRv7nTfrTT4NZqFSyTzCnB+RQW03kZ3pLM1ZBwmHUPLF8U+n+ltqi7HIyXDe42xGjV
yeviYJPBCz2HekzFcVZWexpmmO4rACLU/lKvpbhkgv5fS2Mqnp2y6R96NwfR3VvjvGIHaX1Mg1x8
7IxGH5vRa7dVFRlX42xni9DOX9UzYS4j5YqrObb6D0U+Ne3ai0p5NQrZnpMwHEgujOYM+uMSnKkK
d/F1VcW2aaMqQ7AftRjDKRVdF4RTLOrxPn9tp6zYxkq33h4UY02ETTaqT8TCElE3AgigENk68W0V
RpUFZWtK75Mmdz7YcZneRbPH0RBeygdspNmubxP3bNlA71dJXycHw4EUQS2k2djd0B5GNjf3cVJi
5ioz/QLQRZ7Ak0ZfRzkSUuSbZUxssYNJdTu2bXQfZf4MPb2La2JFY8e/TVwWWqshFPCOyTDJ39ym
dsAzJQA7YxPGZITedI3JsHrkOeZPo0VuUKAzda2sKTkFFC7ZqxL+CjKrcpEPYyHc8LrWj6HTmjex
7OCnGi3/3qpj97od3B5fF3SAC07VOlUELfOVf9RQWpYw1BjHAreHKoTZnKBBmPxXTdm363CRDlPm
36s60mZxRVtIV6gcFaLSQzn2IyynGZ8U9U9nOiVekh3a0b+1wgzPjxvMa1bbVChRND5o9EHDVgF9
fhEimlZWIYi6CHo3UmugKfVSb/Ue+t7rKTqlVrfu3KldJ1VqXtym1FcdluM9/DVvBXyISBogsLg1
sE/QDuRV5Hu5F0qbSH6HgUqcGJ3yyu87M7sNUixV0cZt5t58cGc1lvgb4U94FxvYw2Hs5bMLJv3O
yEMgR1jFxqMjhxNbUP8aPIbck0FlbwpdzHuCEaa7FiIWMtuihc7sxUfQR8XdKB15X4yZXrt5lu6E
ExEygip8gyVmVQpAIlabXJbCQA9lFDVkejVkJzQ4/CbHaPc9e5VtlNovvki8lZcZpyyjpEUg8wrl
M+AYn0w43Sr3OYHnchRK1muL27JjS6xuUtN9ifom3owzdWPAY8Z1NlviEC+j9dSbHyqra0CBCh7y
9EWq4UwMabEWnXnOUrsj1STKzZ2pkift0PAosvo5DKbgWIbNGwGNxVan9r2JWHMjEEDHjrzxxyy7
7drqo0v9iRL9me2juSvN+gGWCDHMOujWozlBmhnzYWODfSN6WDchK10rX08+wTr9oNqAKjAhzqml
TtJRZzJr490UhcPedgZ3Yynwn/hMAnMTkLNyYufqplxeM78kWqlr4KNkO4wIz3mNzj5P+8qMpc2W
rq/uTfxle8KVjEXYyds01fNlkiIjnaqmNEE2X3PXTlN078xEMmzitCvuckOPN34kvwR1Yp7yNLbO
cxnB+VcQk9fLsnMZZlswayGv3yNyawIDLK/etIScbOdUlbhL4ulSAP5YTYMln+YcawouTXWxo/TO
A4/KJ0FLAO2UupQyx+FSEu88FELQlhe4c3pWc15tTniPh3MkzHGDSzB5LbR4TZTZ3tm0W29tHelz
ij/n3k+j6qEfaX10jn9ShECvwbQx8hvmB08l7coz+CPJ9JJ9xpnaefA26kHdh6is1jOmwR0C/miH
kaf45itRXVAiqX5Gt91RkFxJ6FAXxhjjKuvSgE4IgVr37MuKDe3v/OwEtQPt225IblDJm1sUfFtR
rSBf5/09L2FBxqlZ3Gae8FZ+5Qfb1J8V5WPzNnCBFHS4R4/l7Di3RehEG6OfmhtvtD55g/S3Lanx
D1Tk2Wd0gf2hq912p0ag3rwZSU5xmSY0zvKgIsbalkijHH9P/zA9G4MfnTw1ToeKvfTR75gidT77
RwOorLX5v3Vy1aXd9Ld18mJG+NM6+fo1rb7+WwRFSNLyN/5ZJftooHAJgd2lyE8+QcSC959lckAe
KO4fDDZM4hYShP9eJQf/4aKdRkcd0Tn/gXPqOqQgsHjGNYR4AYdd8L9ZJXOIH9fI8HMcrCWLzwTV
vP9TS3VCReoQpj0farGlLedNBMrd/Otu/EZS8ushAGugBCdjlFNm0f/jMhxBcIHFBwv7IJxVPodg
NKC7+9zS/9qb/H8cZTmLf8nOJf1tTUkY7Wf1SRmfav21+xui9W8X8pM2Jkhrt6oHDoH0MTDvcBO1
8+c/X8WPUgG2LHgXIDP4JLYi3bWDnw7h68KuBiOkpO8uTV0jitdpU9+RcbX3Erfc//lov1zQ+9FQ
6CHWR6T3M+Q20J7uvDqQh6kGmmcq/khLanpF3BTfR4//Uc30u0NZ9hLbAdHMc3/ei5nKb7StLS4s
CeNHnbktTaXBujY7Zsw/X9Uv2z6uCo3gArlFdPYLHsrKPXMqwDEc4Hf2VzkRHAcQ8NNa6FmvWrAQ
exIkp/+VfOf7g7PZbzqwez10ZD89OC8Vlm2w4jzQqsaX7vKHT5b9Cla7+5fr+1Gi9c+h2NAGARtv
cDw/bWtJdWzmpjHkoZxQ9xL9ZqCjb8MM1hbBO8xM7W0zWeQcFnNy3UOv+cvxl+/1v1UY/xyfjb2L
hnIZmn76nqfYbRJy9tQhLLGN+VTBVrAKnv78EH+Uenw/CNAsFGDmMkQG9o+fs7bqbuoiWx66rrX2
wZiMtGEDR1wKm6CMeaIINvSR3taSmKU/H/p37w8FA89e7HaLkfvHQ0eeq63YduQhI9ljSzGsi1lm
TME6MEwWww6JpSjfOrH982HR9P369Vt4PbnYRdSEh+OnO6sKg03z0Eq06pV8q9HIEWpk4h4LFoqu
J6gasP1Ci1EAHnaA5cAfcHgEmbb2CEfGfdpI+Wwns0MxelbZRnbBne2Vg7ehVj1eRdJPd0AmCZno
9LCzMEo9pKaNmnzB+z9OeaiJRgiyM6yUYB3WzSdWxuy3IDkWLCYPMLHZvy66EiOyiDMzguSaIvcS
xUa6n5/K+uzLPjsmZhGczXD2X4wygLaQeFNCHIjhn8lpmdaENKhtYngsz+Oy50Vd4ILkRvekwpfz
Ey6CYoM+3l5nQfvmo+8+ibSkT2kQ/KWCudy7NqmGud096Wpy70bRW9Tmg2JbU/w+uqUJp6K33J2i
e7kKdGNdh2YOBA5jEf4TPdw7QccvycPuKpgxR9agLXC1Tsq6FpSKDnXGsBvXfXInsmF8izo2QwPw
EEVIiuY1IM9ib6Tz17HyxcekYSW7wQozP/kjzHL2JtZXKRfKjafc7ptB5z5Z0wzvniM7DROiAVEC
D4PJL1puMADV63qCZbUqEa2taZ36m7IRHemrgnwABBHlVoAvRRpEYAu6AswcfZEZlyx2v3bKcFfj
1PVfslk/ubP9Naoi70XbXryG85V+7HKdkeDYckvQRVh7WnNf4eDJiPBdOG1Zy4iRwQ0moBIq1XNv
8vtKzXlkOshPZeSpZzSYwFh1G5zLsCeurRzF1kEhCk91TO7Gws6I9yFxNJKN3OGnM3Hn2mR8M+HE
60hMYhtq2qj4hUmCoLduk2vncwB7Jvegzbo9bbUc6mM2POB46x+6RvDDMlqSWtm93BVod1YmXcET
slE2Dkbdb+kbuzdhxO1EFAXbq5SNvbFZNl26McqyY2b7JT6ilpBzza5LrHsprHsa4vHdhJzkIasQ
0gKShJtG5wCCaxybe8uV4rNAnAlTCnzHxR6jWqxhbAXkelpVT+aNcG9wI9mbKZ6Q6Myxe5oa2SIs
CKx7YiyHox81/q0wHHILm8S5DawyvqKx+yzKdr7rEKWwu0VDfOiT1rePrcS9T8e20Os8TcTnjj3o
KmpGekuOQfZhDS/4m0sT/psRk4Wu2J+dZWBFn5PItLZx38I8g5pksnGjaSXqaLkfwsz9DULdL0Wr
uJNq0GRXxY0JQYgUyJLC6xV1fffRZKewFRP5QRzMs/YhVKM9Ccfjx9AWw6cKn/CdWYKJAo1Y+Bu3
1ymijZS0qBLH+puVq+7Uln156R09vkoMh9dVH0c3uHCcxyKCtI4TJDQAXVneebTj6dYZwFnFjQxv
6etUr0jpxjs5LR3+LOkuWrX+laWByKg28s55g6/SagG0UwL0H5rJgQk2TzOFFwNzmWdiAV+19DSx
xdiiu5P0YSA7mSIPVhWGhE0aOvVuEKP5zU19kmfBuyYPLTFSX7zZVwdrYBDKMVDueTW8jaaKTLGx
UfuupvG/UU2qNiwo3W1vuu25GH0KZ0ndJo+zXVJCJsGD3+mJxN9kUSDW8GvmE2cbP9oYZE7kOLdn
LyPGtPDAyq/h0Jvsd8ssOgJl9HY1YYPAxGMM3Sqqd2hm621jxsZeJjnuqsp3eCdC3MwUPpYwnEnK
Iw31gstowWsJRBzbQCwCD9ssovWAG4jibc0Cx67QSVUsAj6PbdcxjA05WEQ33CeZOa0RGraf0jQC
1oti8MC2dPgamMSPgaD2zmDsqv1Yp/gSQyNr0GTV1ucuqHB5FVEqvima/M+ToniAdjs/vf+4XUHY
KhNkg5MGCoggIRhvxjnDCAyPeksKWj1teYffS7nQAa0Y29L7IdO5waWEdWlY9xNh4Sun6MzPed6p
D4Emk2bwEn7UlTA03s2vsL2ytQ0I7t6ttHjJ3KR+HtKy3L9bfD1vFtt0Bt9FSaAEU4VIztR9fvLr
/hWlbHdEcw7bI+4zb0P2FmgpcFgMnnK4RJ3J7Xt3cqIISa/9XA/X9CXjaDVZtT7URjTZq7CBlYdT
gvhxEwjuKVMWTq6gZtu9gdE5ExDTcMKmxoAWpbn/YGllfuzUMJOUpHh0zWKv9JoQi9m4WEfnpuew
aQ60VGOrXFmyJ51tMV02qY/wzdA8+tDBjlUHuBj7wkm+RASonPIi8x9K6XtnYdUREVMEpNktQEW+
fiNEquPJo9MY+fMYkTVZYf1+WKxzW2+xXIcdIsQ4J4cI2/l8UBFhRO+i9tEPDDBmmLPqSKH2IBDs
1pGTizwMERC2ivlEWyQ/zbzR68B0u23pmtXXjDn8aCtTParcn595keJbPzHimy7ro4dqAT37ror2
qWyqfYjs+GPHXrSjCWOLqwIQ5rRWZRXtbWEQqdDh6JsNc/g6kILzVAaNWM8dcbObJa7r+3PKOy2+
TURQb7XrjDvz3Y+QFmQliZxBBiD6KaPTCVlTpy9Vr8K7CCUzKsfe++D0k/thkIb7IfOa6cJM5e+S
NjE2E5TgjdG4yQHxH8n2sSHvkQvB8kUztqW/oi/vd73zsHuAAQtBy1FKrKqaiU9lZ0/WFunRmOSq
nhp4zYu409S3zkGbVFtMMN2xnDqHyn4JHF6aZNqLIJpOvT0VN0ht4yMi4imHjoFdfQ4tZBuGSwuf
UsN5prhzAVEvtmURQMV2qc2vsPfmNyb4rSPh1v7HSIhh32H88yj5MRmaMO6ex7mFf6XIHljaJECU
0R6szSlPGAIt6z4x0s8yn7CaJ+10hGBW3QSgijfoGCgkTZjin02NLHdVEQ6/nftJ7QILJX0RTRn9
jyC7ocRn7HrHzk9uX5L2jkri1gpGYytko2/aQDF1B4D89gGSHzIE5zLINzYebujb4AW3zE3DMZIx
ibzCVc01idYVQuygqh/7Wle7ngGHNVAVqDOS8O6mjeG7SQSc6xjDwvU0Ws2pFf64c2w89bSHKuPx
O1WEnhQrZhcIXDEwbJjvpuHOa4gCVKmXEbBG0FjbLCZoqyqeF33utmygyztRan02Y4jzbkniHphu
3K1RiCNdpwAbDJcoOAqU3Ta1PPs063G+k3kQnPzRnbZhN0kK5faAhH4amnZVRv6gKeDVjHSo+OY7
09d884ZDTMla8D8eXYPAi1UkkuGq74xsLfjRWyIY6ZtgUhMHRetin6JHh+Ek/P0ILGy5opsg0bCS
ImAemLpxFvdp+WDrXJI3nFXbuUmMPXv7TqIPmexPUzURRW5X7YNDBwP5RmqcYzHc9g0Z8tQbk/WY
GV/DFkm85VYfoTtYlMcnccVlwOU24erCTFVyF4Zy3BK3aO+FSAeku6I7UxuX/RqxTbBlhZicmtmj
TJtMt5DtiW9VfvkWVMabmr0bbStnZ2vQ7Kzb2iNBA/aKFJPHsU7mtQyN+MBotedGDGvLdKtNLNje
RXn4EWazhH3k1DWtUHi+4RjHq5w06I0Zdsax8hp6mkHD9VYN0MZVT6YPI3Z1rRsYU2jdwDXE1dZP
CbRcEYbc7+c5Sz7FpHrDykIkB/FbD1tAt/VDA3IH2UFsIiQu7eScZH5zW1U54mmwhStm9fJFGU3/
1gyB/xBY0tWbIgQ02w/TfLLTKMeFnPQHI8k9DXW3dVFgyvkWUqx8INCAVL6yD6a11pKUtdn3tzqQ
Yi0A/O4L2oG7oc2pxplFeoozC02J1cHMAFp6tiIDjnVeeBGCsDp2SE4Oe53nZ1V9ZnlvvUDaCa+t
iH7QWtpefTe0GQVju+5HlD2IYvEURPvMSNSuC3s+xbI06ZVERoJWR/IUN1p4n93EbYHvJfN041pd
dlcRNrcjwV2++JL1FcL7xL5MJKqjrUmCEyrz6gNmKlOs2qp3ns1lhvStEtJXEiYw4Kv+nKShe53g
NPhAIrIHFrIdT4UXD+fRmPK3zs1AZyTIQld134nbIWjKL6UKzPXgW+6rUllt84k0wcnKbfdKduzA
fUidDs2HymWvq8h+m8j7eHKqoNzmAnXw0h9LLrUxfc2HIPxo1wFhLtEckt1EsImnimydDeW0Yo03
MxXCzOhXPX2RjT9JRrKsyA5ZA8EfBavJ42W2PU3sKkhScUgSsNC1qGbeqLR8JAqPDmNHQYtRfkXN
Fj9VhEA3t5oP0smcTe6Tnbky3QDumcfKGLi6Xz7WeVlfdXNhH6UULKWw3E8iRrGaN2EP5FgRc3Ng
u+QbX6euoFs4Su9o9X743Bm0hdl3hnt2MSOwsVQ8FY7RXTEpFrcsFbNXbTn1U9aCOW36Rgf7xvAm
a5UKRJ37oV6aFDQWbTZTXXUHTm6s1qpO9adc+kgiejmSz273X+MxHNGbh9YVJorq7LCyfasamhGE
M6mNb+SXuR4wvSjHKPZdjoZu5FFdoeQfIXW2TXehEBhfMhZDBNcWmUJr7LXXMib1VAEzvuf7/4IH
D34bcxp94QDEJJHW84nWSn+bmxQZ3LhInjUtICauwNoSiSLuFK6mz5TBPrnYbz65k36YEXu4u8BP
oN9Xo7XPiELad43hrPnUigeofeQfJUkr7z2zUOVa+IrIj97czcPQrzzeeFAUtbtPEj+4Aho7MbjI
PjgmtGUOtCjjz94E4BYpd037xYh3YayDR7Y6zCdxVH4SUA02TRx9cLU7ns3Gsvf8FpuGWds9EKsO
ZjqUNwNFrc/xLIbdsJCduW9Tdh1F87gfJGRk6Nnhvl2EctRXuCn4eD4EQ+I+pkMtd1mf8sHKKFmN
FWuqKfGjnWd4wEQT+5Y9yDMDcn6jm9k/kUmPinvs/G1TVOK1XjR+hRxDyoROdvFRJBAiQJ75ypas
brXyEL8NY3VfzSpmhWtQby67I4lZ5Z1IDf82IFRl42e+fbGSwflmxVUFhXiEN96n8UlUSX9TeTq5
Krzce3DJa6zwCc7C6F+yykA7mKNvY7jdDo3TwLvUJoa93j9gKCFCvMvr/TQ4xUPHiEvztIIhTzDF
Xhb9Y9zTYNRkyOHoIZQA9eonIGDBIYsTZiwWgicGUuNQOtFwxVIuOI3QOC4qbnPWvyT19l0GBbzo
ms9OmwEcCzvI94g3k/xzTTCviZitF2c01tmGagmSR7jEj71t6GltIFCKLpDNYpvE67ZFcCPrxtu1
FWVk2N4yulSTLB6rkmQdooWifZKqeNNQwnr0bfWVxIx+Zc4sVWTryJM5j2+Bx67BK2wAxp7HJqkd
QBBaeUbCcWSRUWAdDNwaJ75/72NQ+s9lzNrYFXV8YFVYbCh3vCmIThu6pmKNDukWEAYgUe2/BmxB
cCNcedK8Yw1F9lVAmcjoQ+vNjYrx7C5hpX4LYMHMK3kTC+swEP/yLcEyfuuZhn2ndPSt1a7xHPPp
Pdl4+JKNp+oWhpbUSziAtWiBvHpvRrpHgt9WG79bkmQqKgB/LoT+WgWF2YSkDG0YpVBAkj/WXx1F
1kSQUn8NWtAjVjk8YVmbD7HP7jYKKOT/+XC/60w4NFvgjEH1tH423sayNS0jnDgcSs3H1m737AD0
thWB+Zd2i7VUjn+unBNqaGME9ei4/GzLjOb5n6K2P/fjm3ov0k+i/6I7ivQG+iWEWr6598PZfE3E
sqMcqcf9+XJ/V71HXgcNwHUQ7//SPQicjnxME6FwELt3Hqof4gWok/75KL+7qTzCpYaNS8V+r3T/
qxvnwkXp3ZIezHs7BAMk9cho0ivLzZq/PL/fXZCL2jB0QSjSYlxO5V+HynVfDRPZUbhgWjKgxvoT
7Lu/EBz+doyfujup19k+X6s8WHaHOFDu3bD8Dhr5Hxtkv305eP8gXPAqeuggf7yOKMrCUdqdPDRM
YNdxb9onu0ZFPg9j+jExaLW01bBonqi1NthKjqFABfjnx/brpwcrAkUnFCkzYv/yUwPCRfLsLD70
Q4x7Bk9M56+JuWuvCiNrj3kTVZs/H+/X+8rxUIgSsenZv6Ia2iVTYyJm6lDiET+7/nSHbib4y3jy
67vo0ENHn0J9x/41MgSHVYf0pWiJUEOkopo6XdfNcBVkFDT/fDm/ORIXsUSq+Jbn4FD+6RGqNJ2n
KawPDG2EnRvqjIjysZHZ85+P85vHZAUugEmeFSPXu/D1X6+835S5E8mghrVvbmXxaoTFOsuJsAOZ
9ucj2b82G+E3/etQPzUb2aj6ovQ5VA8Pf+MCll3SAb4L5votgVDz0+TRmEbyK+SmdYEJmLIVLxBF
jS2B5wST0QLaA89QVOkdqmClO+cnjxCUU+egzY1JAL0WmP3u3bZyCOCiZMziqtsWNgrOUzBAyBrr
njIWkUxYYig7rEY/nf9yoT/zsui808qkuI9TAsqM93PXryhmw4nIYz/MKuk+RGVlXqwhvJ98P30t
icU84TWkifL/2Du35baxbMv+yol+RwaAjetDvxAgCVIyqatl+wUhWzbu1437b51P6B/rAVXmiTSt
sjr7uSoisyKzSoYIAnuvvdacY+bh5xYz0c5GzMngyjpYVkGQC+MZrakzT+8fi5DqqLNir6wK6FMO
xE1Ol0WVNWCCR5oOibA3YZsKfUUrDZt20O2jkiq9NxmVgYlggXneObrHdVKfc7x9nRloGdLMDdE8
VbHvRqO32NGE1A/XKndLVygeF6l+tUNQlb9/At541vA1aCg42LPY99dp6d+etbAYGsawM/clVeT1
oLniwLc+BVHaEjmPrHgMfn/BXye/ELwg/JgGeGPc/heT36aCDzWShxO4TgfyJCG+qUHoeW2JutuH
TtRdx/RfHmB2RO8ABt54fRlrq3AL0eL8Kr5oo3lQ4t4qA86686cBxd0XsI94gDQr/f6PPyRTXlYj
Djz8dTlDZzhC0Tn3ALmHltbosJpAaQcjZsWWfcAoAWJLMmWbMU7Rufv9xd/4nNRVArCQiUSCYfPP
X6mNVo+zZ1liqsUx14xQw6aIeW86t+/sJ79eCTYH75ONwgirwCX/h4OgjCCn5QGRzk/zDL5Xh1LK
WyTEP35MKTcQTCGMQoahWhefqZZVRap6nzNcJOlosei+iPQ8jqYF8tp6+ac30IAVgR0RxhCjpF9K
xiSvS4PEI9xChQiUei4rBgk0dmUuMvnOPfz1BeRilDaUBsRh65eJVw0D4tjCNBMsivEQC+WpWZyX
dBIP0Wi9U4Os7/LP9SmXQp9j8dFY8y/hO7jlk7lUmMYSa7UVNEzcCsKpnQ/LZimHI72K96rRt6/o
Uoq6qwDuEsGjEKrgVOsVG2044il7rvDciRY5bE/MBqJ0/R3wzVtPJIU3EneqDq643u2/LWem5NzR
hXYWKH1/nPMhMIzsnFjqO5f5tbAxVBN6qAFYiOrjUlmF43FKEv7oYFB05UGxS+NQT+yIv38Of10q
uQr+Ko2VWSWU4OKhnxR9KvEmZ0ErONZy3PPytP9hl9Yt6XhM1XCeYK94Z5W8QAet0hyuysIBmoqw
YOvyVQuLpXPRv2SBa2JJGQkuZ6+rSdqYXEZ1C7CKDYAd0KBKRXqZZy8uiAep2vtuaqJDzjBpN1IW
LbPZ3Ll9lhHySmToa1nQVLp5hTbGenT10QpgGZrv/PZvfjGOux5+8AYZl18Mc8k4p72ZB7Soym06
Q2NWJpodv/9i3nzK0FUSd+Lqa4L9z09ZYTRsI1GVB4Si5NAHhkDNMADa3XtVyxsvLIwualvWIYLL
Lh4A8KGirJuShWiqBdPsMD5Mljrtfv9p3lqB4NCjR3Q4lHPvfv40S6rqU9QrGQoCMkIHm21qMkFT
EvP5dUiNf15Fc2ZEJsqWAZlLvTyh4vy1BlQXGWfH8GW9d21i3RZt+PT7T/XWywMX1YK8j5ANwP3P
n4rklhLSKS9PnpjOTTZr9NlD84WOa7VrI9P5NuZ1ekDFIt/Zqt5a81DEgqdj8/310EP/RI0FGYow
O/RzVyrPSwr0Nv2I0fie5fqdq731wHPsIQnA4GT5i1qQRFV0ZLXMAkIEsz059/btqKfv5jK+9Yxw
E22d7Uggc75YV90eNADhqVng9KP6MYnVaqegON6EAHVzGvT2+JhqTkW+Vzecm7nMTmZui33sIOxa
5hr0eJTWvtaQJJ2PDkPZnqird3ZS7c07b68MSejycPUuvvI2lKo5FgW7zWTQK+yaZ61zK2I/HHlI
bOepn+hO2HVMJ7OE5pqNAyxVYrVixrqLVXcYWQrjQBfJ3VgkBmzcmM/x+6fyjfvIYIsS1LYFeWaX
G2Ju8ztAja8CUude6kXrdmqNoirMGWLPz7+/1hu3Q3sVGpqrYpWq++c3QNdm4PtwNYIl1F5UGg5+
YarPwHbLwMZ/tkUz3L1TYbzx0uF50CwqGnasX/TNQ5vPUwvJPxhT81OcRIqnm0lOMxOfLyyN5rFp
x8ZnJDsE//yzahpyTjpSFIiXK6WhuGiOHFkFnNVO5KdgIWzzW2TJEdHB0UesyNE7T9tb3yQlG20A
XeP0e4kY5V0ZO2mAJVbUCLiANjCaLEV3OwKeCAqLg/TvP+Ebew4fkBpqNb1SLF68gUXYkvRZcWun
IULCbZC6CN698QWyuP+fSwGXJlOQgtG53ERr7EldUXJE09yqvAGzsMB06KyrpNe0d5avt55RwHI8
ngbLyi864AFdTLnQGQhk0T/0cfXdNJsHYNTtJomaWwfS2j8+HLGAYboAuqmjI798AbWJhrsulzJY
Vo63Cnu47VuSpi3rnQu9sTCjLVZNAfXRwMaxfp9/q0TrZUQGEnIEzCPzKZqg3y/NwzuPhODPuCjo
f7rGxTPhKmmWGuSjBqh6NRKRkvooTWne6T30OAJZiMiLAEeYY1v7K6PmsRpbG8UAA5veaTOaf72y
bcuEcQ9JS1tFaNqW9O08SETXHhfDiG91N5q8cga1HtZquS8gg0FkcmYPLVx4iE0iIBYVsISptQj2
UmZ4d4sLS10tNdLxqkK2e3VoQjzA6MfOaa5SHVYEqpRZ0p5jAKh7rZUzQHp0WoOIiw+D0g4BJMAH
YBTS4w5nu4JeER5q1EIBCqViU41keYd9bKIYzMbryhBg7YHJ7H5/e996NtnFbY3nRDCnuFg/CTFo
utni2UQr+NxM3TOonLMhlJ0oqm2ojH8muP3bFvFbbzg1N8Ue7ftf2ahmPJc4e+cyIMVq7Tmd8Igd
xq58p3j9teVn0CuFFkNtQpvOvfhYxpTFosVjHqAkva0h2yMccr412SOTqA9Mpb3e1L9EbfnOkUm8
fV26tNxRDteXBZlbF02BjZqeSDUvn+JJxSXUGsotanc13zI454zTmEW4hTPa+DkgHSZcJQt5ow8H
cHzYSUflIFQSIbTOKL0QdRgPXL3H+MEYy02/mtrAQR2iiUdmfOS7nYYff7AXHwjXvZ4Z0nMWs9lk
XWrA1FtqAIX8Pj7IkO8Iv7Wb1Fm9sRCidzi6+PcAVrxYdunWVmz9YyPM976Kt75xi2hNOIK0GYS2
3rK/rRGJKs2izIYyULvnGe/QZh5J+dK64Z0F/a216G/XuSyMhnoAA++SD+eYuQoZyuqBOcbb378u
b22IAI05rerM236hd6oNoTuN0ZYBQycA8sRTcBh/qrIYYa2c3zGdvXmxlflA4Yu77fIQYbUsRmXO
u6LEVsFJdNkPRr1DBoagsnsPc/3WQmDR9me3wLL3S/Gbw0C0UqQUQZu2t7q0cWuG81OVt9+7BPNW
bL1zJ7W3ngubUxIHWLxUMLZ/fi4WWefcX+q0dMpjrB66dnSWdjzo9OLByIF5M+qm82CdirtEDeNg
jlA2R1VSfnAiJ9u5lTE/2vgC0GiHkbG88zi9+euxINJGon9LCM/Pvx7IA6lkMWXO2NTfhRt9jPXh
PhcMk3//RL15HZsIBSpKa/XN/HwdOSgzTDKrCDiJ1nRzuudyVsg579t3NtK3ylaaU7jX1PVv9sV7
KEYXGTcCrKBDOB5LdG5jedtW5jF1tHNeNQ9F7r7TqHjrAf7bJS8L1nQxcoQ6ahEo47SP+uo7Ufco
XK1jWw3vnDnEW88vJ1KGZJSPnIUvzkXd6AANmOyCZUafv3Rx/YNgbcsbYMF5tG8jT6mVxCtYkbdJ
swqOFW2VZ7Uof9xBPhk0VZ7CxpFBryNbxtqC2SDu2vtocSvfKQFTgAZwdpM9Oh8dk1UTi7RENaHI
yV+ytbVZ6T/UUUfTToD8VKtf0qo/4Umstx0lX+IM46aYRbIFS6Df1ygv2ex1852n6a274K5OXVoc
PLeXA9g8r6UsESkHS70clm7RNp1qPJm1eUXP9KlL5vGdC771Fa/2DByDNs3Wy9tepwCHoWIWQdK4
CuKYnqy1hdOvL4Cs4t9fham/f2He+Ijs66vb2MWI88vp0rVmp+h0kQcZDK5t3M7WhzKmQpvTSj6l
YPECdEhff3/NV73GRRGK9oZMLpjNtO4u9/UIegqT2bwIrGJxvXjsrXsjJh68FLN5FVd5/rEGkwwb
DsnWq075NX6u6Alf6tAS7ZVxRDL7zi+lsTRc/lJrdcPhhzPTL2dfyGNLDdODpWMJ0bOJyNihShM7
GULcc4lS2PCkIJ8y860btTEoB5khvzb+dNX/25pOvLGGrb5w5Bgrjt24bBWqSCOsoksKfMupYDSy
ipsTkS+3CCxL84qvyz6QWm5e4bMAxJrTRNYUWAoQAuPhZhSjupvnUP0UGxTe5PeonyiLyasbeaSw
TZAyPrnmHl3u9xlFJkv2sDWsNN4iGDRIDi9X+nVjb6e4t30nutKrTNxnopzOvLY4UWBKLE+x07vH
XLU/q/2cvXMwf+vzMwHDg26vE/rLxhHttjSXneDz59l0H+PPJXl1Sp4STYl3v//S37oU6ku0BrjR
2TYudk2GTk1TrNuSW4nYrxtntfSQOAmcPo+efn+t1+/t8gFbu7+C0yvb4OXxv1SsvIfkyOFgMENn
0zEwxvGxGNo+rAmELu1cu9IqNbzpJn086boS3eqdQjadyOt9XZJw+PoL/Qdz9h6+AbIBy+D/oAR+
xZxVI32z768oiMPL//5fNJ7XH/iT3uCqf/BY2rybPwHOXOsPC+kteyZ2O4ap62TzL8CZ+MNkJOOs
sx965a+P2V8ZNuofwlqRaTS1UW2sP/VPAGeXJyYaMAgVWMUEFZDOIrYe//92PJiLrhtKO3GOalNM
V0oqa3/M9Oxu4gT/UpTDchjDzsBoitQaQescZichivYz5jMJJ8eWyo0W2SotsHoebgBBhB+zBTrL
VZNM07e4S9LoUDWiQZuOsFvxGiyPu14L3W045fbH2ezGWzYtTBbtXOT4IjggvQzDbF4PTe98jKeK
oEqSFZxi0zEkmf2yIuu4AzwUu0ZyGMwh36axaHrqAdfkzF8I64VCJf9eAlWM0GScUlLm2Xsb4y5D
T7r4PejkH51YinOkDB8ywLFgSkm1/LyEonk2CH58mqKm8PRZxj8UIYBQupHZNJt2sm9qa3Ahts1C
AmqJpg+LDRkXgaMx/7ALRbmtynQcNvaAhpS5XXiwGE9amwjxY7IZKwEOP6ahQrdy0fCIsis9c0ak
gWOFcmsOYfxZYyOZPOEUzl6iNbE3bmHl97MWx2eATwez6hFzJqAU95RGzhEB1rBXK2Y3/lIUWLri
CIL6Usa5vZnnGI97hcFxoUMJpMonOMh9mTV1wgrstIjj43zor8D4dJ4eZs2xD7N0VZFaC4L/ysKQ
MblXa5IYB2NIRBvVrZ0TcHAXbhNDnLvBLhB6kesVZBDggciFTue5CSdBz6Dbfd/kY3fUbEfxKn3i
5rg5XhylLvOzZiOO3DjRkjI6navei0x7+MQxfd7Ay+6cKy2u0DNjIEDXGEa2e2RiH3Z+VOAjyimy
zkiGWy+Zkob8OKtusNlMMeLUBE9plzKH3ljxFN04Xf1D8qf0FKZLk/hMFKofY5QB/xckdoy4o5fu
W9lCjQrIOMw/hnTPDwRyNluyJlMImqU1PNfwWm7o+A5+VZfmDgsFPa5UNGKHeQ5u3pRo43npZJR+
xCcdTgMGNCep8q22kJi2t7UhuWNgGd8Uujtr+Qvfrj4a0IfbhHtLkF2MMIbIx7lKTqplF+EpwsEK
4h/TwurV+jyaIwGLs6Y/Rg7XCGXjp/lyb0iCU8aS2CSv0zQO+SHY2J1Shfg/eUO9gdHicQbJvZNF
VvB644AhfNYjjXjcYKvHG+ka1VaqdeE1nRbu0jgDC253xIhOLqVEJKCZZ9qV3rl4zFUUvFNl3IGC
QXmtmtdLbYTerLbqlsJ+Dqyp4b73E1zvzWDMoV86LU8gDH/1pKyBFL6UvfAEpJUdUejdUS9apE90
9A5icsfrXiyJPzYFkaNm33ebqliaK0s2/VFP++Ju1kqjJKvdMvdWWnZ3iitvl5gXM6vSH2DIH8lw
3li5k5HAUhl+alkxEXqpfFB6PT+RWWh7siS9PZlM7b41MlYtpwCv5UqDKHUQCF6Y6fEmHSPHG3Sj
Aw+R3Qij/Ogabe5FCy+2Uokg7aI7yyrjbcHBxgsbtFppog7mBnygE7SLRbZGZq13uxofmGLEvjrM
7sGujGWLDXrYO4SH3FmrVIflKdvOBq4MGwUc0xIXRFhkyP4DjFd120zpdD0X5vIkcsNA0I3rLM6Q
VU4MmI428OQHxCz9VT1aOcLmSLKmQJlirUzMUPmmkjkAozKLljOGbu5cGaU3C7Ts71kEX6yi+RoQ
DJVej5oCByOS0bQL9QXEc7naX4mg9XAaNcCEh2Rvt4VzlbX6My2FGY1dMuwm5vgbYA64OOUAHkBw
U3DzxxAvF1FC/Ity7rYuUl5UGFrut4TgFe65GOi0JSiWSbNQyuvEjOU5lc74Mqgmh5gyW+DI6epW
xXxFTW/3O2D5xSdgcg65AxFBuxFf/6fUMXe62SsnM5vKswbG3p/R/z/orp7/kLPRfba1yLi3m6m8
bZo42s5ao+7y2ug/DEvnHFLVkGAeAFNuEUdglka70t8nhqiOTizFs5A80hR84/WkN3Q9tFoGEzb3
s5Rm5uE/6nmrxvk+0grL4SSqJSccKIDVYO1dSzMPAzU2U29IZebjnmbJzKOz5so0gB2ckBDe284m
GxwbbLCIfJF2kC7DLl6Ac9TxroD4ecI3D9oW82RMKK8pv0DvSrLNogzJtT5kMpB6iMNs0aavRddn
HjmmywP2PN2DgGC3kFwQrG7sRj420ahfL3E4Xi8oBqNNbqnrdK6J70yr1+5JPNZ3S8X8dMbzPXsQ
geOnuqnljVjWMCZZYfVgYWoCdvTpOc6a/EHEBsHpvaVN23EUmYeGZcE10HdHs+1uO7ye6So11rru
k9pYK5tsRg+XqZ9mJaLvVOFYS54g4YQMYLrK6tmJMhV01FLFg74pRV9se81q/FkAyd7W6rS8ON1g
bbHoQjFsE5ZghuCwB9p2DDdRPPf7US0gNpNNiiM62vKQhvgDZe73NPJuxQoCBYNx7COl9hur/VN1
8J/6+L36GCAth+N/Xx9fPZfyWf5UIf/rR/6qkI0/UCGzVDGRoHWir03qv0IeVR1WGUoympGORq+S
AvWvKpke01/YXwBpHMtQr+iM+FZhxD+pimEI/3y0pype5/uMQWmZI0m47Dc0YefkaTRZV4VeO5rH
IFbD1aeNvBxeL5Uapx5Y/BCoJ7klVXhCZM8W3GKDAfy4dDyV97T0VKU4SmkxCdkqy9QaYeDAmbG8
Xgycw+0mX+pTFtN4tnekARTGeOpUIB4TAF6b6sCQCv6YXYfv37oejEZ+y6LxtjMSWBGQomzPwGkG
Itx1551s8A3py3yvOAtm/6WLk9prXK1Umw3rYbrssUwD3S7xqaIDJrFEAWsvgU3ljdM3N6kSZveI
rt3PMl8E0EU2XY2XbEjrK6tsY3jAs/tJEZZRcYnZWrYT8qw15BAOA0ZlDO6iSpxz1pTW58a2R19x
q/FLMhjsOPBmdlU/mx79hnaFGusTe7uIFc60lVLvs6XID2mfx18sfGSfdCmg/WpV4n4DR/Itn+aT
A7g72QxZMR/4W/hh6C1xTsxEDXBzaFtMvcQZwTXi/yPc5rZPy5hA13lW/W6MBvLSattlpteTv5Ub
oYUkVjOHgGjC4obgBvmRgNzwgER5xNJrz7eu1OcjG+MKFE4oXAGsK0lAWErywvNg3qbZMIjtUOnK
GX+/s59Mi3iZatKg8nblQ7zYlOBOX92wxdreMEWIP1BJ6B8Mc9CflCqXK+9KF+fKiHrfrSmXC1Bd
B5IDl6u8M+fBT3r8qJpewiBYV8NRCaedGIEt5LRK0ZuEzfJFoR2zc8AW7KHULAeDIN9v0IaxHEqt
vl+weJ16pamuKyXqgRUtynyeeuxkmrabBqNbU57++m+wrcYQf1BMvcZQl6iFzRbdDK5RtscUBe5Y
Hum/jnnl213YpO4OiCRcTM0Z1c0wMkxftuRca+q3/3Qc/l+AkcSereaef7+ies9tlSfl83+9fM//
675v/762/vnDf66ttkPoLRodxH2QEy2djtZfhHXxBwomGg2rzeRf/8ufK6sw/0C6u0pCBW/0K0X9
f1ZalmO6UeYaKrpO4eiA/YP+g/k6Cf57jwsJKCpXY5XpWaDvLjvmEDxwE6bJKjlhjd26cSZGryxh
jsSEYO2sUjd6j7rVuXVJch42elImpxHWjT/kseP4reg1EqkS8WTJeL6pLL28H6QVfqFPOt3UC/72
wB4XM6jbNTSDMZB5RYYWz3FGJ8EjSBtDdqfAi6aYgHN57ZDBdMq0iki0nN3o2C9NTiCBm0QoVGZw
EV7Wc7L0lyEtf6AoIVkBCIexyxRpnAnvmm6yODQ8pZoGZQuwTBzbkOURirIJj1vBaRsfhoneycB5
6AOxU2FNKD3Y954ErOPIMebgTgljkilvhs9qwS/lN0XYfecqa61jlK7mofkAr+LUTQJ3zcrnrbvG
JU1habVeZnWEryfKaAYJnUx7KxYyHxK+cPBv5nQDzZnaCOJD+LJQAHJ60kb5VC8AqLyQ3+zJoNB8
Kkc1u+MMQpzHlMTnsQ/Lh1o61bmT7TBfwYWPTIBOOh7jMLbR6xJuDyRL1ZpKhVRcO7dTxu/VWDBk
NqkWciJVRRJyGAQLdrsA7vmiRdTzRJQicpiWVtX8EAlU6WM2rXa2U8gNWZcHjpL1OdMa9wZEbxJf
p5BQA8n92w1keEE4SwhSj+PxOu5dfTfFA1k0iVlW95rWOLcKATonklZJXUKeFRSQg5gjtdrDisg4
EGonjljvsYj0dnXO2mZQ7hejmLeWnWpHQ44jkSlZb/gJineJer7o+Mya2IkyAY60FM3ntq/0p1qd
DULqlsa0PDMiEo32urOFMUAYtEMk5u1URzHtGMO919skup0IEwDJPbU0a81BfNFDGM0bnjxT97tY
GZ+dJXOgXmjudV1jstz1sxodiacqk4AcyG459OCOZjJIeoXYrTV4YNShFgh1csp4I0Hyd+hmMpPk
OwzSdzQgzew65ox9U7Noi43WWtZjqc0AFaSijpHH+VKhHUPAFnoES2sXsY9ArrkhXB9c2vQEuBFY
MYlvcT43A54jpXMphuLaEiHfj8LZmFiavhm3tM2dXcQgSO8JpWsV2jGcddVD3jRz8qTX0uWAwH/Q
svH4fLLDSCEUspWenoUfiBIarpKhk09xU5zIGo2uCX+nEkhNhbqBw2RRGcqR0EO79G09Vx+xYyU7
PHOQwpkzQI2Zs51q8Y+dUPNDs0Qj8Vw6jR83rj7INMZCVXd3APhjHw+GbkErROZNZl08frQsJikB
r7fyUEYi3BOrsLTQCwD3e1SftZ+keuODdop2SgdG6oXThJ4Hs5rgSBl6vfdnbLhXiqOmh6pXTX92
yzvQgNddKsMDrFLpuU41HVch0daeknxrdDHEpWra49JVQOqw0uRh6zXhsichLN1Tfmibue7skwRR
AIo88u1o3Dtdan7UWrw9ad/3G9pb1Xl01DvYovpmaHG8K9KF1G000QZgds1SYUW7sJSeTM3ySi1r
+Z2uy0mlVfu5abMxQJGS39Pqcs7pUEnkV0z0jVwON1rPSAv0Tr4Zk3jeG9ZySuCH7XNDXXEIMt/N
WqZtJoWf0jLwQ0mLyd3PnOUzyVCmx+TuvNTth27MQq/W48HLRNXum7CER2Ap6gfQFZDEaZ1AZam+
uqy2+zLRnG0C929XtV3qwZGTDJH1hiEvzst8GGC+F4l2NefkKPV29KUCX4MCJ05Q5cylr7uwJHMY
hU9j2owBGQPdI00IhLDWqOyjdvrRtxYhfDHkxq59jTnUwy8iM8GVT2FsHKzUKNKNwpj70BOShZul
MBifNUm9c90W7laNEGJf90RqEkyQe5Oi2Ld9DRgloefipwVpmB0dHZ4Ka7FPs6RJRPm6JOnWaZLu
zoU/89FFiQQGETUSp5z4RDe3+VpWpEJuFgIsPtV2Xuy0Hs1nmOjODvCJu68WEi7rMVSfIB5hjhzg
+VfIfE+loxM+2GBhLkTh3AKnKT9Ia1IgqEUfbbrZqqe5NCwiuVjEk4awXfupy7SjOaXRtZvB9NtE
JRCHvEt624OjDuOmwSNJWxXCidkZFS0xTZxECGZlKeIVMFGTTmZXobO3a0iPBJ3nfltH/aYBPPix
q1X5xBNXNtSyY32livbOCtPqlpRY9STwmvqrOc8i0jm1DBhccH08sDBGoBM/shmkoRza0E6/C2kU
33sahb4VC/Kthi4cTfZBaz6WK5naS0nn9C0z0R6ruB/uYlg/L5PTR9vabZzrJtS/KG7/I6H79Ylp
Li75uVQ9aZiPpWEqH3in8FyKbNgMGuvcMjfhY9Qa+0mkX0Kr/+bopGQsFd3AJWQ8KpL500w7D0VX
pfu23T43BabOQajELk7ZttX0+nsU2gNZvgoMeQB8waD3ZeVxOjO2pMJoN7m02m0mx+y21KwTaWHl
dbG0/XZtes0bWjEJiQBxCxxDQoQ8kewRbutCvvRp/DBXPqUU9UWyCG0zoowPbJK0fTNU9YZOJotr
ZtISYiTikAvRyg3xeWIbl2HyrGfZg6JblS9A232JdTsJOLPZ31utvesH7QeESeRyoAZdxf5MCqTq
NyahX1Om2kd3JoOkVntjY4vmcxUt6Azc/jgS5cfaWde07ZqM6e9Af3Sai4MY6oM5k3uVWtpjMs7Z
dc4zvyHTRNtxEoXVlnaxV6vpvh0Q3lTdRN4ETCFtWVMVBtPr43R54SRtMOzpq/vQmRhqk06RbcJC
zD66rGFrWmAu51IWO0ytxaZVnG9hpH/Smij8rDamOOMNRTjCia3ROp4r81uhF9ohWXq5rTkhX9Ul
MbV9o3+3ixF4kvYinayJmRDlmHFLOQYOfbSNNCBDJQ0is8EhWYOKxb6DFRb5MTEWO5Xq8ayXdnjT
htWx5UtHtbXHvnCKZ2l4+Hp5RDUn8mdwW36rpdpJ1OnjlNXWXcjMfL8yRHv6CWV11xOhwumcszl9
LtOKCINmS79WGknrHDJelyb7tdhstPJc2R1EhNG9QhP3g6jfoNEL7G6Keg5HeSajnKTNTnKSZ1JR
F1/aHMjIIqeHESxOrXXnTilhurGe8gfDmOxC8i8IV6YG7NeIdl5z08mB4ZiCZjIEFcO8LuH4XltF
U3qx1RJlYdPGULJiuYFwl/1LvPSfZto7zTTd4GD1u6Pfuf0e/Z//Lv9+4vvzZ/488aHb/8OwsCai
m0N+i2/nf458OBf+MK1XyzAjajSNNNr+6qZZf7wqbFbCvq0KbT0o/jVz1uiuuShvVrE+8hvV/Sdn
PjjYF901Bs6mZVMy061jkH0pWsrIzMjG3k1u8KOL1PVQlExMV6PMOkPoMoxbw2qQ0FS5So1AAg7V
62YcEsvLwqEap1ODkppTV7ZKD7sk68RdTO2cT0+mMyiZ6llZCymTOUIQLaU63nRw5V6glI0qQy9Z
4otutZhASb0n8ocREVFC5KhUrhFti7hJj0Vaaj9EVDJOZKN2vio6eXuTBXvYzoDOV6x+tP/t/M7E
gc0Ytlp8QmzUc5Yl1apJsijJGr0t2MjzujU3izAUpJLKV2eyYgwySkp327VPoKYSFqMlvZ4AoB3s
wey/jGmvbw21dolcL634rrUdIlfoLc03AyQjly4foTxbUfOJNw4CJ2crm7z2gT3FV02Y7dg9Iq/D
2Ps1GYfuUQ5WnJ5MmliAxmr7nMCNHOlqTdRKOaRoD6IwJSjRB+6AmBaJ2r1tgvf0+SbmT+FclRtF
dQFcEf8V3SNYQGYvK2QAyJni4ZAQwnOFDWH6hDNAYy5nTOory3nrWmiIOA+mhbbD2AEdDiBP/TS3
E2LwqEkRSjMlPyqyhIdFSDltpyJcnLOTjXYPx9XgkUjBEpKgPMVy8VNTyta3cnv+zGihsW74JMSA
6dlQTJwZOZEnak/EuEp+aKGk8Q+7zdGnMcAKZGL0uzESlm82sI/6KrZvm8WYiClnOObrhLHf0gZo
j3NlkGFZNNqtYrrjthwK6xga9qysZDvrZQ2c9CdemhN+nYXJ2r8S4SPYjhpQJ6W+Nl5D49V/Jcij
Bh/Jk3dNQo2dLTfCqL1iiMv6xmCTqQ4LZa6xnornCBabk7Ck9oU06CEyqyfxtkQrTN68ZgiDHE7u
3m0vgVYx7Rns+4Lia/Rtounrj3k72EjXK6myx7jYMlqVACtPTNOKWNMjWR1TkO2EKnMMfSkae4ad
ndtQjnP4XMr1wO4hPXbY6iQZW18PZRdfWWE5PusIj2FUyBE2Xl3SfZ0Y9puA3nRE8wozJGTBgFIB
LagGuMdOm8niGiGfdoHaFvaujJLkBi+aRtJuM7CBVm0ILpma0SZCtZ4TQq3RaRIQS9jmcL0sSd/4
usJhmlShXviIygfNU18zHNPXPEfrNduxBRptf4AFOp7yNQYSpEfvxxHOBp44A/JjahMbmSt2clKq
KgeW9houuRqhW79YMyd1DhtQf7ETHw1V3i1Tl8JL7ZVvymuUJa13ukMOqgfz1FVCLjsME0W3i/q5
+jSFlQoZcs3LXBYK770R1m2551+uEbjo4bqAlWi+Nxp3qg46FjiyqfNct/a5GuvjwU5p94iqbn9w
6ns04fFds8fK5X7IwH4GYwbGkNp3nnynVrQrIaUKASTVb41y5H0MDTLGt+mr66an+w4nOt0vk3CO
Ka15irBRmabrSSOl1WaGuaBZaLO946AwybWIZNuE76qCor2kvr4Y4hb6gDrsRE9SkeWm+lWFlGYr
HKJFt0pSA6s14kl7qBcj8VWRcyDtMiNKv7aNnT6nlD+PJJoPn6U6De2WwbvBu2ZMUPTSRWwLzVL+
L3vn0Vy30bbpvzI1e7gQG8BiNsBJPIc5ieIGRckicgYaDfz6uUC9npFIf1LZ67dcZavKIpE6PH0/
dxjOOtzCw8Iase8TSR93J/6CjVgWUnAROKZoMMvDsqpMAF0AQcg1tl2nwYd5Lmy5UZzIQ7MX9OsB
2mMrqGQjMaLrLDQyQzlhfkps7mhf1BWOhviJRcW9QfDwo5yWTzZDGP/XHseVwK908yC8yb1Zjwub
eIhmYpWS9gytoqtvqwXeAyAMTlO1mtRtFRHoVJTmKIOyc0vjYupqfH2HRWR7r62tp3ZQT7FS2A4O
HJXIWkqjAuqA1Af6ojJT40W55hEvs9HflhlMJoLn0Y7cGEpGHaWxXcwLfupkCbg0im3s9KIjwWUT
HBsvN75TF/9bUP2uoKJ9SNPwf8bSL3D/fPmajP23YfipSQkkuv7kf8oq4f8B41lAfHagXRn6jyFM
b3w9Cw2s5xCB41gUcH+VVeYfkP4hcPJjAOdoSX4sq1Dn0rek0Sh8RHb/iMr3kZm6WqSgSTawV+Du
zJ+JfL41Y6bZaM2BhtBrUseQnr06ClKPoueHt3P9HZz/X3juXaPlGPr/87//7komsl46pBSXHzRr
BSQce1EGVzIxXaauem6A0oMpSsbwn1+Ja9CLRQGLt956Jz+QE+NBI7a7yRtM7EjtjEb9qpfgMqJd
Hv/xhXAsMzGl4HL6BzGMhEnr193SHOY+f82L/JV+32vGf//NZRwPNRZf/MM3ogrCGcpRzQFln78F
72mDHo+SMFfpv3h1jFU4w3BFcY94L+WNG720MURuSMwiLFTpI+fm2vTOuyr7zUOJn6t5xjRaQnSu
KLLol0NW/fkjUcR5KxbcHJJpyiHvzbdzrIjknh/Z0r3Nr9/gRxUNF7PoZWGuxBFn5cz+OCI0EgSZ
m3Vz8Nve27h9ScSOB65Qa+mL7oHup5j9B8ZM1MWvL/w3g57Dz2oP+CZAeD+9RFfDIaN2O9BzqWnI
tRbMJy1/xNXO+s38Wl/Yjy2xtxeKepJVwdWh1L2T0ixjNs4pAaT4y5DjU47NvM1MPbr7Fw/0w1VY
sn58kx5CAqmNBVfxFbENnXqUJV3eqvt3r+6HK71bmaa8TGpZcaWkGOeNUNnLApxMBfq76fVRCLG2
74gI43SJB9eHQd/g9EVW1pgfkrK0j6Psy9fawg03mIap10uYdbhyEnKbQdrPjOESKhyDBfjqqjEq
E+S6fClVXR3B/LzNbPJlOTNVZVjMo3OyceU+p1fZneei98FeQYODYYwcskMBgy1SYuqtDXfzDmdE
+4XGKu1Kn3/tabm4N3NkeFZAUYduOU2z5xQnWRqdBEhRMK+0w998Xv3jiMWrw/OYJa5PTLz7bqrA
AXW8sm5K1ANmvWl0jsZrJ4HM+7XDRVxmvTH8joMLpltU6ytsXRCJarV2dZR0svBtrAly8/BtCbu6
wns2ScvwrXZdQ/p2o5u/zlDez2IOJBeN23PuaJZewDep26Bu+CtzEpVbPZ/MEL6Gc3BVW94QjWp+
yl2zPnNIGH2mwJ83U6kcGlsk/tQzMQ4TZMBN7irCf/p5BJPPK+VtZBvbZ8OA5c6YF9UWUUt1h9u9
fcSSe/raRux4xiC4d3zDb+bMrk+T18sspDuZ1JAsC/0LnUCq35770ZBbvJQRD53LodnVftxcxeZS
b0DtaeJJYO4sMMbCV0FrAbwL0gh2rc7wyaClb7Su0cJS5+noAWLRj1du6A4MochloeXQiU083tDE
EChjhxiuHqDiGtbRLmFSYlRRnwx9QNdWYsXv+aUGvR4da5xI56RiI3uOvbp4FFOOtVpvNZ9bUZqf
Ip4d1GMy6ACU9rhwTzIC8HMbfwgta2bdU8KmN6HBVn0khtU5eVpf3mhaOjxHvBpM6NvmSozZq27w
TcdMmJ+IE3lV/RTdDWKpz6Z1m0j6nlYCh7p81xWEtLHOcbwmb0eoW/wu7TN2twGUsEz3Mmb+UBLR
hSYtozqmMbaggQ3v7jK2Gv8qE3H1Kgj6ujQIxNqD9SOFNrXJ84K3JaDoY/tI3o53ngheWZ7yEtDc
k91kJ3NYtk187y14kxPblubPPkkJhIBP9YZcoQxeMpkICzEZaysnrUy9uaBb0vi0CSL5lEQNxxfT
kL2Hi2KeLoEATTonX2/55OFCfK+qvHw13aQ+8ozzFvN1jv661x7szPAfa4Qb9xZRjVmIIbKDuzvU
nRy3lkTiY69K/7yDco8i3OQTAJ3msH9NmkIB9v4a7H7hP/Ztx7Sz9UULJTAtFjW+tx+sZjULx7Y6
ecS3J5b70auyFx/h4s6vmEf4ZBokh/uy2PcyUrdT58unpVvyPcaqA8YGWmemu4xIuWW7ZKDVQQc7
B9qzyo0v2GT1f5oLc4uzxGxsisnpH6Q7NJ/jjP6VOxfsJ6rmZruR1rfQ7XSmwZNqdO74Ek4S589t
bFZHsJ5q26neDPMuezW9xD+PDGEduRHge1zmNxo9rWmTlCK5JAhGwbUs1lQAvtBoUQYg9SjCxOu8
jZP40V0mO6ICkkYl36qGBn6VCwkbNBHLuW2MT00/yz2dXaJv/JGBsExehQ93+toTfEQ7iSiC3ij2
9Ly+DWPnbpJe3VWteRhq+WVM5vRYVsLcjlEjTpQF7k0yMimNitvSjUJeyKHzt3HOPIeEFQUm3apP
dHOXE0bUO5CVldutmiEspxxCcJ5CNbOGgkHNqgj3tWhQnYyZf2VRYO9ajVmfj8W8kehIAqunh7h0
rG7lNMg9OD/pxzbPbZbZSwqccuXhU0MmMRkylhwMJKn0GzM7so5qZEThRRo9j36EgU1Bb0dilLEF
CmAalV7rXw3V6vKsdUWHhoQ1JyFy7sYQHVnPevHiOCyUXcf6Qct6ZVUQJmTSFd5AEqiiwLFG7wam
Q3duALcio1irztHvWnCIciS6PmMRM8d6IyYuzdm2O7ztSngyT18TnAgQalREEvSEKGCduO3S4spq
CHJIJpK0kh5mRt+uZ4ya5mNhNAymqU3GNCgNm0YsbyeN/GlTQjDevq26U5J+HnLP+KZPrFZyHSOO
vhiXeTRA03Boq0t6sqxxVFWBpg0OCXXOricZKcS+3gwd9AH7dgCZkYuoH1LFG1rcqNoo3e04PxON
NvKFiWnXuw7rN1HdyyaOQk9U1TFaxvKmH1l7tJjVY/KZ9ICHvHO/HndWhmtDXMmUDqepf/GNcThJ
zaE2r0cwyb44gD/IfZagXS79mL5hl15ZqSWfIEj0V7NKhosoWz4RszJ9IvLa23iIOSDdGc5h8dNl
W0FouGqg+1wX+We3pZ2ZWslrHa+21kP6wHx+7KQeH0zMDIEtyzYcdAsvkLk3sX+b4z2L+xdEFGNg
umx6q/r2TEuT4pHAjOoIVuw/6qVn3Ke60axWU9PcfF9kSU6iV8c3gFSDm0UukEGwb1chltdqPCCC
trt9lfiBaSTNFAy9n6GHKgoWs4wDb8sQyfwyNGI9P6toHPqQCdzVXKUru80sWxgSRWOh87TidtDJ
M0PAQU6V+dDTbDtOrVUeaVXpTVhDND1aRQ8CayDCLjZRqzAWO82TqUp0Zjo45oUo3Sm6bc0JdFPP
MyJo7FSCC02ZDw08IDhNekdbjisOJkbLtejd+ihegwU3Y1j/WQIABEf0W0P7LDDSGAqR5zagkjMh
S1Q3DrKKXrGuz96qpwyHbhiuSdsmvSSzCQsK6ZhnqIaTzt4Q2GjIkrWnf/ZyPR+AhYq7KbMUmR6G
oK7koGFDBnBneayKLN+kjf7F9sZDk1FiajPx7rSYk52JwmnDwiFvHPLqLwyr0rLN4Jb0om1oPMxT
0wrqjIy0sfBoVLY446k2esnh8BDcaeZEtKFqJ9fLeKJJrC5H9mg4FzExnJVtjlroF9ZyyXSNv8aF
iw1dbtBELFzlU2Zr2hmKF93buXHJ+mYLlm87pjrh5EgvYLJxJtg0PPAhR25aht7syP2vq9GPUlaf
vdPjOONjdboSFH8+bfQLQYdjrxeHlg0UTHqSFzhp6y79ZuoEehDp5YznBGqRhboi97v6xIR3ToNV
ximBKL87tKLG/PmMtd4PaAkGeivD+72O140JE/RYQg9daRBZOZ+6nDV1ctOXqhhvo5lt7tdv4MMp
maMJbmVcCbHnylV/9wJs6ZRwsYqDbCnCKnL32KDYjiu6TCcNSd13re7/KAr/6O+xXtB1VnMANJ4f
3MqqjgLHFvnqm0vc4RqrU2/SHuR0k3HMGbBoh4LAyUfQxLp+23YmEsfEHoDa2CVGoSGGKpwXAqTk
XpHX95vzibGeYn865XJ/ILsG7oyrrOm9SVY8kpjBip0fBkyjAkfr62CAixJOlv3UpiRyaJRKMNIS
c+d0vhPi3/xPnS9h+eNUgQEpR0Y+zbtPgu/SJDCCSA8+5+29o8X1qbGn3w39D4gFVwGowCwZD3RU
wO+OYWM6ykhUdXpACWoFAhNMnE7FELamT20tcgLB5oyCOckp9H495syP75ht2VrxH0zrPprJQ8yy
scubsHLppziCOl775xoN1WfAcufU15MzX/m0uh4re37M/bl91Rpn2g6zRPo11FWSrmsMlP22GD1r
Gw8NJZQND5Ca0z/P6qr/s42MaDjTIlzwviMu/8Wrf4dXYzHIIPkFXp1+xdbw5WcGwPcf+g9U7Zl/
4ALBOkMXH6MJuN3/jwGAGJ2kCzrm8GRxrviJAeD9ge0fRgMCCxMdIJm7+P8MAMJLMSNeoUsmDQkZ
/4D1/d5EE2QLIiJieNBCjOu+h1j/gOu2SkM9V/TGqWpsSXNMxmWqDp3D4ThK9Aq3pTqZibbKVmIp
ZR7Wx6qZk6bDLKZxXtxUVqaxIRF4LQmcDP4KZFIbZcQpNls6Sn5UMbfaqodF8MOb/hvs+90ybrIn
gEOv1i4sHNDf381mrx8n+JlLdyI9Q90aSaWFDqXJ+Sxd/ZIgMk6Dv74gm9HPCyWXxAB93afA9QVf
8x2+qqWF1WiIvk9C+Of14BLwVyDhEHts+eJWJzhbaw9GpzefIeT6rQpHW7r2wRcsPDsnXnuJkZty
iF4ktu0BgdNgB+aAqs+rUtfa1tXIIQfJ0j2tvWGhmVnVJzTg2MmDY4BhGXlET73tWsh3DlEpcAym
inetCaluiwWojG6480J0ad0HWetxKZ8jeLzt3GgttJ3IQMAiNE7igi9CQTn047jD4Gm+mEVq3neG
xSCYLLabzmL7n23Nx8t+aIzLzuPsHroxPfIthkIrcX29cz2xC6Iikti8NwyocEHq9jwbgWDtZy0h
DjgWE7ehSMtWUCzN5rMpJxKsRG22yZVKSu7ojTLPRp+oh65dE9w4aJrGvZklRo+HCR2JS2gqrrYT
7iyaJ9Maq+Q4dD3jL0YkBYREGNPt0lXmPREXpvqEUkxpz5Y58Oa+9xshFtAA7hqPqkqSH7IQGqZx
6aKR3C30Ue6O+FwQRrW0OpxqAqWS6wiesKBTXq2dV4SV6RrM4bwgS44ex5k6X44dP+5PBoeIFmNj
vNb41Xrf8pLS2eYrCJtW11Mysd0fbOj/5Zb3aI2hk1q8llQrOLsrZ2iXu3lBZA210zGNE4YCRXJc
1k/irnoCn6g3vh9JaSe/1cAT0mJAdkbe2XSRxKRWQnRGrQYopA643xBo15KUjalzNzMJCx9QIejw
MHU3tTThOkduvCmc1iBFclLzvRjMAVm4z3mkzMjuJPd3rF/ibHAu5jkWjxqKkMtJNsU1gazxC4J5
+IpaYXthCt3upYpz+amx9ExBGmTIJhNiBQnnxQuTbK1jsZMgx9VUwlFbp3b9Rw27xeHGTBcNJoh0
GTayc3m9U1qK7koflIN5jxNrSJfLsbUMAh1tL1ksTsq2Zn4FpeTbQWKxp9c5m8fmM38ss1fc/NRt
Wuoc6wWC27COGSO9WZljyGnRuJ/N9cujM25FoMHNE0GO8wDQIeHtn3kzTC6XNPFlnzf1FO16XWv6
px6pxi0VLBNBg/uhDqnZQCDISY87OSYCiwDNAGdcmYHTZZGp8N5w2sO4GiacW2STw7epR64CMJQt
2FL3wGFKZbwXOLMoYUbiZk/wX8zuPl8WTXvURndpzweEXd31jBo/2hWU5NMDJIvZf0htvcxvI5l1
B1VqXQsAaFlni1xB7mUueZeco1aalD4Bi/t+zIugB9Ud6IgXiqohYvY0LZ6R4dtAzpXGhyMVmXks
5Dophs7mt6jJYg3Fp8K8T0ekCiHdp0Q8qcIbzass8lkovNjI66+uNRmXifAoHr2i5JpaHmeK6N24
y55htE5xE5BBO/xp4UmRf+pYIYwkJLfO6a7qsqqQbKtYw4fELQjq3Zo5JmWQcfTs2Lcu33woOuMy
GxZLffLGqM2/OW5lQrG1Z9il21KXpnlVsv8sCCxHYjnPosr0CK/GNkPXzxLT4lxMqgWYtoZB6nOq
FpxS09i7rPAxenLkGK0Jv3cuTrtTaJT1+DDXs7YlujrZMDD60Brj5Mwq/GgDGI3ou0yxMDMsY3Y2
CU4AB9AOsRqTZq2WAh1zvNqh3BEVJJtmjiDRNvVZ03j6Y+80ZmiV+rMGvBEMFRRaFNRwIpJJeQfi
MOMvRR+53xSShwBPiOqK+LfzceraeZsXnbohSy1+dixZbUs2qQ1ln3VL0616Nuyk3JmVDsTiLqUT
6IPbXfsxIgC3yememOSMXqRNXDyYGTRUX++HHYYYHHulwvGV0F5iTKfmShZLee5wqt+Ok1vcsKw3
z5k/JnfSLq4nV1ewhOFF7NqZDD2dunMv0zq9i3tRPGCn3ce7bqiqcxSpYJ55uxwLzc93nsXZXJJN
gjjJBbFIpVXfs+k0T5VTNskmW/oK+aRef0qEWF8tOpPAEw6ceuGO6rIRygrwOSiJkHX7V/Tm3aYY
8UwwV7f1qTDNS/JsXXuT6E5FCuhMObDpO1MCQpb13ivaee1yWfXZGrS7ix3jJovqZq9D+t2QCdg8
ZXkH4qJMKc4q+kNyO5fueNkOdnTnN4nYa/2S7xwNHz3CfRYPly4hLrVkaE8s2PMBe8r5bNIMH6u5
fNrOfUe+7aqXa8c5OyRVL+5lKpc/db3ITr7nL6eu6vziNy3Zd0dp6hOIofzzdq7FH/7dMaqtS6hC
RUMA+dAAIUC+CfXJYhOyNWDQTIdhHTHLD7+ui941Sd+uunpwkSZgEPXzvh9rR0viJpPjH9uCVTTF
TboNGzQ53j/r+75dB0t6Mguo9lbWw8/ndpnUYux9eDk22DBrqt6xZleq+eyoiAXj1w/1rmX3drG1
5cvrxF/8g+GXwRzWYorAo1eA1NY1SpQ3foCWjv7215f6WMiCC2B7SS2uYzT1vpHexr7bEA5PKqaY
jctqdfhwsKgE/RrqU796KP7j663qU4NhogtioN41tfHtZ9oWpXNcVBI9ft+CqgS5ewg9kmqkT4n5
+83rfHf05nXycKvdJjJVPt77Yn0uY3vA2sg+drAGMWXSdIofFlR24EqBJAKF8VOhVkr+rIPjqn88
SGl+ObxnHWNR6M7vHrqu7FZXRS6O45iu4YIaGs2VlvfrV/txKnAVnO984jsck5PJz0O0iMwJdUcv
jvEAhjcjkN273m+dJv/uKhwoPXS/wBkf8BoxWAhhNJ7ljXkhUromJIb8i2Hi+DCLSMDj47nvh0ne
0hEl8ds5mlGX7vELYFDIeaIPDaXDuBwaJZffHOk+rl+s6axhPBZGaFz259dXpTKap0LYR2yTxJMx
QvNedEkpMuJnvK28VcQi+oUh8uvP9nGyYyMIZQbRMzENH2YE6TSpvjQEwOcjszuqWScH9HebJYMP
+utL/c0jMjigNlGDw99/v1i6RFtyqdI8qg4pLClT9Wnp6QoW9gr6ric4tY6aX1/0757vu2mH7vxN
wpXU08qCjWwcC9j8h6qEKVDoXrLnoPPbmf6Gov2AJjLVfdAJBxd813e9jzNtbTXqrCd0KHvfQ3Bc
on3FMrW4beTSXdYZ3B3IF5TJaqKuo98195eylSraAULaHC5qmnSxiXQX6x+qzqWi5+3lovldmMrH
hRcutIU0gxUJ1p/5bkOpUmdCdxwxwtF7W2Eapc3nbFVPBuTgrHopn7L+11/C+Dh31yAc6kqgSHhu
76kgcQFeErHHHTVPo9ZVnsX5AaXqgFGWwZaZNNE63rPUuGzHov0spQOb1Up9ddv2ZluQKD0u7Y4q
CVkj/mXJ5tc3+HfvZGVOwlOz+HZvOOYPeJDe4tAmPWZ9uXgU3bqTIQ6nQU0WWoVtXqv/Dsb5MDYh
Fa6zASiHIYq7zM9zvk37teifl6O0I8Lh9YxeztxWDFO18n1+/XR/dzFwI/zpyNdiO3h3MRgMPvEd
/nxUcIWvsyr3z/Xe45Tj6A2npF9f7MOn5snwQsXxAakvy9mKJv3wKstcM5o+0uejiBwOlnE6MLKY
iJwSf32h1eHnRwAfKizL5Vo8wGdkS39fGRW4ZSnRuBMVRJf01zpnuDHUvH7A5R+z9P7UZLCct3Zs
Q++YEppdReNaHVjyug3WrbpN0hycQJs4LNFjW5rPi0vbVtcEUBaol7XTycLjeN7mHI4nOjbXQ1X7
CP1+/SQfv8+aFAVvjH0N8uf7UiitZhqaZd8fUWh6m4lGyamkU72P9fkfV13CwSlQIKKih46c6t1Q
GGLdHKRKumOnC+sMHzien4AVf0sMW32yK/Vb/HDdvX5YGG22NaiSTH2aABCQ33+laikto+0c+ygI
LPpGaJA8YkTkP74BIsLtQXXapXAeaqXM32wA5vshYq8kTcia2A+ubQi8lH4ejHZBXx96SXY0DJCk
ZaNnHqqgPfZBIxZleLx7X4SR5/YGybnRX/oxDITK6uL0YA4zBAaizOdbfSxBEZd8xWtaEms5WIwd
f15cxlFXij7bj/z+a3eYtYrfhJry4EPDoTubY/Z442Q9rfV1eBUam8F+HjqjOcpubvrAFD2xIpMC
GusjeqanHOAI2kIr49XKmM7rBZ5OebfRjby8mUAbLjsxaHtlp+KanEFt2dduRU9VDtVC0ktr6ufA
0noV4t05+kFid805agmsNdyCuJZNjVs3B+glPU5eaoS2LJyxCDAjaFFnjm3qDGDfupzqF2vJVlZ1
QfTlEo6NURh/Tp2XA4prGfPFV80Khs5xnlzLWfFnV2uhcKGIBfT2Ox/HfjLQOBVV7cL/XVr3P8Wn
zCOQF79Y65q2Ya4lVeHMr6Dl6RTmRrxSW1Fp+flZ7GnqtkFlk1xDzinq8zxu5XDTw3kpN7BomN21
UTY5FgewODbdOBjtji6ous0J2jyPhajzW3rv/Z+K1u8Cwps5yzdcApFqdK2xQlFTwWdWesoP8ujO
izNxu3fYbdq0J83MPpe8TQmigQkDKZxDrnaIRbg8OAjI1bAkAOFeOQvsmKyI34hUJIIINVnVGe6J
o3an6pRLt/nCruXrdMvbICms3ryqJukMt0aqJf0mZ7gk15xX8cY0ZndqQlhz9pmUqGfzzThILVya
qsEDzFxzaJaYEVRV+MxAxphS99yWkYEjrdLwXB8Ubp+XdVeAaaFq63FywPPbxLnGB2Wk6a26e6Ny
umLvYSuSr+7pwrzU0o694a0OALNn9C2xAGpIBF24oyFcaz5hmKpIWV/mWr36wxJde4uEzfkGwTnF
yM1Yq07HzkznJY0SPLv6sYeX/X1aiZWppq9zZnKtzHupCM3qAOcJyzSQ3dMFZVdssf+GTxB2wmEU
tZ5YOV6Fw3s1+xUzt7J+/AI5ecL8ET4g0q61NUO89EvkWGshEdvUdl7tQq40shWJ7YDng4bgrIMy
dBD4t+3PFSMgYwJ25Z47Lv2IIMdCI9vVsCz6E/QapmnZaHQaitnmxdqRtK1d5ptxetNXLTdi6GAn
u6Yw+9tqMVr1PCrX0iRAj5Pnt15NQt6FowrjXmRZZYdjF6XzN0+jk7GFL27aN7PRgAInM7UxidHG
5Jbsx7QB0HwmwBWMFZtuDmxIe7DcTxTmOUaK+BrWNHGLVDZoOKMIrkLIEu5kx6LrQevnAlASeXu1
eEASkLyOpa4roDYQ8sEDIFtQBU3fd/z/9kl/2ydl1vyw039w5b5Iq+pbXw8vP0ml4Z7wU381Sv0/
OGZycKAduooXkOD85Y7lu3+s6hxdeG+90Lce6l+aHv8PEsvoq2NOuR7dXDbdvxql1h/47REHyanO
c3x+8z9qlJIX9vP+raPiRiHtgmFwg0T3vqsYLGgBJUlE+qnStTppxxAzQ22jjCoii95QzTbHc7sO
ZvwWup3SwJW2ohmsbwp37T4ol7SizzT3Fwqmkl9DZoajphbcZB8Nn+pqM/XGl9gz44cSD6QwjYXz
Sdr2cNHq8XC9kAAQ7dIap2s6spp7EU/8z1AKVKd7NLakxg5ZdXIztcArdW6KbrC+aJMdzSe6UcoD
YDGHc5lhI/dg5dHonvdLu+jhWIhphBtVWuOf2Vvz1uwx3xVYR/kZZLW5J3857+eN1ekWBG5r/AyJ
cqLXNMpSu8hRS661AGFdu5xve0fWRSlCCweFnLyFKH0wkhk2H/2vJezSDHjVFrgykTbS3glMq856
d0j2psr+LKjLt6mb4oKgtykGD8D6+8xM7+fcyq9FRgfzwF+xLmZ4mhiFKSs9DETwdRiQONZ2MLQX
tNsqwPGnnM7YLdgoKt/aEnjuw1L08E8AqGyd7cIx89bQC+dC+vSjjGF0jbPR91tO/YsfPS6l5941
rhPdd8Nsesg/B0vbYMfuFCfsAlmZ3S7KnuTUJWSomVi0oIHgHTQyaEdVHYVfF6ehwfMVZdeUrpVN
RG8Yw7LTMA4YGmtxk2zdVCy3bRXbqb6PYrozuYEJ4IDxYWAOE1reacFWyZtlEtrY/O28OYoOdl2a
TzipzSX+Edpy7xcu7tlIzPEPwTXKKx6JRRwrnKnxMNS3I3us0rbTUPh9v6c3Muv9WRI7eKCVWYHu
8gUTmi7my6EYdsjkwj3YDs22sS8XyINbpUew5yFDn4Fd33pJJHCFsyFi5vWU4e3VxYFdY8+eCH+A
xzz0XlAsmpUGvWNO22KJZNgpj7xgzb3PlbMpHfMsHrsLZ/ayYJkWdOj1pd0uOHk6+Z5MughZf7Wr
qEwfNC3BnAuX647L7GJUwQH6hM+GPi07WggRrufzHWh6f9Z2hFstos3O21LTzxoHj22cEc3jqv9F
MW30216Dy1raKj3aQEm7yavTk4bi80xvmZqmKMwHfzafq8GzwxYT/SBLBg0yaCZ3deUOuGRZVnZG
Vfalo5o4dqkdn1o6E5tlKfVt18x72mcY2TTjzl4a3o+G1U6pVWHcar4GQzFLQvTi35ylfUKHkEGL
wA5atPqCLKXDYAy94rSB/BSfV44iSisl6KwlQXZItX713zQC2gxRaHeZcc3dZ6fMmTXsiAD6zyB4
jN+alRrtJRYvh8l2aBuJbIMNsoqX4VC3LXxR5661itscVfliRNSlox5m5nKfigG9dO8fcbO67f30
jIOKufH0eRtnvP0Ywa8n7Ye+bfferC4yU8Pf2hnVrmuKYSujhRyTyH4UEIKDqSr7jVEW3wpb7wKz
mgRKlgQnZwxOvNYwQn8QfdDSVlZz6l3YDTTzrMRWXvd8IyD+y77RyQDYlqqraI7KibHVkJzD9xB7
6p4+1BJ/PHhd8RVzUGgCpu4fBcvlcezomKnIyi4Tf8gOcKSSDbPCuImT9gbf5y0OUhtvqatL5dnZ
S7GuZvkYufhxYfJyahrTvk3NVhzrZjXDMTJKGgK3oAcnT7rWU86Y6jUZSuMQuz1HlLQtAmIjCEak
cXmEtYbfAcv6zWBNTRAvwj/LM/c2Et0NbXB9xzLhnepMm/A9xxXwE+vKuDGlG8mgsYbsMjNHGbZD
Pux1PtROr9uRjpaT3OIc4F90SofdoOF4l5Wf+9g0Q1pyEJ3LXYWbdkDOrUuke3/bi4rVZfWQGPVs
l1m5xe3V9ktip5e5lbA7EP6AOgFvrGy4L6D+78xyie6mfLpoEHFj+jRkD9BaHpzYB5/X5Eu/+E8i
Ns/M0RGM47EhnhGDc6iJu37qzmr013jaRrzF1r40jbjdT173tXJmZ+t0S38gg+q+IaGdAZzTyShJ
OTg57YQjj2Hdjn6DF1HyKHKTlIMC41KSzAJW2i1KlWfbn2i92k6Yr2tpo3nXXm/te0yvbxWfbvUV
IYqVZdR7zqPYeCocT2BC6TLVNMwjTFdewAbeyjY/cjoedo5szVMnMi9oZYO1ElnASZjPhbeHfL2c
JfVwIKHoKNMo3w+FnoaxrzW0KrUdm1kR4vgBRxaKLsdCe7S/2hrfa3XN9S7nRbdvktLWOAl37UUx
IuOYJ1lvm8xJvjRK2OFkjucqxcW2mooHw5aHKqovfLmwsWY+6phuuJPgoNAty69SVQffm58yNy+2
kueBOFDnIblT6UnO1hlkE2NnJ5FnEtXgLJfKIV0MtnfbbEZOYScndeIdVlNz0I+x9Tmqx+YW9CjH
P4TmbLP1clYmWVrVNakb0JDrLhHhwL7WpIQGzjXW9mTTNrtqbMZzM64iWB4mh5dRT4PI0h4SbVq3
5yne1MLHms25nBDyPkLWqK70uJFqY2MWAFl4XrLxtsIK4czv8+WopPWAKUnzhcxPLT5EJdyIneNO
Vo/JiEEIrG3Xszywz5pbOfhfS01eG4kLMdyehtveqa6nSiO3JNduyjkZr9Dqfuo7q9uNStTHdhGf
vJ5YNRzbjqYG+QXgUm7MqmifWV7twwRF/IWwj24LD6oj5kAzt1ktk73AujLwvCYPy5wQhbSXn/2Y
bMFK97SLGLbSI7quKSAczXsV5GJvRtr4gZNYxUvtubi0TBpEktH7/H+5O7PluJFsy34R0uCYYdbW
DzEPDE4iKVIvMJKSMDhGd8xffxeYWZUlVbayq+32Q/dLWclSIhgBwN3POXuvDbYOrkhQ+E++T3yC
EXlQUfwkA2FYmugpaJ5CwUKeb+N2G4EEDztuWLayR1vuGubfvNf8ejEVzLbIvsKKeJtMw78Pw7L/
bOt+azKJv8YJBs6QODe0KrVAJJ6SFUxRrJxVbar8jMK7OgAjdDgjlPFFgEVsJZQYw/XrLQOO6h5x
BDRCvETdndHYwWH2veYztI1D1U7jQ48VbCfCNEzhaMr0CojG10YG76zOORZFL9xQw3WPaSbgUdvh
vg6xubiIvLa4ftggKK5BOdj9OnEt2i9GlVkoLQhtrSy3ucqEngEC6ukKynZ4GCoxbvykec/jQqy7
MU/FbV334hMLpEYw1tnQCL12SPK9U8boKgpHsnlpo3xpGF2eY8A5u5yz4NNiZJlwNuTBouWfbPJX
bPFGQ8V7c1JQnM3cxiSYJ9hZaJtv6XvJnYWLDK0TRhTsgKQ4zMYq7RDy29ZNRKFi896WqiMKh1F9
wckDH1Xaxwl4HEFf8qzQSOxk0cefQoODqLhw0FqT1POkwvmIsv4rYyxv39RkkhbMy7BFxYs4hSSR
eXRDoLbmnrt2cjOQdiGV7CavqowMku5L3zrkwMx1tyrryN64Od4eRb7A2pDVIXHKejVFdbtC55Yf
bIQGq0RlGB/MAeqmfZ0lmY1MyFP7vPaCc5oUyAhb5k3SD5GZJbu8b9Q9iWPO3hRv0L45MKGH2GZF
9EjXqVjljbWJYL9g4KvJEgYQGvRZxPB2KrfA0g9zyXNX4EpbMVgT68ooa+ze/QZ9UcNykrorBJRA
jBpk47NMvgxkMXgc8HdmwFdchPUj3t5qC0UBZVBanAcPw1ImAkR0I0dDtG1OjtOwZk/Mq2NFzkmI
uGTvxfZ7XnaPqGrcG8Ob79qCOsVq3Wk3ooNcq7rd1A7AUbt21cVQY79Ts2E9MXTTqzYvisex1TRQ
LPAfsPgchlPA1+0KbUjCQHVlZRWdtWJ+xO+IIgqd1jqtovSrVABFRn/G1sVTPubeajIJJvbGIHr0
RX6F08q5Vg7mz66BROxaGhCfhjM0V+vEIG1hdHqkjjohELArHpWTpZscb+YOg2+4dUhR5dAduKvJ
yPILgSBLMqwsdqHpNtdeEL2ZWpFvK0csAYMc75oJKWSoPbEQPTn1CHwbZp1dl+PUXVsmBPOqGdaz
VkvPxJyuMQ2d4IObWJEqe+33PQP40B+umPp+rag3cmG8WMH8Gtce+Ti6u6LMBX6YSZQ18zEKZL9F
lbbPiWAKSHcSHvR6obP60Eh126T2uRwTlscEzCHiBXNX15S3iOnsvd32e6tyBd2q7BwgtuCcYOLy
DB5dPyGUL51fR797j7r4raokz09l33XtBZLlY0UwCGDMMv5iGFaPkjY/tgC61rHtX8HnfA5qfHJh
WO0lmyOkxqC+jiIQVUZpiivHqe+ygdOZoTNz3XazTlcyiE3sbRUg3tm47bymBzVbjDNbQhbxcdkJ
GqQHxH1MQaCPiif4y6SSb7bEs2FHwwTI0dJqNTi4XVeJW7zkVUY0NLCt4potC0rrWNk5B7wKX6SV
qPJuQFZ56I2xWWyocp+lRkzgjwUTal3hgXzB34FMj+YnRU7dPA5dkNPohOXFqVoeQz8p905YOrt6
muMzjmBvp8ruYVIziuoqvAmDLrstU0PAHNTdeU5S71TbgTpY+SRPXRVNO3dw1INT4nki/ueVGj67
yNKhwI/NG4xA/brXVXxl07FbdyjYL7SMnW0zk19uVxi9s55qqfcdY9cy1dgATOYAUKL5KgFhxegG
MQEzryPoicyDDjgXirob7EXIi+vM3lpJHt14yISJA5zegoI2fGH5iHZzvjEOtZeyI31EZdORPHBk
i0N/jfyOY4VOEKLK8AvWoXTTBD66zyJBlFu7JccgNROMxo/XISZD3p3YGznuUfXviB8kyHm0cIfR
w0wqsMOcG49+UaLUzot+t8QJblnNJ269W25zbN0ZzhuKqeC+ywxnTylMx8Ues5dehiEnaceUF7Zq
dqGBagF+bHiGpBqsarLYNxZY3VUni7VBy3uJ92pw9moTb0meHrR0ltyGOiOCWpvnVjbtSVf292bu
LhMyLGInkmdrTq8Fq/uWMLbiNlPcxkp6jJ6ltRV5PqwNVGUrrwLPJdFznwdSHFILcaOsikvs+U9V
EOo95+tmPdY8/nocd6Uw9/FAv4P8AmoZksZ3nWSiYCDcRPjYfpurGiVhe5no368U4VBzbKMJbqiz
LLtcF0ZRroY24ePltGtsvUZbzKrsmtGBhE/04LJ2ObRMp4E3dd0t8aZm17JGEgu/4QD41vvZW+q7
x8BpbkeU18dUT9aGEvLMEv1EVGe5c7pxS6nFk0yXf932GvubSM3rWXTWPhgH2igzmy49X1Tb4h6D
7DEA1Tz3nlw3QDdDCp25/Nw4Bm2TYRiCnUWPmbXz3priiU/Ut1vpDVRewYBjiXKwBas9w4rr6Ahs
RJQOp4QYu5XrlG9lW4V3WWxwIwN33wyAR1Eczo/EoNz6c9iSYiusja3NXatdf+UoRaIXB2Xjg4K3
osDJHooo+RaI5lrP1lkG3itcR7rir60o9l0bfAfVXlPmplhdxZytdQFLPivXIquzDcau73Wr5Do3
5JekMZJts7T+F5extCr4yXNAr2TOQmLjINWtEtCsK1YtgnWzW5WwQK81GOURma/j35ARZYEATsDF
jXGO3r+nKO+bSfGX2MkRvBfoP+tmW+qxVJuk9Znre2fwWGf89WvCt5jdgIzvdnRxUODknbuSs/DJ
ORNT02Hcn9XewQtLwpXnqGOaNwxAWNVgf2mh3IKjcYP3c+RE3j4YmBz1rghQe+6UIQcFYzKh1eZR
I0wsH1aHh94JRWOtSr4jF0K2wpk1mVcdFpg3LUdftlje4emq7vdx8393v37/rbp+Lb7p/7H84HcO
F6xzSfs/f/yj/v3P8bdq6X7/8AeIBWk73XXf1HT/TXc5//R38+DyN/93/+MfmZZ/24lneP7rTjx+
VIayPzbiP/7Rn414rKEwRq0/kij+yKgI3d9gOGNJWixH/2Rqmb951ILe0hdHk8kz/c/+u+39hkbT
Mn3+ghkghfjP4il+jrVmbA7K0TEXvRuiTEyyP06wlfDgfTQxrgjX5JSJK9rrWzIMImta1Z5DQENc
+JgY3Oo+rafyeumYr5oAM8C6DLtsK/zU/JS1cp62yhrlTQK5HUiSgUo79NV+JNTihMdf0GZMyTB0
A7Q5qyoKHTYBzCcQVNzk3JOIcGXGjApWlZVf4dSVt0vM274ww2Qf+ZG/dwg0bNdxYUQb3UlvP6eJ
OjIa8C6dXpZauFMGinJm36tiCKyzP5LOIwsPXOCIZJ7osw5zu7GcHMoquq8aB2cwGRLjsTPfpJyr
V9oCwWWWdmSvaK+2HCCZKg+MAnbkHXo3QzQGzKM9OKikulXmcbFGH8iLM96HSjXf/ToNb+ysDI6A
aSDcjgSXrZOiFrdpUndwMWx174C+O2XSNxlAy2yCYJlZ3zKzokJ18TDQbbSpo7CGXMdmGZ91PRvv
pYcxdIXlnRHq3JTHKW2e+3Bs7rNhsUskQf+Y1G37KQzbkRLDmNXb4kN5ZlWQIR1gzpweTm4Y+mWI
BCooEakhNVhZZqqIUAilz8ldQPlmxt6tLWf4DEOcXaUr8zfC1dpDOKftTkA/fZ/NLr9KTXVjzLF7
kqqtif6Y53Md5VBhXV/v/DHQIKCpO2BLTJ2luJ+xfKbqpaHGt9Tx00g031nazs8TEZmAdwqPDzqG
bLIi6q5E6hqHzDWTPf7w/AGFafJZtmkiqRlr2P/TWFXbwnMzQSMAfRE9M1tiPODZo2XtdJfOCWe9
7irThgYkcIgl8yKKjWnSrwddJhvinwCQ4MoZvpN2QHJfPS4irDJnkF1nSXmb4qdZOZQDV7GCfOvO
E0gCFRSXGhrPlcUIalrLYqAvRV/Nhx1f1fETcB/LA+4RO2/NODgwRbEq7P2cSghSULHkpTPz5tDH
OSwoQSYWbngXR1OyHgIDVndBYU8qkqfc6zQP+/fSt+XRVLSPhoym/abX3UStnozneabby6y4LR/D
KouejcKLjROd+SbbQnkUX+kD6m6VmAPxpWThRdt+kuKlDfOIQ13ZdHeiK5svCnnEOqwH8Spp9nBk
ndrpXuNOCA4Oh3PiaoOwwpQzaQJa7dFZgvuwy3aRsJ/s3oTFi0ftjQM/gE7BKDle+2rOD2S9Bl8y
CMwX6ZKvcURmET6Qr1rRu2PYxEyMXmW+qWG27oKkLF4RA4SPtP7fDHOoNx4pNlBuvOmbWytGXFqI
qtxGQVQ+ZzFHjHWuMnZWemLqpfUp8VbMrepjEFXthsYWM7fWdcMrYmGpWVt1h/gvdFZNyvvMLtzA
RFDONkCpAvTBh6nQk1E5OnUKATTkGDS0zUlWwj+5psYHZhPWy/fgZPuq61jRaIX4ayOszX2fO+m9
1RvuvkpNORK+0UYOcCxlvlgygYWz0H17yyTKMSyLNNvDqMmPxCA21zTDUMQQr93eqyB1+GL9IvsM
lIWcVyjuNpNBgteOUTzSdg6Mof7Sw7NVTKICfYBOEcM9MSd942hlvFeuT7Nfi6y/nZqJ1Ag5A7qo
jCyENOM4/c4IkuYLrIzhW5Mnw8vklOJi6xTEC8SwgGRZd1LROiQY+CaZwgi4qlUvQQRDhMXHACQl
zPpTLElNDmQ40OglVJA8AEJCyBl0lsDBfokeDJcQwj4mjjBbggkr4TT70SweiFzo9loRX5iiVqR3
oXCZ4GQi4DBsQcAjH5+/zriMim0viEKsllBE8yMfES1tdjOa8G26s5M3HiGKDpEB6ef5I11xIkpH
ms/wYOlz06ixRds+d0yCs5tojAwgXZl3IzJcXrPI1b1X5Oa9J/z4lmVxRD8u52MfD0+cU8v7BsXh
fSd0ZBGvm0VPA3r6Zxu1DI0iv+REiwrpKQDBwyI18FoFQNNuTShJt/hom52OCzDTqXQQeDFMocam
Bcp8jWWb3W49FlN63RHZQTPSbzIOvEVBZrPJr+tJYyc0EPqVRrvFqx7SdBJKe1eYCL0bxnPWxXXL
iCpubqNPTqC8Y0b04wNnuQCdD3nK3+yZ2DNISySgtUsY2mQSixZWNQFpPOPHmA/+TmMe/sik3D2+
5I5cU8LV5EfO2twY8yEW+cRxcaKlwtx227RRh09rSWnrlsA2qyWniGwiWiBDdtvkHcavhnC36CPn
DRN+dD/M0TK1sBiqVHG1Lmdi4aYlIC7G27dfvs8HtcTHhdmsDiwX/j5rlAFQvCdnzrIGRuvhnHwl
iTs9pCPV2Uo1I3Zo12yn07RE1llSDUQDhOGxFwTaEUVQ3PZLyB3vE3l3iBoVDaolBU9/JOLNH+F4
Hzl5nU1k3mCbBSPUJUgP16HYJku4Xtbkzg2VZnSZ/XA8ajZGxDxkzZfk8plLQJ/QS1afq93mOV0C
/Ezg1Ue9hPqhOSXfL/3I+kvUkvvn5La7JgHM36V9Jm+ZhAxf6iUqULbCe7GW+ECLpKxtmyyLJmYU
8gXnYQB0pZRlVZ9KEghxfuK+65MgqXFZLRmFJtEnCYOFIXxJlxBDBJi6ufWUTvXB9vGtrmbPky4W
U9GYV5ZHP4fm8UcwIhmnpCSy8fPNV4g/PylSFMfQDqadvUQrAmH31wlWwWidkbw4C4sZaKtyXRy6
1kie3dp2SdXweMXXmDxNd6sGJtu05QlCnr2LELCBmXPGgM26E4+spZgK9SVW6FcSfl449o6fGduW
71k/Wk8hmoAHsivqEzbah6b0p21hN8WR+NZ67XeAaPxqvPfymaDy7ruTJq9Z67343dC9YbfiBOEo
dBra7V780MgOnh/kt43It4MD45ubgxwNmOqxRBT43Z7dvly1dSOpY+nG447rUmgo1dTe2e4gpzWt
fFpTtWIo8RB4ndoWszXfJTPnHeZPg1sY/3fqokv6ripdfW9/rIQ+qps/y6T/t6on82+rp1RDmqx/
LqCWf/ePAgp4g4mgHZSJC7rhQ670jxpK/IZUECix9WcJZfN//5As2eZvMB3wZbF4hiSZusF/Iln6
WW8cuotSyRGQThbnlc9v+K/6885sg6Ttkxj1ZTlfzEJNeztbvPhOTn7dxowT9Q74rHmvhYr+BuiC
NOtHtRQqbpfcC0Canm2HlG0/XR0hT+PKWssjtO354sdy3hmWpqsxF1iV3DYxD23jcr6FdLDgm5pJ
OgTxWSU+2mp65L0CHId/20LvJD2CtkOxxKXLCOMIhzC5IQsAmXot1WyxWKbdfI5Sf+roatTWlj12
voR+bB74LWlPTYkzymuI//03PwvQGDdpOu9UYodwEqjN7jHV+2uVReM+GAaknD6/b22TsuXjSzhV
7sj35pVjecWv6eJf4Yz/aoflvMPbJ2HSIeacsHrSqkscpiGHfCJ+SX0SoM6MU0B/nOwwBDr+1x40
vrcbQp+5hNlHcbotunhUNAkTw31JzBBWGUCBEO5/1drIplcD04jhtrH8joTBOBhi8qmMJNhVchLx
/RCbHup8WTTOKiWMjT6YRnGwMRLTdo9sYPxN4rhC/3lUsi73HIPxIhiSGQ3RbPScIqGBAYghmO0A
+KAn4jRfFV5EYQ+3I34r5im+4WBXbStzibLR/tTUKyb9wfNMcJVBP2sgdrps/H3nzZuWPy26afXu
Zk1/7dPw12tpxvYhR53OBAUC6hCBhVScxYIw3xMnZV44/SLCDXe16gNyuvEpnRX93MZp6tsGZzwP
TO2bMF7Tam1w+rvrvWl8pHKRz2YyyZWfl8naBlqwnG7cb0Y5Zvf4H0CGUoBuytAId4Q4pMc2CO2X
zGXoPaAv3aS+Ko9pWLYnJwLPJER+T7SsvOtHTMy4FGN/DWdtb4jBo3VbUiNMDz5tKhIXwlC/uZWI
7guZ+JuR+eZRxh5HwqEtzrid9FaDJFgDs8iZZRD53hgiIcmvCt+9mMxuxnkqu+0BIbzGnA4E7dvJ
vCYbkdZemwnjVGKFpmgwS/NOaRRGQwNr27byh8yorRcq5TqmCJbvqeWJJy/gpXIANpFsHjnHmKEk
8qKxOCp7+BZFOnid0X1sw7oi1oo1oX1FnLEl1IMzTjI41IDDuXcS9yaHr7ez+xlemgdM96CQER9B
J3iXqPLFy2h1wbXgpEnDfWiPYSbzI8QiyndYFw8aNsqNPbjVQdqFfR7Af1zDHECRGNfuHVwzcQ0W
NHtuyiR74Y7m+3Hs7HNXUY6RC15fy9nJ3+u4ZZuPVOyfUmXPtyRf9YyksMbBFuBkHtWBTz+4RSZs
GAieDHtML8Gk7LtwNj0Iw7wSh3xUHK3rIE1P9CXsm45x8lWv7PQzAvixX9nTYF5q2aeXlgT1h052
w6c09eoTfItya4xp+ELNnD2p3mvPrVuFxhaZUXYyZ8rnnSiS4ha3aXSsIaHu29mMcVSEwU41vfvd
7eE6YgeZPo+ZJTdxaLDT18WxdaML0IhyA1jV5FS1iA/L+GiF9XmiUEKQYjNWcLqvXTkg8JZlfjDx
Ka1Kl1mXELrfq7T0d1Ziknk6es1bHbnd2WyGdJc78PO80hnusoqhYSKD6VCpzr7DUDk9d6BW32G/
9Hd8IdHNiIb/MydVAUtyKDa8J+2mKsbsMMDt2ddO5sHR7Sr5WKdI47ntvC3G0OxCX9ZfbZKw93NQ
MPsdI9Pejh4Vd1Oo9tYXeNs4/k0eurI+WQUMQr/PVkIbzoR0w6PMGIpx8UM9yv4Cj/i2RuVxbdF4
ebYC3v/ZDZvdaE+Ix80pNS9eKs1L2MqQ5JDCupvGvmOj0BPsnWphkObjTd50dU54Bc9KR0djMyPP
KdbR0DJywEBxqisGQvi4ocZ2dnnpGgbtvs1SQ10ONQe5uNU44pM3IU1ck58RrXXjTe9QS0jVGwwi
2BgXZNlBw1h9Q+eJJDKTxH9KbKJNZX3JGHgeyT3Bl0ff6UGoTN/Hfutf45pBhtBh6Fl1k2weddmF
CHX8+dLT1n+tqw6BrRDDfZ5WaDF4e/yrchimrxN6Cbo2cQOalXjYkxEX/T7Sor/uW2WfrNxaSAlN
8zSAHL0dXVqKk4NI3yZH6I6drX7xiFx8C9rS/z5h00Cm1moQNWH8ldlxtoXsgQoCAOsABPI8jdrd
+IL8SINYcEncnGbOImQ2rEyd9681HMscJg1EoLU3G6jrE6d5IvO23VY+VIvALdJo7XqZ/F46OEd0
2Defg7j0vK1TxcWbHcfBvmzG6NKJKDj3QQkLcZzp54UBgiIJUHOy2N/QQrT5deuY4U0WFPoiia/Z
dgFxOeRdgvNscQhkjkRplJPnZ/Rl9zmADg1AFlUOwksDhbO2h+6Odk1wNRvh9M20u7xbILZs12Cw
43M+tMZDkrikoqcVS49EGsfEwsjKZdGu6bHMUbRtTZJ1UaHa1ynqV5YloNgyyCexyiKXfEWiLJdn
YkjBXYYGBCVBtQk8M3iVGHt3Zmq/Op2uLgYNhU8BMqKVMEf7amhDh2Vwsuh+ILuOo/Ky3ECYCbbY
z21HV6tMN+ScWxe4qdkxtqDRqaQkuDy27Ec/aPvt6BsIcJrK3RtehgQEX+UWF5cFaCPVG6Oy6yNK
NH3nu7Hz3iYqp6xv63nTDX34SbjIuctGWzsTJ8gDxO/EYdJXO7cyakiYs/oxvMvj0t9juKvWg0n+
cqQGbnvhmGjQEbc43ngKW4sApdRovkGXtVp6wIh4orbxD8gG67XO9URI6KTJe87rWznVzQFuoHUY
bUa3s4swbhgoXPaRUP5nzgLWw2iHGbRN1/a/B4XRvRRV4O4iWT+7Te5v6Q/d2ZbS5DVXZsu5A5I4
VM6BSXTWZsBIa2UcvdLSoKkQvERs2s38ntaKAEWaR8PJ6sYNfc/hPCEA4NF0GEZl0r2NOJvuRMpm
TW/DydAEK5+ORzNz/kBH3l3bMQFIkKOfSlMVN9CMyIyKEPrt2e/KXQ/bnvkqQy0jFf7BqvLgxhf+
yK7gpy8c0Dy0OhlSpGaKDl2dReh/ZWitfKGEPLp5LNZLkuvtUNUovJUzZi5Ei4rja69hvTAou/eU
SlYDsdlHz5wgwcgGaWmOxZOHI/QRpcwJrX9p7QmFnC/YFjhMj5xUKSYtc/jUm3n8aMoqf3QszoAO
Um8iEKOmuallG55n6XFaid3oaPo13UjismxU6rS+0ez00RFYInN2QDTZKWsRx9M/EGnHEZNeK1O7
WH+zYa3rEIINPmRE3qRcXkW9yxSjDdTJzdHdUl3bF+Qt03XYIKEJ5UceWjOekpKU+piD//OMPilz
vIfYgzLbWek1rmzBp3ROhfTFlxT7JhPqPCeHFyH6yi/gAsy9dZwMnxjXIbE3TWcQIWnPryqZGDob
d0GNFCNMeo8GuiCCuUFXV7XlsDdtAxgyIGEyq61zmotim2fxI7fF3nUwSNfMGLuNnXO4IYr6pndS
+6Jd50Vo5KS0D7pVLGW+kTKgFV/kfDG0OkjbZrCLs6Ve4bUqT+iNbZSTwS6Jy+mEXIxupWM92QrY
z5pcr2JtemTpCSgV69kY4ZBJ0rVmqn2a9AXtPviehNPaL5NhjUhGkJMX0MrDyPVvyKyT69orcarx
+L0a2t9CPoseoLh5hxrO+AnpkXlJijylxTk46zlQbHM6Iduu9oHW6HZe40kmCtjphlVdtfF1CYFs
FzLjuXFNPlwW5Nt0bgvqhFq1yDjQx//LvPEvuH3/XpZ6FnJ5FJdQB5nlLYXjv9iiSWSf8rQL0iPR
vJR1BkOvk5oDVmmXcdknxyypSDlLlWzZpvwbe/tPBmOqUs9iWMmkMnCJJlzojv96cTw4aNjmOj2K
sVLvc6bKqzrNE7DSobz/9ef8yf69XMpeElIwSJouM9OfLpXiYfHA23Gp2mrKLe/IBE1riqtvv77O
MmL9wVe8XMjxnZCGgxkIz/tpMCor0sxJXYuPXY3iB/zCEuU7Ep9Vpu0tidKY3PswQc88OcVrvfB2
WVXi5MaIkqW4RhFZbj9+pf/uufr/d/0jDNZL5s7/mhf6OdXvMLnSH4Chf/yrf3SPvN8CkzcEfgxP
zeJ6+9MHtwRYCc9a6CignhjP/zmH939jxm6BbeC/wLa1+TX+aCo5Fj44Gyml6zGND/7DOfzy1P5p
YnfIyHJ9rPkWPRGM81jKf3yBLGEmsnMT7/xhZUWIzo4noDXQxMZSiuHZxQP4zy/oL5aLv7ogUgQy
vrCuk6O0vGb/slzQALFqBj3u2YaAvhE93Is5BJPp5QRExJMW17++3o8rxO8fkJMC3xfmwYBY8R+v
xyxm1iGYq7NfJd4rCBAygrNMPGgXLtOvL/XjSvhxKW419xqQD0Gvzk8fTYFiiDspnDMzWnzCfqYO
bjvDzyMoEsDOPIdPviSjWEXu+DeL0198Sp4kl6chMKGF/YxChuPQT6ahnLPG2X0sA+RNK8MtKbH7
+G+pG+JHPsXHB+UJFGjrsMSw5v/0QUemL4VPXsl5qDwu5NcKI/mQmSA3+taH3VXaWZ2cMAJhXEZz
2etnR1Q4f5GDE+FhleHfUHj+/eND/gs8j/XS9zhC/LRkZiJhsolr6Yyfg48bLuEvwAX4n/+zay1J
dctGsPDRfnqgYo5VecISTXjkQP/DMXA/tsWI3NCqX379QC3f448vp2cCUoFP67Pl/HvPFeobYZmd
c2ba9l1bRCN1FokUv77IX313LEI0qbkYq9RPN9PsM8dvrdzhBEk6TRb0AGwCD6mamCVN0l9f7MNU
+/NHwhwloFcsffOfkXZBZIt+Bj55xgkKAdVGr3oWkaG9FT7v+iVopPvqLNy0D0TOlCAXjHsyPf/m
1/j3J9hbUvYs5Ef8n38DlEeWsKKIOuGM3saiR1QKtEVRGFzVFMxrs6HrsJUAPFGGzx3N9Y+X1601
8tK/hwj91R1wHLrq4XKnodT9uETJnGFVIWte3iWWxjRNpJMLKsVhRLT99Qf/q0tBDQnAY7K1gJ79
8VJQxVSl/MY+p8hQ8KEsLFHinVnqA4878euL/bjUs3w71PcmEVnsLFitf75YnbRVDpIfiQjgjpnm
nqpfSjunyz8E8GTLidXh11cUPy7ByyXRrfkmWzBPMz7yn7azmoYj7VM/PJkRkDOH9kTO5F8z2yO5
9T7VcCyAFs9QmYPMeiCbF4ssgtazT49/2ASp1xyQOqnDxwrSOgw8eADA2uIzMeBwpKL6uy+JY+oP
bzl8NA9ji8+DCGcLWL730+0vgzHDKkuFpMmO2ZlzMu+q1DPo8mvZ0XovpjFG7ZwptLlVVk/eVvDD
7pQyYNCSEczvGBURNzJyYbLS6W2/jsys0QQlM++VBbY72Zg4TfGUiQGIhIhJ6ELRCWJ64YeBaGq/
qoWa4zNqVRuNaPg4WPCe296vzpTY9gl9LJPxRTp2yzgB0JVnW+ETjBCQ2aQQNeIgtMuP1n6iiKUJ
E1S9uUpRtMVdapPOWzZcI+Cb9nQy3TZNYJqgXahkVx1N4GudVIsMzRH1y0SkybwnnjL06AYASEaM
vsShKAGuQ+ZJ+1VmgLT8urTqUyHS6V5Ah75FYEefkflRnH4RE7EwCGxtb5nBBkP09IGyLFvpvcrU
4mn/IHlMzLO/asJ12KHhcr0Wk7Te6zmyDn3jN/fKo2xyBx9/eBo7/Yr1F2U/bV52GDEJAZsa3asz
BsGVExFNhVSJbzRKoycKRHDrtq2/Kt0SaVbRJG1ni+8H9q9/r3U8P1k9tvk6dLhPhTeET2JU+qss
MIOuPLtFx6PROxEYosKnDgXrwjfGKvg7fr3IJvHwAfF2OmgAv++oJTv1robbisSvwD50IAiYbuHk
+zzZToI+d1WUCBpOyXIwMTJ6G3FD2paZWVBlqskjv880Fn5zmQMrwxCbbKRtwuT2loyvKcvIceqr
AAFNb0Y+1oRlvYQk3ei9dnpQZtZo8csAd5DFVrXsix5kAxJ2zBh69gd/LDEKyCiTW8AviSrSM5j6
OQswTRIiTWqHzbPcE478pE3MUfugJRAO8sJ4W4uFfd62PpQavIgcOtrShdVT2/GMgiKf47VIgdz0
VeO+Eg9HZ0Z/AFndSahPsT1bhxlWDz4O2C9fyr4viT9Lp0veIAlr9EjkC7QREdBBMtUpzav+GNMj
5Kfk4HSBHVTdxtSR95Dnc0ov1QtAE5EsPF0zqjXPhZPg/8bhgMHI1QhvXDoTUzlPDxLTz5ZY9Lo+
SZrgnIw8idbb1OVdW+sAhX7UFd8q8CffAwfIkMtY8Dr8IOVOI+PLdSdZmdZArYvtYNb0KulR1c9e
LpXeaXfy3sfZFxu9QHpJKcdaT6ns497pkJaJD55v1VXXYdaLAXGMTr7EtkFrqmprCPG4sBvwuGe6
sz52cD14L3VKFvdU1vMXLx6qk+3Q5MTq6MxfMF7KLeT+eU33mtsYRG6PNX4ov6B599tN2S+4H1P5
++UwqgmXpzu5WTK0tlj6+1XP4QXhOE1GFiZwyJUZ3XeS/nQpm/qYQTrbTW43fYviatgmRmrcTRDJ
nlPZE3A9Yf0nl12usgbvjy/Vq9+SZR5AHN9EZKmvaW+JXUELO1OBce2Micnyb0eo7SVmAbHxfHDB
7Vo2zAvw5yDhiAkO0rCerjjpBgfLXvDPICuHlfMBhWaqHm0wdSXHYGFGY3FMlraOsbUWonQtaais
+1LvQB3QIk3Md6gg1XOYp3gyQjHutIHRD22ISa+nLe7YlQBWQ3NKrjynoVkTm9xRqvfsCoA6oq72
v9g7kyW3ja1bv8qJO4cCiUx0gzshCHbVszqVJ4iySkLf93ij/znui90PJdm/JHdx5h7YcY5tiiQI
ZObee61v9dVt1nbc1BqUs+71ncqpGQmPRLsiy32c7EZygTeGA7YhkVNBwmI1DBudBalcXHDosKIQ
knWD+9TY/RT6Tj8RypTG0dpELGudtG07gNlkYCN/CYSabjH4EZE4Z82ha132Y6c3A0SrhlpTglbO
kg4Jpd2ncccSxGrMwawqWW0n6qi2TTjCWcMiyAJTPPp9BCddTci7DqZIq5eq4rb1ShsG2YZgyQwl
Uh1ynotoVglJtBnPfNRW+S8m2VLVl7ka1KYd7C7wM7vDr5uo8XPujHXomalmPrtW4B6byG0PGald
EaTZkA4mGK/oV0bkr0kFNsRUcRh6wczy8RF2BZQqOm6lPKBkcq6HJmGqlsWpH40jjWzNWjCHFdXj
gnzOZpKkxsfBbPIzw9gv+Nc/ToYSN+nq+mJdXbGsbtP7qq+MN4Cw4dsSx+N92Nv8cjzxiV+D33Q3
KrRBYQxRnCKrzFr7ZGHnwh88ZhWBVxbrOKQCkgUPnTvpF6ou5yvg+fJsLVOM+ixPe1QH/ArEltNP
wIaNf9xHHpddTU2jbpZ4yW5qgMbnPCZCrClF+0kNWuaX3SJ/LV1ruOisChGFGRixtWkdnLopMrHN
2COh3+R1xnJB+xELlqNO2Np/Jc9xvB+7MEWf2+tXuCXMX9LRSkOvySKXvZJJ+6aeZXjtMpZEaGfK
k4akwUIGGLavRjxWF7lNwCm93v5CWLoG/xdjZrMXLHk7jcMsSfMAetBiohCfdlFWyAcrrYhQLuRy
X8VRcKnPPf7PSC/xZYfjC66Luvf1tlXxCcTTZHpOqWPLdoLRSa8tWPjV3o369kCVq10m9lI+Iis3
cBGlPW4nQ7P19NBz81yP7PBfxFC3Vz1G5DXrbb4okjZHCkyWRrth5i+PgNrqPXo+/HsVJwvNCwd7
uAuJtgC5waCo4r7Mmpd06pjizJmJ999gGZX6jEkUOEcxkkqIs9jLcANfdfa84P50a+Eg+bVxobH6
fi4Nqw92zJiWHbN+dVSqRtiSWcuh7e34DAWsfuzF3D4xnVI++PvUW5IJoyOuHDIJo4hYsiWxt7IC
hOGhRIne9LxjH+r0efACbYizreJS3Q7YI/dFBrvAM7G73uDpmB71ZtSuzLiTRGBKWtqOJtHDFlVh
7urWNkevhKLW7nvu3S9BFk1kbsjuE856+220Oive6RW4bgZCgoZ7UmYgHAIYgF+WbqnjbUM4Qn9A
avzFjKbwtk1yyS6Hj/AkxwnwV1kW9TYCmDBvkCoj+2F3vtGyMfENZsnd1g05s4cELIAOiUo7ones
Ouci7ZE3aMomdJSct560kiW50XFl6KgGiuymcDOGYgVQnLtIk/xqGQ0k5nLVCALiaYoYVKqvFey/
vdB/ciJJ9EXfVWN/YIJdfx5e334Egn19ybdGqBDqgy7XOpdOjYvzhzrom4yORvf/dj4NbEYw723L
UCZ9FuH+3vmUJv/KtCgN6Ika1LDWfyOnQ773Y+FFjLW9vg2iOpC1xh86+lGnpqFoKnllB639NI/K
PM5SaGh/l0zfzhH5wxgFyxNzh1qwTtQAGxY4EsAqs33PWffSDPTe+EjCTXpd4rjAmgATA+JSVUNH
6huiv+Sgho9dSgHThfOyiSpAyZ47OAMhNV2CEdFCw7bvx1mce9mWL8UQDDcLjMkJBX4xEje4NDZE
Lka3uxhWwsFuEux8TUrWrY0Ifm+5fMRNFSVT6oUh3L8t4YhElsyzbe2iCXnZgT7W0m8JKyGmuWeg
u8FOnL7VTFZvWOqHHIVNPt0EQYmugAQOvnteUQttWHxS+1jOjVqQsvdTtcf1yb+VrVkZJ2jeFHLs
+PORXBcYIzmFKto4PiBVUbAQLl3WeS7vDKzdd65KwvOSpMNNnXH4SbDlbiHXOuzVbYk/amzsQ+5S
JnqJKpcQKXaHLtDh9LvVVAMW6UqmxmNXVZ29VAjO9LKrD4Ew436fBwYm8j0TpzTc2Q3ob31LGktT
6F5KcX0tCdAohEf0mnZUrSgJYq7CGkRKYtEgKFI/djJ6IM9tlalWnoeUJbVh2EQbzIyDYbpO60G5
BJNkceMyZAOosKvQZ4WbXtJW53ACjSq4CcSs7YaA7Xj0TPZzZjF1z2HmstW1IdqG6PTs8qDTNAzI
hMdJva1VO6w3jr0cFubFKJ+mhIBfvGNjNpy6ru8r/VrMedJJoGhtO4wLgd2jwY72MWTYYywvU8zJ
uHnrxrrL8WkSN5MFd+9P8b8L3j8veC60999nG39c8HpWvP8cXvOKgWvz+QcH5koF/l1AbL+bKunP
s+YZrKHfVj3b+EC7j4WM+E75bTL0GwbR/ADTmtwBihHxLjD+fRFk/ENeHP85bEVBSIcu/5tF8McO
M0R+LKA0nRzS4vgUlK0/9gMxW08IP7kBicFCcLlY6ACt8Om7y/InI58fm47f3gQ2MxJivucfGPld
OWgV9PTlgD6o3kx2uxCzM9ge2rjO//u3YnP4rmP+9a0YLDGeVUxgTPlTf7Mkd75OKPcP0xATw8NR
/8IwsPKLssKiCLL7kIMI2U+LqTYgmcp/ePs/XE4M5nwIBjB00iVS8R8vJyWDY46WQWlRjA9Gbj87
CHn+/hv+3C1kYsiAiYkV3UIiNn/uFtL1m3s9EDUV1vjASfypdUXp9XRgN/pSf/77N6M18PMFxRLP
lNFU1JxrEsDaSP9uXEfwMCohaIMHxKj1CR2qIG3Y1fJTagb5KQMkp95TicnLWxOKJQgNih6XhKY8
bdj1Wg6gG5v5F8RmMtWP/YhRhjbS4AI4eE9Cbt9TkY1aVETQYyFrsCIdoT/IX41k3IdD2yFFW7s/
TacbT3PrQhCe3T7f4u6Q11Hdu1tQnpTa+jw9zUnQXMZ0LsINU4iGlDda+Q8W+pzneLapLfIGDWVY
mjcmJ+ezRdW2GRSEHOKsQsSshdiEOXX/GqiMBcisd0O/LEekRlfgJIadzPMvys7OZaw+ASq763CR
eqNy8lOlT7+E6C95i8TyNarITQ4RdJtWC5VFvebcF2Jrtsn4mRK2PtpJdEMvV9vGbgnK3ch7fyxH
63qCHYVszwpO7GpPtiaCUxLFFBktbLt4GIA8a+7DxFB6O4skQTtehw+dBcWxd1JPp3gi4wqn3jQG
wwGxcuAnpCJdFa1JeQ7XISC/5MJEZJ76Y6N1sxeOc+gipE5AAMa0Ih5qm6iMiOOXZzgAmCuS82Ck
ViIQu4IK1HpUha09R+nQ3BQlkEvfAXD+UIp0uKDl2x84R2KLbRp42+SaRBdBXjdXZUYfzCjqdIfG
hlskr/FzleXsJWMh8In2xo76RX9SZeqs0dcTOIjY6F/6WAfg6OmzuCSsLXyIo5rA75h+XYCQbRvV
1qr9jtegJgLAL4Mgau6qpWhu86a9DMCLvqAA6x4UdKgDIAZxJSZpHfKCewEfUbzru2LaF7l8idLG
hCISQ/FJbDmR6xq7dzr+5T1puc3VEmrl7RpNb2CHvUL2XdWeW2X6rhlplJeWGVJXWRXN9cmM942r
+gvUaumGKs26JSBtFwQSvH7Q2QKdaIjQNI3wrZnP0xCeVB6sJ83xrprTR4BaIYrIhHhu0FMXSIFS
8sQGGqM9TilS7sTekDjIsEdmhxm0z5G5VH0x006DQh2a5U0+s29wRxPQQNc41O9kUM+vLYK7NSqv
uBzCRLvoQsvYy8mFjJFRQ9MNgAmNdNDe1nrNu4WppHfmosimMiTLI6giYhY0J3hx0q7wAid092EQ
jBcTgdzYp/rRs7Ax7Fuawzz7eJgMpSOEDfrJy83U3UgrG0/Ih8Xl6gPbBYnlPpXwsQDDxAXtuegV
A/yzK/Dzh12nn2NMvAdjkL9AZ73UnCy8T0sdj6LNlQY0dOoUBeEQpM0GAGy3DcYhBS1DEJ21JFda
W0MMwse9BXr+RjYcKFMikWb6B+FwDPAs+kLT7wAs7Tp8g7SCkCKXmJL3C6n0yDmt+hG+to2nrx21
bVU35a5HwvlKGwDAXlRZfjvt6iqUD6ZZuV4hUpwHhT20t71WSZxrunOM81EC5IoQqA2R4UcRZBXw
JNVyHWQ0lYAQVfNjKZzskgVpOQqSAbEAmi9NiQnacB2N2UVQegSA4YrXo8vQKfYRGwBEAx1UQhjC
089yUVy3uXPMBuMxzdGhG4HAbY1kT9EIxdELt4DphHMVBunnALe7t9Stb/eGeu11VVERyOGG7l3u
bsyMZ48lwbqJ52S6JGAmO1q50RwwsaXbclzGj+VEQ4TTEO+sI/OcvcziAQLSNCVfXDroz4JIkQcs
6eoOyr6F+M4VnsjyhD6LmUls6VHnW2gieU6s6Y2SAStmXTCkawsvRbH5ZEYmzEIXRa9XN9kKZZ4U
NQGrBwIRyq7FVpeZjMcaz+Uy3OStox3wS1lAZOxPtpB4XweX370OzATCjGM/ZO0k9jDZGUoYaoaX
NROCkCp4PJYbHXCg0OqcehOthmneWLFID5EWhr84pk9A+rzP5ojLP0TTo2Dl2uL0cnZcpOxBkpbo
mbpAsK51qXGvasu3CDl47vAU/TINVnRtNdby3BZyS9Qq5OCkaprrXlQdkLmEOw8H+QG8RLMB2qxt
2Ty/FGlrbAJEXjvcGu0xoxV+HBLJmlGjSbYuoM9Qgm2NrO2/niv+Peb/4zGfOfh3p6I/PeaX/7n6
f/8zxZ/KHw/576/8rb2hS7oTiiQOd42j+aG9obsfOIsykOboRszwdzovic6Lqa/tOhzQVpkXJ8rf
zIPigzQw4jgITWzw5KRn/caZ+XbmBlHzl6H15k9HU+RPvL3JQc6kb0JG9U9T5jpRGQOwIrlsIPTM
r6pU7NIFgwbl61g6Chbokb1sPsQ4XnPtWBoR0D2PUqQ4EPyh7xH/zm8NKmqgSnplelMyD8vFVFj2
Zx5UexuTktUs9aFgZ0mZO6fZOKt7xKqL05M01oMcbd8y3FbsUjNAa9OnWk0i90aPtc6+G8p+gLBe
WR345XtZQOn2rBHn2wvk/yye11Uet2ETlYw7TjF4Am9ybHaZITdnJivhYqYTs5WhqCvnPjLoCMO0
RmSn86CDneJEisY+bx9oiFvCdxIlM/05rhk29/uiGhyD5ryeg4Mntz6FyKDXnyKtbXZ2Xc23ppEV
YBnmMeGl1qwtv1QFwvCr9xvr32fwH59BS1BY/HWp7b02ZRYXr/95+5z9h4CPjjrm8zuF6fj2f/+P
wQ/Gy789iLb5QZmYbeH5rdX1+9P2reJ2FI/UWoajqqK3g+ry97YjdCNARKgt0VlJg5dRd/32IMoP
/Kfkt5NIwHLumv9VxU0V+lNJRe/ToONIv9FwyJKy17bkdyUVI2zsVVmbHBDWM/sW7mo4XNqQabgx
NO7kd0PFGMTR7Qi6KPQzBH3I2GDwLbBxPGOE6LWTC5IhvzTLsD5oWSmg7TKFyHXa58gO8th0LueA
kEs04eKarVcdOwUREHcOx1UoovI4xILjyJjQ++JZRaWeg2G8ZCRCE7J1GN7pC5EeoLaRR3BGdy5F
xJkBs6S4zt2VhV4WoWVt+pL+3t7IEH74baqtL3lPi0mTeL416g75AkF9UMuqNSKya1GdhMBSn/JY
TOdmlZoE6RoMJKvJJsPFKNISe25TOgDjbOQZ6B0hW+erbCViLoPBDqVLpQgin8HE9ozS2O03X4UU
hhEiZxFSPKxr4au9JsqUpdYf5BDJx3fVUSEJQmqlzkQSjpm4Dld5zAYVdfD0NWIaQAATV9tNIOxX
AH3ekibmCnyNTW4RL3GYZo46yYb/TE2CRKvSNF/nkNdx5uYDUJjzaUe4tbe6JEY9CSKKxF5a0bKh
W8u3Vms4l5NKcpMSne/uZiZZzz0enWtLgU8tCGC9linMH5wbYtOM8XSVBPFwlCXZQUTL8xr7PXLz
6zQ4n3J0G9zXXOGvP2imhyh5oKK4T0a//sJUWKgo9KVtPzJJIch6RFwuaApTaaNswHF0p+UGX6GE
zAeJYmAAj+MPuYNHAA6XfCQmF0zmew4PC7tmerZGePyexiMojGo9ej43VkuYTJYvGrxQ5kioMrkS
+lC4T3M2nrulNZEWIEXx3mUyi9Emdza9VYWHjDE08GPjoVDcgKu/mrs250ZPwecGO9zX/ElIc/i7
HQV8tmi9iTqdVnfE4YkeQzdwNxhNyy/rys6W/nsKPXFuvboipHgNsQ0RgoWagbAlGNjeNqQRdW8o
8eHG6B0qpGisV0kKY9k1F4nwEHC44bqVJRXejwKII6NURk4gY7hFrY1Y1aUlLAt1IMNCHrVkYHw/
j5LPHS89qpkcghesbpjbgMJpJG4C0ZPZNK2ErwL/HRvjep/MNPFf+vUnYugmj7mJ7c8RLX9YV+vx
3jUNwrQVOZLzMLj+u0wKDmXw9H4LxxoB7PMq3izXhz1Zb9LAGqbzCG2598Y13e09Hw/MBJ35iJyg
nWEpF/Oxy4Vbc3cQ0mQON0yPZekig6LBHbA+En1WxXuYWlw8AN382DoLB/tj/cJwsTnUZkU0j9Vb
4kGBe3rSCJTCpNsmTPySOsyRgCE3gHZJ2ttCMwHkrDmiFI5zvo5OClTcTvygNdwYngdd5wbTJA95
mwIjh3ysEBYYHd/6XddAnwqJWlS6l2OZuZdLDcx4072H25YA/qFQ4+8EWWu3kbxN3nPGtKadWU/D
xd3qROQdyF7SMdcn7qVZT9pWjhHTnqlcda5yasJxt7RzH/kQ8HnCjCZfE9glK1ZulGN0nlGLXAE0
c/14RmAsmVaeU5flGTEQEfC5yPhzwCOqI3QZYKsdbjidXt1DZ1Y9V5DAinPFjQ4CDY/yS4rG6eBS
7e8BXBkP76nrFqemADxV0iz3Ldp9dZh6lki58IWndNVhae6q0csAoj8EOvjLU1jaiENkkWcoroME
haq+xPterTK3YeRXyuI1iDEm9tUX5HRKanfFDU5UHD9r02bmqw4RBnBtgaatRu36QBjFiEuyASm/
yTE4Y6xrkaS9hzOPGDRXyVotrmN85A95TulL96Ba4THueudAUC7nk0oa/niDKuYtTEsCZyOTuxuL
7ANOBPQp2MISFK59c+jFijJ6v+eVoXgRUhg+pYF6CIotOMLrPh6I1UPTyvfU121kGEXd3Q0QKSYc
mi3r27vQLovkej+6q7C0qlfthFzDZb8uaUmLQmxb2SObkRk4TX9MnBaGDcOdsfEroYlbZfF0ZVlK
kdyPXF6ZoTZbn7h8cNTTWHQTtv7abKLd+8pKirSwsFc69ZOIweg+jSEB7c/muEYrZmpdpd79DSrq
zFd3zZ1O+jq/E1FveHhq32CqoWepqnUzwJDJ5gw+AhsoNrfrcTFZyDLODz3KB/T8mymCeBDB8Ynm
A8uPzMetCHuOEJsQ9rbwLCRAF3nRdng/7WAKuSSxm90tSQboL85sBwmTFj6xlZIE2Jk5P1GxynLT
fmKt5ZkEHcoSU5IaaZiJJ+vGeiuL/KkMRXNiHtkjS56dceIcIpsHrCtgBNaNiJCK7CGew+qCPca5
FYWtBzy7g8Q8T3RMLUR3beqrjhOJvjc4YfQY27WJMrEIfqk7g4DGsmZI5ppe09mebsMgGDd9LnIN
iUw3H9uor4i6cGk63EJ+Kz2Ag8/Q5HYVfa+dhrr2tkKemeT2OWCmrD/PVlZp7BMA/oIjGLecVTXh
CVeWtV0kE9ttpYMaAza4kErSdqB9rFolHqTD/CDABEXoVCqSN1Qqd2lhDC7BNssO7NYI2z1KQe/b
44wgtKAntpstqN0Hl9uy8UKIrBOXP3IvOqmWG2fq7FObuGxz8VSvfCkg7/koHpUYsBTjHLyJl9Q5
2UbgbDOhOJRETumHDvaJjV5NZNamdn8B+Fy/smUIvbHVzOk1U2XyONv5IylvdXaZ1a26q1NyVrSu
HR1PMT/eOYMcvrRz4/4aOchA2xFJ5MJN5tfETmydZm6IlEjcgz7Uw3aeOhIKnGoinEhB0WQUnVw5
TZTMV1wv6y3pnGK39Ahp8frpfhiPj+4aJ5UC3NjbwfgLwnXPjBP717Ce5nNkzsVWAJ3fydROVqB7
c9fCp+H4U1i+OeXTp6Q3HtCgMpkZ2/bKiaPlDjCJiVisz3eo7NQ+cAeaz26s/LBuH2q3p1XfWJyM
/DavyytS+liigLt7pFdVfsi54dTnjTgZ0OmgxJTtMXV7dVlK7NlctMIf6MLfkyxRQrKtHV8jDAEu
s6UxHMrTWwUfjWz2k7ak4oZNALCXAmtMUKN1zBo534Ww1mUhi4NBVbh31h1ColjDUuv2B9A4OFNJ
H35pmUBtafS4V0ti3vUx2TtoM/Vz2iTOZTln3SMyWe1yzqsM4qZj87oREfCv3ZDRiw0Y6p66qahx
inblx2S1dMJuAGHK/W2kD0YTOAd7lNq1DvjFY+e1cbOrXW/DzE/KND+Oum2/amn+cdLqFH0d+RTe
0CAW1YiWIs3MHnUk7V2/14M08kwnpY+dxeF2YUZCcFXUHYfCfKuiUPkG7BdPVHq2rlbiOCeNfA0a
SMNbpALTR1UaPqfrhpNgrBfbOdVTv2Nc9BDUrCis/E3u06iPN1ps2Ay+J7knLmbetgZ9Q3MkIeQy
6jX64ZXsE7dnIXEarl1n6mcyOjKBmTlrgEDaNdPxcxyICVZ9kqvsYC/tEL6x+Ie7KDHqLdHGFfkG
A6kFYRRQ6ZehDPadFWksTE1sHRxwIE8avTWHbS8wLJBcIto2VUcFEtU+jYvyKm55LmLZjU8V+o7j
Ak1nQxJGugN7ufgQPvi/iR3vLCQQj2M4OdziZHcq7RQzRRogePc52DZcaOElwurraOja5zXe6CJv
nCsrLQi/4TRwn/eG/pEoHKvZEN4RdKe0rmeCT6yq1495SvTWSavFYhCLJBN3R7upr0c/ERonJ4j+
EqVB546cZhmibRg2lM5LUCMHPgRJMlbIpcYZkAlS/2ah35pAazI97D3AssNW08eQjBm9ly9OlLPr
rhliFipaRyKdGAMzB67Z8M9ptWN30N+F2kOD7NE3e86gyAg5rxVjy0HEGhR7U1xX2XzSxTKdZ2NE
E2+7mZfXI8dypgHVV/HVX3ax5E+SHbjR1PPKJHLdQUdIJ+un2nlAAp03dXSorJANk/ZouUIhRuQj
E4u0bIv7Cra7Os4lu+h2opeVnrAZDOdeDbChogGpva6venoGmmzTouNUrcWc6UK1cJqIV0tIFmDl
3zRr6Vm4OlJnDRg4O6XdTKDeaU+8fT0j0+DH9/Uu7C/majpHQQz6akjwl6zbymu8BlIjunawIRDW
woHsuybInwzW/2gVFviF+IuoRERTwv5p3D24YYzszclIHxqgcbrzhEQP7wVzqMZ0oY7S8SLxbWrr
V7RD87nuKLrriKI0LqfmnCO3+YdP9Gc/ECovKGEK6QL7yY8/kGZCdezZAEkBIOcVHDORtR29laeW
XgXxIqQHUxsbpMEDOpPHauCgXIAxzvYCXSVZgW21FhOc0P/+g/1kDOLGIU6JTHJaL7jP/uAQZPSZ
xVUXJ4egBNW/zctSTs+LWnqsifNCArvKXc6xZcEQxNoQoPVP5tA/+a3Qm4v1g6xobby9P16ZMbJE
uRhdeDAnF+1QULRhvO1dERjXgi5pSJkSVPtYxlF40VXBUtALbYPrsOjEg6P34prRKPXIf31ZGLZJ
U6fgY8L/8w1UyD4oo0SFh0KjaEAuiWh8igm/4ywfZMC3DM7MfU5O8VYbwn/yN74/rv/rBjTXi8Hb
W+tfFG9oAn+8JsVspwBZkHuZc0YRnYh6ZprSQvlO+EGi2QQxKUdHPqR2oB3FWrgVCqgRbKu6Mm4w
Cg4p4dAEyEaHbu29VDUt7i+rXP48FpIt+u8vl/GzHIL1x8bzie0VIKDl0pP/oXcXCa2O58HW9jIy
WQONcsGU5PRrqVNMLBcs/O4lYXCDdl8YC82TKY9YB2ZwdveTa7E8hRI2mmcuGipa9GaOx+rE3ycS
NUL/vT0kDUxMm5EYjekSAiWR3WVIB8yL7WoI/XDAsrXMOe9OxDHNGyudGac5FARv71/23270P3Sj
uQ9XX+Ffd6O3rynRt++96Pu++b4T/e2l3zrRrvVB4eBfbdnSREGzml1/U7zqiGFpQWOC/Ubm/70T
rcwP8AAY79Ijpu+8wvm/c/47a2vbktyH+iov+mkC9HcTIUOuT9d3Tx/eTOy+9MIFAlacsGK92b9r
RLuYkLogqLULRTlyx+go9xfVmMc8W1IfiEy7pSNjnJGoD3unVIsvhtmFJuWgZkzL8QEAco4LmsEJ
1bhzAMWKP45TSOFRj6IJsIoImG94DivJmJOQnUA1GQUGhXKf3o7U+qgZ1/zUFBsgcQDE2LTKRUCz
zoMVjMFNrTLjvisAsFYVwayLDPNrNQ7tQyHJciFqVm3nvsnedA0cmSMfyc/4Iquu3pB8jXto7s4J
Got9PQJbJrOoz89xsvRkQjoIJmxOaJQCebofyLok2LKYLufRso95CBQ6SRYogk3gEhHSSy9Jy8Xa
hlxOYuohuXBoh9Q1TBO6MoxOqN0h+82HhdOTr1ekzlVmbV7qjXPIMuNc6cizZOeKqzwVF0Uw5dtk
4sgb4j7202g1itROsOsoSz1umNIH1N6gxU1JCuCohxaDsI8CttGCJ3Vnm5p9yhMiSwKI/5teEdY7
GVC7D1OBKA31Kat4mi33tYnqfpyjJ/igxuOYm9ZxQkz/UogScHVb0xWbZRlcAzw3dD8rGey73qqS
0S+GIsCZUTQyZRYWwxbTPjEkwMO04cClLbveahMOsEXZLp5ultTfGq2bbtPhiTvXsnAgUlMT+6NT
ywnLxFCP+5zS7IAOGwh2XsBjjNkqb6a86M6a3ZE2MsdaHnUkjLVyIAQ3Ni/xeZFQINAh+1q6kOiF
tSnPNkmv0muNjM5K42g2TeGyL6tmaZAZJRAGIgYapcOEccMf1NouR2WIqcXJDorOal5KIzDPzVKN
uMnctow1Ct4GDFgy3gUotcGbkQIY3iAbJhNx5waR3i97YmCb7uwigJ6tR6KbWv1eG2bLCakjkyx3
6XTlQFp2+PgdRLmb1CqJtbgaYw6GNQ6LoEDKkOnimV7OdDcCMc6xVBaUyEaMTc9LtXDCXmy6gaf1
SOJoMQ7aU5SaKC+Mxc7nTWflExw1dJybwq3fzCWsl21ZG8G5yCIQ3qwkcNcSCtGnACl0fq0lsyG8
HAzlzTKM1rDLaFsQ71NHJeB8itITfNPoUBaZBiKI9oI3Oj2k5iCyUdhoDQBlAgE4udaW/KWOFFyy
MA9vagKgbyzA9uucqvKsSIBi4gPoV7gaV81ErfsT7pNDjIvw1mqb4glmJ7WbjWlp2QBhbClLXdEg
8ktgvTs0aZzK1kZY1/g7N2GHdp5uXMfGTjOJn3wh4CYxZTfTTlt1NHrbnVFWF7e1U4V7G1BqJAbz
Bo9j+BBk1XRRZchoNrUWLl+BDP9uif+wJQL6WN0Tf70l3n4uinYGIFjEr99viN9e+NtoVqFdZugJ
JwrFg8P/+n1DdPQP4MMFG5FlIE94D575TQxtfOAfrbYPPJiolc3vHCHuB8ofdkQs3ng4GOn+Vzvi
u3j2ux0ROTT+FHTVuqGQ8CKL/nFHzHLZLnmlzwdUD+m87dekZsIaR3ltBJBe18EApuw8RwC1Gzur
djcsac1ROaXQd0uNfsKLMFGziLZdZm4jGD7apk3Dnmi7T9XQBTejZc0X+Sx0rFo0XjeEk5tE1Ggt
9FYxA7wku7piCtIKzbeXmXahEQV07ehTYIoHk/7ESKPhya2jaw6pum9ry/IYGGtKt2II6zcu0YE+
E8ea8ISGPUGvXVCrYtLt1yWRFjIrwZF/U8ICwshcQTtm4Qq2xDQfYlJOP2tChJ9GokuuJl7z0ZzL
pN8C3FWXUZ4FADvtVudhhrQMCtMM6QFpo3lLSZNdDKD/buIy6q6GsdX2IkjAoekB2Y9lN0w+RvwU
cWWYDGxRuAsncl82GkNDVGy5Swp1Ra76kJny0Wm4zMjvaGD14FFX5CskPXxwB8OoQ99wufIqVuIE
ezC/7TRp7Tprye8AGpe3Se80N6TpQpob9LQ4oRKovMRZAi8dI3CrnIU6b01VIbIk1H18MmO0gaVM
ildB9xidTnfZl+pjC07hXiBMc/YO5wBUV8zrcHmjs92TIiqfpiw1dujnnD3TD04vA7zJK6o0lLlS
J3y2BNNtmkN7tq3SSXzLCsyT1Eb9S6tZha9ycbaH29X0sm1HUitUqN+qfiUit6Uh16KwfxEMPh+Z
w0w3Q5uYgG2QFrdO55l5qjEIBVAgiyk7UdIGl26VFHem3qkrxG3P8aisLW2cdDtb/QwpMgzu596s
fUsz88Oow60rBX7oNEnOsLn1G7B79jZgMnkMLVIYE+n4JLqOXtTr5TZYyhyM9VAGhwTvKNt/nn6h
7fJJBK62KxVD203UZeLMTQ4FYprqY7sIUu0zV/oCUTwoAUNtrcK8K7nbPBAdFwhWo03u1BZs6/bj
gmaBGFWSMCMIHhsi5fmUbWR6YY+aWfQiRm0eaR8pYsNjBY3wbGYVHnYO2MRBt/RctYgkKDENjF4a
xudDzX3DbTtuJms29tWM+rkvIg56OrgGsHu96TuCQnEeO3NDggiA072l8jkUj06QTfEOZf0IBtAU
i7L6bQLdKXLOo0VeaOXNGmmN94aRmuO92dKqUuyTaSSehOJe8HUziS+sRrfvGNAE0fOklpz4S5Fk
wATdks4IGcUz7z/E1/gQjGcXW7W+yQgwHbwmkIgpICZp5ke0skVyHFc11iYrl4Rvw3xPFfuGzutw
P8SxGu87ZMtYVMNQSyTB4CB9XtK0a5ZiS/5NwZktMlvDmysi+IjzMSZWth6b9Av0jHDNShWwGqGn
5tyeYzmzfc+LoFsv4omv74wzPPGMfCnHr3PZpeFh7hz10pfF2H2yUxfG+AvXyO0JVe//P3tnthw3
kmbpV5kXQBng2G/mAoFYGQwuoihKNzAmJWLfHJsDT98fmJ3dEpUlTdrczJh1WZlVVmZSwUAg4P9y
znf6+pT2lckWpIryntKPiIf8SNKUrVUocIc+eqjywZlh7JjC2YheiogvlqG2/7x5/T/j0T3UJf/9
ZeTBv/2D1sLhv5IR/h9JjLPwM/7qqL7Ji2ce/z8e03/+0F99q/Uv9E4grv46bzkG/6tvXVWOjuPy
0HzTJPKP/vOYfpMyrmM/JrTiv5tW0yRRDiIaEx7QO/zcP5Mx2pQI3zethg4rxweZx9RToOR5D5CS
Y+5VyjHak9VrKjSJsO7p4zBm9N6dnVQJCA0fPyJKo2RBYiidgYBzuhKkh45gAqmgELH248BJoz18
AHaZw9wWYG78NLvtYXl+GWXqfrYXpzolBqdaP2WCA5DpIFqMtDyhhkeem/tj2I9Zdc6aFphClTT1
NQvQZtlzuhPXuYybeElEsytZwvufx3QmmNvTCchkWDQ7T+Ok2JbOwnZZO6XJORM1UkwT/SIBRTFc
7+dxDUKhuyUTpZY13samA6h5Zj+S9PEO+I9ubSBqAndgpcgEf7oAc6by2qGTXppLTXAgA2/VSXfj
VnNmRQe8BKZUW+KEdRw8FVpRrwjoIAC9hfnAMvfiCYIapiAquJ4gYudyoP2MbF8H5jqOLlpuqhH9
ZZqKDuJrnqQ26yRWGzZLlyqrea6WAxHNJL8NrMoCAmTI4FS9D44/SLwFNncIt9haNrkDmK7ZyLgR
CUU/7hMebl/Z6c1whDY90BEb5Ck2m8AV1hjvRa4ieXHLXjvqE/YOPfOiACwvcQr4d4KsS6pjomnj
Psab+iHXnIGFb6fDYaA9uTOKyd45fjM/u02G8QVF02bO5yRMa1bIo1fmZ6ml5r7urJJ4arZjeTXS
zbZVDZhsLIajNyqCYgjWLsuqDtFyxTe28EHhJIUKHSvOQ6u3zSBz4vrQLQQayHIqP0WVBuM4j0ib
XbSxuSky5yNBr/GdyU7zlkhX964AWv8ZI6yCK4/XRzaJuuN+qBEe1Okj2vXothD1/ClPGk1spmHA
6s+6OCRc1b34fh49JsTIHVTiaDca89s+YP/p70ZXmufIiYq9hp5rCQ1X5vMjogjYL1HhfGwdo/qA
OCan+IySmO1tRqO+QQXgqk3NRPxYSUSSgQ/HgZD5qj9OYL73U5HHjxxV5pW/uBxJRmNPD4x5MRV7
jYyycMhl8WpQexQBDTTHAOKEakvqKQQh1NG3kk7zKCf7IcNp0tHIm4FlKve8FjogoGFbEMYhh/EG
KZ24MpSqD5bFpKTPZj5r3MvyLimciipYEVscuc0fk0g+GS3HZl943olPGihWgwl77hpSFREJ3kUw
p06kJMuH2DCXpwFRCGHckxIvWS31K22pWFK3remewAb4OytrvmFPiw4ALNttAhyNT9DNPvi5NzwR
SFB8Ao2ZfjKnPmXW0nr5pxb5NBHGfMMcrZd7NjVi67tTv0sbB0Yig5rSS4s9+1PysvzKPk2KrGPg
sQjL8E74GnFhDCMWGz10ALAuva2iTOG2aZTckHFkchezWEpsTxVBClkptLR23tbTQHJXRPXKdekD
F3PFJtZ0Rk/ddKp1vwrN2RaPlquZN70mP6aL/JA1mvtV2TXJZXjFdLr7icHBRlD9PuDctq5KxFhn
ikiYWFkXhaCvjr7VudfzJFu+GkP3YSECIkRIVb84A8OIZlrqWzPylz/aNY4SeH9BKV/CBImz2PoY
JxYZtC1EmTX4hCBfWCvXAOOGzz1xu1WNJgQBKFnmuWEsm0zJE0Cw+Lkzk/RbMaH47sb2LIZo2trO
pMJkHMwnWqL0YGou61w1TfNZqDUtg3RgUuF7ofGNsxKc00i8duBRNBa3QODv8qyDUdP0Bgu+VfMy
wnXFQBMxtgwS8sXUQSS9uq+ndSqfx5P5gYbN+yOfSpaBQ7pqkrxVxIPHbL63tIh1Pqvy5wGx6hVo
GlaKc79KaodVlBgbFcm3g5fg5JkArrur8mmmpr+46AVmsGjE7RkmG25kAzjBSo8VfwNU+Lw2eRci
tnJuUZv8E129tJx598bkrE77qNvwh7LFzfCHIDvw9+zc1VnrRbrxvcZ7sWppv9aa9TVtWnE2sCT1
m7llgFT4EGpYy/El1/JrsBzetc947wxzhZSNbHlJdOy5rV7U6FrVx1qXHxhT6RvPkAkMeJYp6eAk
uxTr614ndeCuNWS91RyRmBurm7pDrCWXIh9jsqDTKJSVNNDX29Y+Y+O84/v+ki2Vd98KDPIJQLaH
2MVjbySyOU2AhLYSLmpxTQYLjvquGq/rSo8P2qSgZjklIRUWUp477twyrHR/uk1ZxH5tFTvtQDRG
QdljeY+xE1knfkN8elODRNluqIuL3C5vy0izd4WY66NR9WRDdIRuzJ2enjUZu4FTVfW+H9QQWoPq
PwtQ7WHhMScb3fxL3xl/ZG0DjoXj8TxOZTwETjclt5bXlkHV1TDSy4QC21Tdq2GO+RaMy/Ah0x17
+yYuq2Mv3zEk8EJTatEHyOvdBYJsv598s+W3SOUNnjzTIMDFl3jmRMlQXCbacUL7k1rINKrpD6lb
xRcSPoddDALna+kRJUc8AJ+r531JvOKbJDXgyNxu1VDleOFs/grKuB/M4AIP+KH1o87KKUT4zdSx
T43z0mjZi595ZAgyQtz3oHQCq4uKu6wviKYghWkHpKI9DhQk2wFb78Ek2GLnKiovbSK3gMH9eJWW
NYlMhUIX0huaxkx56TdAKcat6XbVS29P6Ybf/QFrpbEZ5sQ5TKPZAkq7XqypOVRWma9zCLGrDful
1Zu7YYCLVqVkvFsZk12pQx40tScjBWGXJJg2U0J/A6fQnW2u1xfws3eu3u39rt0vUzkEeplPoZ5U
9x6+rBMCiHgH5sMLWh9Fr5NWgijQ5NQtRbxjNnFtlprGZFdN+8IZ/AMDStQwZnmn5dUt6pFk15d6
Giw1knenmO/8cTDCPM2LfdeT49IvTRVace2Rkj3gM2OXwEPYNW+0XhGB7WvuQ2+J9EC8N8o12/gG
+F7b2jM+6RRhT4Dm2uYgyxPOA3O4m4Thv6TljChF4/arO+3gQCkBvT96HMaECY32QDSf3wxHVUof
p3msBXG6eKeSzOoitb+AWPr4z5up/5s26fsu6X///5Qf52Lk+lUvdZ/UX7/9r2NXPFdffxh7/vmD
f409jX9BuHmja8OZ+QEB7hr/IgYWTCoDjx+DuMHgCAPT1yp0wUz2XUdl8cdZfxpRqJj+ycATfdGP
3ZTl8R8TUCq/A7+X+X7/38p4kKVPBITGVzXI5qSmzOHZgATRR70l7KepHMdrIkIRoA3NUxHbawFO
Hk49kH9QLkkeNhTNfCvK6rYY9EeQODEnWdFmjIUmLyQvzTxKZGgba9bcHUvtCV+Be2mKMQ+EMm4z
Ncln3yyvoZ5cMx5DDd1EYY9+BRFuaVN+D15AS/Y66EN6KbmOmxZE17p7agNd8xZEUII9mb5c1b5+
6xidGfhyesaqqiCiyO1swbKRffraEQUWlmY8bxH6XVxT7Sd26tgCqlc/J7/FGO8jZRP2mA475NPX
w7zcWtl8pcf8WxycSHDTZ0ayNWsX8pd4thSj8YIt86mdux0PwWIjy8T8FLXWIZUeMhKdRU7dEaJa
acRs9eZTPhbPLtKqnR5P97rMr9cr0DNSpHwpXrOVPNbFfbYzC7KVkPgixYxdvvPT+BCb0/3a+m48
CB1HWfgvjFP9vZFYB2THoLJEfVwKJDTa1HFhdH1j2elJrGJjlasHh6JlaqynxMxPsSqeZZs9Iw27
uIlJ5eJY3dbiDU1W+lr3863Frmg3m/2u9RtkilZ+WrBhBKpPOPAEtaiouVAiIaAlgl0ZMFNNtmkO
DG3Qxhr9CsOtWFuvZVI+cxoyaV5Nej3jpc36Wo3FvwAJ7Xbq9NteTPshWa4MD8uANupXjUto85gn
rybGv61tpNd5rq4YwdsHD8AdbQLvsLbmxyXqOXl6p4CiYGph3vFCY+plTN6t5SyJg6KVeZRWG1E8
q4dSt0M1V4AwE4ljvE6fK/Rg20KoF69erkYRp0zDZArxx31Klf4Hy8sbH7rAxpmM3QwGcLERrAN5
eljIc8IX1HOjmoe45DPSdK/YsOVmzEd2IZ6HZDtNfJ6+aZgnrEz+Vi09LaUoSQXr9McqNl58moig
VIRJ93FxolZ7aOXwYKnitdRJjdIdwqWHUj2YEcEnMBgbKhjWEIujJRvDSKn41utuVA6doPVUt1W2
Qz13aYAOc2rxc7xPRgAk/02m84RYd+Y04XZk3nZpKJS/ZBHLClAUc0hhMt6ZeIPCQsURFSNlO3C7
8dC680hqkz0eu9LxjmrUsGwnc7Ftl6Yk/reZSSCCV1QmbbcRWmG+9Eb3ZR6lczY8lGjcNXXaWqGk
g81CwMpmSBjj9By5NVZ2+v/C2WdWWz3mVfRYKjp3Ur86Pw2wI21UEl2sKv9C5wRrVBVb+twZHUBK
xvYst1S+oD2l41DAphg4Tl7dZ4HjtpdCS24rkie3k2Y91ho1JdJsyrHBflbVLF+qShCxrGXJtiAd
zXPnLGggDu9KDuWQKjG6NXobj33F7b9k4qWGIIMwqST2fdQ3jhLGznQ5oPktGCsTkQyii6UOwEjv
BjTNsFeCm27O3SdXc8hgbqdjNMpXbZJXlpP/Lp3zp6e4L1iosf96m7C9V0USTGINkKNolUd25OhF
ezwe6pLa7fUSGc5vRFDM8r6fwHFmMH/jQDMxEaOUeU+gYaI+VM6MLTjmqx5CPiDEDP2DQ+H7m1d6
L9rjlVj3UcgiqyAC6T0YfXJdZWZRUx9Enz/7K05jfRxnxjRvTKiolPJoXXffHeB/o6n8iSC0vqZH
BLvpgX3lf3n334liYrPyE491PUNuO9na3fhQK77YmmkdJg304fp+ccVdyY6n269f+id169v7Be6L
RJuESOSKP742sq9pyQCSHjowNWFGU3g7Rw7il06/QtqSH3RfvUydGnf5NI6nbOz43vrVGixGxh3s
prharoYYSeVi2gcfl+YmI15YeNPVBHsyYEbbbBhTBG2dXVeOxHQz3qsyftTtBCGZsi4DKDTSz2p/
bxOy9Tmmc9hYHo+HX7/Tv7mFTIstKwJeQ7fFiv/7/iKLIvXLWljVIRHdzqr1W91fbsuF6cFvXue9
HHW9opYBKMm10VKhvfjxhfzJ8BT/kHvVxwLLXup2po3Y6mx62Uz4WYg297qPjfKuGOdbVCjlXbIa
TK0lfm1HnstrqZLlFBCGUFex1mHWnIYHzXcuphz3icfj3gaZDHpvZSkroZ5iW8x7ON4NQso5vRp0
2d1XuXpUkmOfRCzr1Kce6F+nx4xXpa9RSu5dlYPtlsqr90rLXqN6efTiYbf0rG0U6imUkAfsP+km
LiEnY5W9ysmO24hhuSW91QxwDRg7gCFf5Aojdg1qrF9fyPWu/2Exvl5HoGOsxgkewyP943VcaEZa
C2/eYZmwQFFOKJ5sTFrBkk/m4devRYX902vZiOP4tKCT2e+FslLMKVaFucJUMd6D4TmV9e8emG/f
pHfvB+OYsNhWGCx83y/6oQiRpKjroA38sdl1qRIbkIUESImXdDHnfU+Cci6sg6+JyxT5ydatihPj
1U+ER/7hMaQPRDnKwCsy8zBmHOKJz9OpmctrtuevizOZWzdK8wPxbsuqXcHQhPf2XKTOdvSajx7b
akYIXnwEqAtEBb9dYBgmlCe/bXZCoocjOV7sYS72gS7SV5tZYdCm+fWoctBb8bzxnIwC1WAfaIPk
qlhsbka9v68rQYqcufwmysH6m28snwWCV8B2JNvY4scboBINnJy5rA5GQaMwJmW6SXtIigKryTWR
s8DWKLfCYvYuyMxI1uukHrABvukz7uUox5vkVMNuipYJJZNRozfQn6asMUN87gxYR+cS4fXbDJF9
SZBZMGDkSdSg7w/dbH7UxfSydHpADPUHRP1UVS1vWGpqnyf640whFjRR0uwJe9tD8bmPbWcIMibY
gdXw4OscsN6+BhyToAR/L+zl0W/k+Ce+4d+6E/7mS8KZsf4HMQrd27trNMUtVMtprA4T3hBKHBwJ
E7+OhVwiauLffCIQ5X7+nqz4Px5r+Oe9n76TrWXO7NSH6iBFV20N8jtAsmeniJPKN/h8AGAwUyaA
OBgFjyn0gk+se3GiUAAOdeQEdQVLLS3HdusjnoCWxxC5mr0/uhzY1ujdFH6Jm8Cn2ldVbcId7l7K
bLlXBQoWdz2Muc1iM38mnpUqdRKbbCFZcoAlpWqxoVzdjn3m7Xo+0rf2crGUGbIxEhtf5idG5fxE
M427Jhr6oFj65KjwQr81QVGliJXuYQFUw/SQ9jSSHjIa2EW0evYyPcg+xse0qkXN8UHkxi222hOh
fcyf3SHEeDGz8hhQB/J3onG9IZth3BmW7Lbr16hTNuDN6cGJ1wYCujjfJyJvipZqSY+ya8XINWSw
1G0lS/g2s/mK9VF7JuP3RRKvO+H1Qb+dXqdIUje+ohRHl/6UJSOua8vZmLV9AMdwguN1WuDIBhJn
KMPp4kRTvC8jTpaUXJug49vhTP01VOUvSTdVp9ywGUyPoSnkvFkbI7Yu6X6CP3VFTtCl6K0nIdPf
ncfO33y9qXVsFnk2K1xTf3dOFrOZtXgny0Pnzi9VN953OufeSJsV2Xyt1/rrrdWu0bDuep9K7+07
XyVkBUzdFLQZP4Y6IIQNlm393A+9UZouiZoxJmDhVVtfDfOhMDqNBo1w8yC20i3gp/gF/oJ/jV8O
un7MuciIC5E/z/INksSL0HjGZP38OJqUW7o0ERzq6bBRcZ8z+KSyjmkMOQ8Ts+YDiSmz3Wx46LH3
B1Jg7/JoSf2huB6H4d6ysbDXBUEXqQQY2E7LVZlM8BlKcrIMDUF9Pb84HamvEmeYS3eAptm5jBwi
NJnDg+mo27Wa792/ztf/ERb+Rli4Ok94TP57YeHjN4lOqv9+uPafP/PfwzWcRoj/TN34Uzn4X2IF
10THYLk6urA/5fK80l+aQlDSCAcFNz0ztvcqe5f+Bu09ogWqU8v9JyO2d8WMgHnKkQDZiW+Vy6Bv
/efftRMIfIYFix6DC2K54VsmXsBdagbfXZO/aVrWr+cP5YxjUObim/c4eLgS776+0TC2woT6eBiy
CoTlqPte4Kmo/lKhu7stHZxWxdKu/iZSY/7UxP7bU2/9vH56cZaSVAZcNpeL/eNbTJwCEEvu+QTO
+DXqdNlN4agMXpcE0vuMddZz7JeNTyJLaobdMqfflIb8eOtIxwwLabAaHuAW9CN9ltlq7WnI6+Sm
8zKmJ1lBuilNdrPtYqJehs6N7ktIguGvL+DfvgmC45CV8AjkRnp3BXVpNUgeFv+A2VRsFQzqXalB
ckhxen9skVRtIiMHKqKVDCIMHVzH5DO1g7+DablPfQIMwdDf1p3nATzBS+UTcoKyIC+OiscldmzM
kWU6rNkqCzMKrcR3+Ov38NMznJvAc0GrM9PlkfS+qeqwYw7Ye30IXiT+SLSQhNzKee9iivj1K/1U
6KyvBCcJ1C1EMZS8P37iNvursjF4pRFPOo0yMIze8dqT7M32Trc5EX/9eu++RAzB14IK/iwuNW6y
91RfYXRVxRKW14tTeccTpQuWIf6dRfBvrp8FGIp8Io8BgPnejOZLHhcFGfHUU7j/PK5aY/rpIe+8
h1+/nbc4wndfV1ug1Hf54oF8e/9QyLCu+hP34IG2Daex2yFq97ln5pkPbi5NEGlGgiwWJUp+P4+w
nJrCQWGSGdF9MtDjl7bd3knosaxGRzhujbEusUfUDYcYXOSpLqp5n3JvfhxjtD+AnXWLWVs2IdOx
Yl5ENSv/0GMv1Qmn+zQ5S3r49Zs033rCH94lim2aFnRaK/TZt9/ZiyIRFUx1pTpMrDaDEq/uEaZM
d9RWvGGNGZuRUf2qCgn6cIUgcvNmB1CRw240VkRiAyyxeeMmIigMW6dCmyvy9GL7s/XFnQAt4kxA
8TmJDwZjRQy7eMo3Es3Lg9Bzf5eQDoxEC3Aj0c0irFaYIyoqA5vAFx5n+cHpAT7Gg6BUWyGQnC4J
0RERoRykVx/QZcwskMFGwr0y9p1Zew9sqLNjpuG6q4wWqwqi2pcEn9amRM98hOwJShNfexuMK6YS
bWvBao8tcDMKi7l3M2ycwYFs2RvIhHJEXY893MtiBWBWKwrTRqL0dUYDRWcJKDNGQbm3Iwt6Zuaw
YF7yBrHsCte0E1N/wKFVfnLJIX9tCK1XQa77OOt9UuajYKqBRdQQRp5c6DShu2I8wY0Xx2wG7bm0
vnNDhpQX9l66ov/KdLoBhdv+UWUrDwZCqKagoCQwQ7UVHqphEmHLmWJ3ceWpLJGRF4jwEPb460S4
utRRAzFHIQkN4hVRSpz3HiH6eb2eYV0QJY/bDS38ijY1wO0SOUvQEilNR5jSJQFqoFC1NyqqUerL
xRg0lBTzavfQOV822YpSZfTtHYfFMp8lkp5b8KNddez1Abm92+ERtXao8LgjVkTr0Jrmc71iW/NE
QPpplEcegajkR2IHh02ds+4FWpGhVQb/OsGBTRLzTkRgmHm2jccehk0wayDaGK6Jr6bkM5eO0dzN
srhOI2Dp+PFzJGrFEA4rhDYpe+iEun5qBFQnPbYs4BIq/lBl8XUUO1+SFWeb9L1+H62I20w6n2aq
aoETKpxkl5Eu7/iPPWSanSmlcXbVMCHRA5xbjwsIXVBiwZDBq+lXwK6LuZ5HFNBdo3zbk9fqSkPC
uM/RRSFOBtOrrcDeZkX3JtBONyCyIV/g7R+5ucbJDTmGcuzunkO/NqVYkWOAwLLrtCt7qetzv+KC
pbLn54wdDSCLzsV49EYW1kXW3CzIt3lMdQZOutmwSNBRxcFYwcRuzdfF0QAS469qxYKBTCDSCkB3
MEvvk2ij9Kx6kaMVP2XwsL46bjc/maOcTqXnjcd89GG4xo11ZvPfABjLI3Lu9fE4GHy/tDlHV1PM
c2wGeuZ2Bjw0313a0GgdGCZ6XCLxXNRHa9SrHfDH5KjnqBesogYjOzMLgKeQ7g2nrc6pqkFgkqFD
4c//zaohb8BYqvbkN+jmnXqY95rjdUHb6TnA4nF+HXs51Rf4lUUYNRQFC0lngawFW1BEG2Eac3IY
S+QFQh+arT5OYss7lifXweg3QZMIsTPM2Pj07tPiT9aN4It6mYFcD2EeQaxACVGP34yMFEW/0JcD
sXvyJXEhXTh16j5CAq/Ole0CWtCpL4q6SW6IYKM6GSn56ho1phNjSAsRsNN1DsxgtwrW930RW+1T
lpk5CW3LFKYadaFmN/O+yA3zOFmAuRuESY913xXHNiWbcNES/VBkMGkyyZuEdbxcO0UdnRZ2a4d5
NpuLSY7bye1oUGGeIQ51TDtnbF01W1+OvHO0qTe+DqjIHkzAM0Qgbi3bim8Wt4lIBLMWfkb4Rfcp
dhzw5NLkN4Hnp+/HsectaY4RBz0ywnjT55m9xfNp3xg8GDYL+PN904uF8Eqn2PjuEJ2oVexNEzl+
QB0pT6PD/WqYyfxKDTw+plAstmYt2lOGjQlxom2JvaGX7R6Npn0Fx127n3kBfO4FJ+8SuZDg7Dmx
v0DFQJPDGL6/113AChFziHuJVCqUbmI86Z59xcAk27tjW+/JzmTARb1oXtlKR5rFQ8HAK3JB8WLt
mqRVID7QvY9FluxqM0qAag0PBOAi7ez7lH31ZG/BqdzKqPLHIE/icS+bcU72XH43f5FIjpKz7Mp2
5G5mQQUrBjVZX0o9lMwMcIFEJZInS81QxJHfWslFTUKVy/HteP+fhvW3DSt4su8qoZ9wwY+pjNN3
LjjTfvuhvzpW+19i5QQ7a1TEaoKjofoLUIpY3nUtkIPMYqisvweU+mBNbZYmuk66LdXjdy442KUA
NxiUck8LgSz3n3SsrvHT0oSXJ4CJP5LfAj/pWo5/37OOMJII2DPoWecKFtdYe5xs8LmWam7PKbNt
BbprrjwgXqQAJR951sUba2V8Aa8YLmbt4BVaCWC2GxnRVrKcuU1WQphcWWF1BfkroC0/tlH/EHEK
ExI+tM+62eSSKDEu8Ec0zNWj6Bm4NOXEOTMKTX61owrGYULhb83Kfq50dO4bJYioNxuqvmDtHh57
p9a+5YrEMw68Un3zXdrz7JR21nQhWWwrmWl6scqudKyy3t4Zo+qBkR2iiyDWBjZgPbIcntK19qBZ
NnPlhYCmbeNxqLsUrkFXrstsV5jqYkhVrGtt70uRF5646uhguSy1EAc2MDHOAGMgv9PBvo61sd5G
3oQM3Wih2Edd/odVLtUVBwYOI2+xGHhb+ZPMGOXaRmRR5vFILCJzehQCSzWQUYMKs1snWE3Z3KK3
1d29WhGvOgXYZx7bHOEsuD5ijyW4NUXpR8LB2LqPpFaPPW58BdVjkQuqbYJFYfxE/rrpoprsxU2b
mjBQNNsxHmTrgYZvrJVWWkzNZyu2vDNdp/GgJnO9yjzs4iBZ2X9+zngneOP+EK3CYVo0Nn98D1l5
5FQERtmZJhJewhxBX5oktpVbj+4RrmbiQ7TQZAtb8C3r2pAF+tq3vyTQkc81ahgPBEyT+ffmpORn
bJN1+rmp6L2Fj4R7Y/cl1FbLA+NjD4537kdrNVYlMeSfN8asV+cgihjc+o8UlBjTpLdCk3xpGQ/C
sHkb5TAyXSW9YNnjUgC0uKL6GgVRbW/1HmmrUnXLlV+hXSdVF9grSSZgfDLs4CsklosiWgmPpM8X
8IuaN/MLTAiP4y02R65uOUZAXulV2M1GI9JVe5ZmFnrgPqzQc2tHXKJxRT52PbqpY9+McD3iOuu/
Am5CqYvQHMu0Wv/YhGq22BdZBmsELSJD4sB5Y8ASYsUfr5z1zXvMFpYAIhFXUE6Kv7O0DH/eoJSK
ahueJarFz9gptY2lAdALInBUt146Oue3V3TcAQrSqMH5pJvi3mxHei5SOqCBTjInt9e0bHJ0rUmM
y55C1XrWqcOBzpGJceXoRHy3gjotaG0lD3Ga2dbdGzIzN/GdH8HbMFOPnAHkaCsQ0ASxWfC2Ziq/
M4we55PVo/R/fPstvYIu/0AYYlpt4Brwy9qNw12m4Vu6+LIgp6vIO2wmHfs2SMBsMpYPPToI2sti
/UiRFazXJJv17tITJotMG0rqLGv+vz+vrKY/+a5aTfOd1yuOlUYy3btTwRPKzSCtWKVuzLuVcvW6
LCvzNXO09Z4yBDJpxHBeua+HcSJB3CjVsEmaXMFyyfsp7H3Kk45V4L3+Fneezc1nJCOwJPR6MDzu
06qE62/5zbn36Ega25tBumjtGHQCtRAxljEwWckCGq1wdJX5s//Ih+kk4Wphvke0g0W+kF3zGbRz
F+3cTCgk675JmppX7hY81ht9jFcIXd+9ZBo6JEbmUHMLv1AfPEcrN66Q3NhCTpI3wwU4O8wJeHdl
XpsoXm2YZf0kCzO0/QrtPJdsJFqJVv8wAa1/aclxw95Z1Z65JQYImbzocusYx5l1NKv1+s4IeMii
dXmCDG098oLldDMZtrXF1CPoJntWoyhliAcqGcEdTbW6cAovSSC9z/FdZTTVfTHWDjvHvMhqkn8T
8dGvF5dYUTl/s9zSPEWI+w7Z6BlfC9t925wrd4cxKju30km/mYimHxD/zEdgWG+J6eSop9pHFH3y
kd6+C4ml6Wv08RBqkegjboNyfDZoZvl7qtrpXjlvq1hfvoG5zPkG4H66wtPqrqwvd7YgZ0fmZ8wc
HV4xCkdUWa5Bo4q8r7SxVtngyagbVU/hl0aLe7bjFoqILL+xkEms7eLRsgZqbmEM98q7MIS6h34p
FDZSA/JH7o2dcS6gP7V3dL/Jkfku01JH7RYgj2HX5s01mhySjrUhuq1GydNkdlFQa81wb1TVkxlP
CKB6v1vi/Uge+7nJK118jBqzfpySQn4oJus2scf2ngB40ENxZ9ClGu6HyoUmilmi925aVsMYxAu6
mpjVbSwmRcqf97DEwvk0wMXY19hK5N6eqnrNQ4HBcBil8re5OR1UQ+jT0Ijbrotr1PxNQpyHnuiQ
fBecWBHZUXdEwNdbJVxAJJk02IyZUiG26oE7FpNe6SE+2ulL1Kiy2JB+a2c7vRyG8oB5j5gQzbAK
yONtvfGU3j+IKvc+pwLEDUehibk5swZQtlpzHB2TuxpE8xfF8X6FFWy49EL/MkmvvW6YTveBManG
wTMXkd1HmEw4MpT8MLM+viKS27jLDad/HbETfZn9uG6fVa8X413qyAhwl1zyY1zk1aZp5ZOYl+iO
3NYozNm6BpSC6jz2WNsLvPMj1MHT0JnajZS9swV2S9A2UM9v7JDVuV3SbBvZs7gDBDl+9lInCuOS
LCG/8e0bZgOYFvKKiMpAhyx3cbUov4YnLKoQv7Z2Z+W1HbrWMG25XG4wWo46NV1ZfWECbZEK23yM
CBckklw+9hyJWzCKNnYs/bMh4mM2Zd1Zm23raZpiE75NPkvyZjtjG2lJctXFtHAmw4frwZUHb2Dk
k7sCCYRu0F67daOs85T0Fu/Qo79LCFoI40YMPYefBuCcW0XH8FhOHsKuwvgUZZYbxIVTsrGjSWeE
RO9NNlhoNCP3gWgsTFi0dbHpR0tIH4tcxuEI34FR0qGtisa882LLgS4s+w+1JLM7kBXSNDjUGNwX
Bfqyx04icztohvijo7cwePD74b9RECMZauz8viw/pBmGniCj/NgJIo8R8xUZUlVdacHQO3YbzF2S
3CLXhApr6vODLuV4NXem/gkrNg8ovH/XPIHG/2Dv3JbaVrIw/CqpfW9Kss4Xe1cNJpwhBEgyyY1K
GEeSrfNZfvr52raIZQhkIl+kpkZ32GaptdS9Vvc6/D84r/TvHBWh9VEppOokiUqY0Yuxmlwo4TK9
9bQwqKCHz2uY4SOfyEgdy+elOi8/+r7OQc7Wz0wy55c0fbafAGcnV6+F5Wev9AiYhERDNJnuR7ep
3E9VYqWHRt6ArpTmyrmehM1pI7m0OFDGdky0kfdQAG0DZHNIkdXENErqvtqFp7ESwoI++AaSMyqe
8Y6QPQO5ZITBSVLTS5NYPHhFC9qdPY+N47xJ7TkBFrk+NSEFOKIdhL5NGyKgJpOBPtSj/BCUCiAs
Wje/oDpXJUDjteVFk6nxMZB/jXLM/zRXRkjr0cTA3jzO01L/TqizpnZY15annlUE08QwwMWGAvV9
ILZWcHZAkFO1xI5UOYQOSfCr+aM0eT+PKh/CcrO8qhN5fGQDrjoBaKg6WgB0dwE2WnW9hMlA+YR/
o8orokqxmgA0Ed7MC18BZVyLb6mudfXbgEZSgGRHVnZIyQLbgqhWHxaUJbrHFq1BLCCJveBClxcw
FDR3bhU0l1D15O/bcmE1k3lu2h9ztgFXYzAJsLyt4v7bCCs6RZcKwVtbtb66gIncLm1KXgiFe8fp
omwvtVzTrtPIS4FuTNPRURlr5bkSB8VFI6ftiRn5zY2sFfm9V4fnaZ1eJOayOUqtcQrvUZxPIbUl
VlKk2Tn4N/ZJ5pqf2ajVx4RkjmgAVT8SsgqgnKoWC4A3KPQLzumKppTZt5Z00NRqlswn5AriOcW2
+vK2VKTkoVmEAT1I1jioDhNQxQ+VqEQhir28XJTZKJy2VZPfjKx2+WFEeJ9WgQTa7wezSAhIt9HC
OMz8UrXHJ4CaKKMzu6EuzlOM21gOviQgansXcG0b9qUSSU5RW8lVA1rRIUXbaXkG7KIt6m1bSOUW
c8+4tShKgKUFaGdK+gHpiOybOKFlVwNiKaMCTkvqL0uBCa0qmekaN5TdpTd4v7NijR+9dZJ/Ic26
m4ciB6XpqmiaoPSVc/pO3mvBZonAsxSfagQAOXT4c7aJJbBO7jq68tOcqhC0nTpZ3Qg8GzwCGHHj
3WykmbGZTwNuFHiE4zmnhhRGRCl7NV6DAHMXxCEuEJ764RKD+0ZG9/ndye2ZFg0pKt32lqAr2j7/
J6NWNiBTjMHwTMb3ek3xjQ/sIVuJIDuNaaCnX6Aw2A+O6pAd/Os6lnfLmiwyyepYosgYAFDr2bPX
c20ErFlGG7WcIB0mgFK9MhYp1BDznBMUeXAevlJb2gxcgZQoZVHJGSByjYAUdCO/ka3bTXbSFqOR
VgdrgDICVd19Fy71ni3gatmpkWXqWa0QftB8b3y/bKEnsTL5zTTubh4SoiZwDah7VKi0Y38o8u1b
4ZfAA1dMk/L4NKK/67LwOK/leGNnMSqA4aTxZgrGkKpeU+db0lpDEt1uJ+AFeeHVXJsDWb+CsyXA
rWYfwkzQtYx0eAIyOss+Vx44/tUiZiapy8hmrx7q+aMEsrhFFAeWpLuxLjhc0gZAYb8sOVskc82h
+r8u7nK4cXKKUmUwuyeRTiHRN0iZ6Iuk2JxTumtrkEMorsCUx03ch4ZClhxG9kfsRPTdXFbRnUIn
IU26ac7vyWAnX6WQXlOY7QB+EQ5T4lRNhPfjEvCb/Niac1o8MV0oW1p+mH1Q4wTE/cyTqeHJZROi
EBEAWZER/D+8ueJLeiu8CT4Xedqf1+N8aQH6idxePc76fzbRTVkgW2qA7OoSL5BDwo/oJiWMfEWj
gvKEbLldjkMMjBYGQ9UxOpikDvRSOqCgkrpjiUY1agCIlv4XoJc7FhzTQuMc7W6UeKjgBihi7W2t
LbAtZF+z0/q6DB/dPDjygoctbbzgIkRSe8tyP7vBju3MGiUIk4YbmHMdxAvQGS3Hr659a+Jt8Fl/
6iRWhqB3Lyo9BFIaNQQwgRCp7T9MS/ItgNlJZtkHrSQ2FkRGJL2F2Xi8SLVv+bxxzakX22YhkYwd
56Ml3l5r/ehcUiT4WR7jNdQhFtaj7vfEzlzphP6DcuZDWu2Hl2Wm5hx7JD1ZngXw9NrZvTknf4V7
iu37Ni2O52NfO8+LOX18NBX4YBraaVRMxjSJHZpKRoZiXOl0pAHToVicAIIw9RZ3bGHcKiMjHlVG
fMQgyMH5ektdR1SOzzMM/6e2CcqLwE5LYD/ZxdTgqPigklwYYLkcaY2+vDZlwJe+kaaEoGfkhgR6
inFG77OmKh/UkZEsL+aF5Y3uaoJAavReqVywqhKRSioa+8SAqzY/+d+yGpvsjshZvF9Zg4/lLGtv
ZzBvFE/QseLbm9iPivv4937ULc+XBW1429Z2aBqDHCJG4PpxtG1TWJ1b6+5J0mq8r0kInIKy88fZ
338p1oGG5zaEF11dZDkCKMk2X48sOBllkxwHEbbVtb7hlop+poTXn2+tzdd/03sC5xGDeuTnReZP
i74OWK2/poUdGT+0oEoHMJ1RgmhAACkuDOu2FszxAd8ohiiT7LSE8f+DtMAGWJQz9jzS6s08nwuv
aQF7L9725l2TO+tpwaKj2iQ7TfRzfW2v+6fZ98KCeP09728uyBD94EgHaWFsHoD5r+H+1q9acLn3
tDA+AABT4dCx+QEr5s+aCwr42njsQVpQ5AOVXCm43CKVyrWjBeyCQlKKkl1AxsS1nnx/0IogKMz8
HaYE44Dks07WznpRCbJsgdpG4Z6srhta1jf8g5RAikfnzQ3Sgjo+4HjLOUshESSuHRcBkyhbWDoi
YClYXWzmfnVB/IKqnjzuxPODx5Wv9Wf5Sy75Zz/orM/z7zceZsWOiivt/VC43vW9Z09Hgn96tnNl
/7e+7PzB6j6bf9884PNb9+7VPVX34ak/yxwKlsiX4KjbzTCvnRCP/a/AeXD6uIQsUd7Jj5H8/Vdv
nFvv/w3B+cLp5AidcEjBsw6WC1hZHPUFW8JADRe8cKLcyTtJqyFzZun+fvEQ97QUXlPFxAkAcMh2
6lPWFmXoqDk7xJnz2OPIpo2aRTNcchTNpoU/LXsbJLpDMc5DhR/NAqd2slknSSgbUJQ9KLvb1L2L
v79DOWX40AfHJqa0h1lIkV/mP/Zn4Xq3MFQzIPVQy9SXjD1kozxU8ika9/1Ozmp6K8CGdh/8/vw+
ewTbtBOzkguQ9x5MyBnAKVHs91fkemc6VBdn0SM4I30ti7qw7ikGKCOud8RaJvGKoQO+eG6baKKW
9yCYkZXTRdtJWr0/HS13H/y+Ki5jCpSfqZnG7z3MjSt4vHrWQ/SO7WHMVw6MV7vAUhJb9OHquHLy
3Jl6ZT4rit6chgZG3YdK/Knnu07/SM+mcg8r/MrHF+Tw73RaELNkzD51DwsGjj8SsxCaJz3bRCmY
tCfpcZntit7LwGmR3LEhZE9Mq9PR7y+c69lD5uzsnuiD0vciunL6fot4h4jIDjVQ17P63akTJjl8
Nb2FiXxrD6tHyD+fZfms7ca6moMCMrv7YIjC63dXs8af9twYxx1x/t+HZr5S6NBJ2oxbnKQGi4b2
0Hs3cbIYT9lfnIouknz7ucGae6uTth6/LiBChor/4Pl9jaur6Ntgsa+grT+dvn7vWPMhmwGe3D35
ShUqZ9Xug9+fgjdvkLkMHPdboIkDxd/F5U8momBn24NfXt/g+UQU4vdwHrlH+7M8n/Usl0Kn0h4s
4/2s6Z8qNxG1obP8U+F43bwTExGIi/EefP0rzf8DJ8lrXRoDRX9x8DuRW/SXJrFldQ9L88ssL969
OHgiVXuYfF/8fBrTPNUzK/SbiB6QoZPkldTxqyp/KdL0lKJ4Hn/qgu4v/Vs/uCZ+MQ1mTvbPfwAA
AP//</cx:binary>
              </cx:geoCache>
            </cx:geography>
          </cx:layoutPr>
        </cx:series>
      </cx:plotAreaRegion>
    </cx:plotArea>
  </cx:chart>
  <cx:spPr>
    <a:ln>
      <a:noFill/>
    </a:ln>
    <a:effectLst>
      <a:innerShdw blurRad="114300">
        <a:prstClr val="black"/>
      </a:inn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Region por Ventas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800" b="1" i="0" u="none" strike="noStrike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Region por Ventas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734FEED2-C825-44EE-AC2F-267ACCE58FA1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s-ES" cultureRegion="ES" attribution="Con tecnología de Bing">
              <cx:geoCache provider="{E9337A44-BEBE-4D9F-B70C-5C5E7DAFC167}">
                <cx:binary>7Hptb9w40u1fCfL5KiO+SeRiZ4ErqdvdfmnbbceJ80Vw7ESUREkUKVGkfv0tJ5lMksnO7OJZPMAC
10hsdOuFZFXx1KlT/Puj/9uj+vBgXvhO9fZvj/7Xl3Ka9N9++cU+yg/dg33V1Y9msMPH6dXj0P0y
fPxYP3745ck8LHVf/YJjRH95lA9m+uBf/uPv8Lbqw3A+PD5M9dBfzx9MOH6ws5rsn1z76aUXD09d
3Re1nUz9OKFfX+YPqv44mL5+ePniQz/VU7gN+sOvL7+77+WLX3582x9GfqFgctP8BM+S9BVmNEkE
EvGnH/TyhRr66svlCCHxKkEpThFF4tPPb2MfHjp4/l+b06cZPTw9mQ/WwrI+/f3+2e/WAJf+78sX
j8PcT8/Wq8CQv77c2OnhabAvXvc1/Hn5orZD/vmOfHheyeubT0v/5XsH/OPvP3wBxvjhm2989KPl
/urSH1y0V6ruhxqm959yEI1fIUwRJwn9bH/xvYO4eIUoTwjj7Ov1z2N/dtC/MqOfu+f3J39wzv78
v9M5WzWY+uk/uHkwf8UEY4iSz3sn/mHzcPyK8pRQzL/cQH6Li8+++Rcm9HPXfH3wB89s/0s9c/iw
vLgfTPubef7nuEbxK0EEpoTgz74B03+Layl7lcAVlqAv2yr5bezPrjnMH9zDX87p59759tkfHHS4
/+/cOpeyHn4z0H/AOfErimDfiDT+jFn8e+fAvoErBHZO+tV532LaX83m5275/NQPDrnc/Xc65PaD
f/gPZhmCXtGEcMoR+mzxH5BMiFcEtpJIU/zVY9965C+n83OXfHnsB5/cvv3v8MlfEJRvGcB3t/67
FE28YjFhKSW/74ZvoQx8Ez/zAyK+QBn9bad+hrIfidM/n9fPnfTj89+t5X+Ll/1zzvaV3RYP08Pm
Ey3+hrb9+dVPCwa6/sOjf0bePltv//TrS4x5AmTsK91+fsmXJ7/kkA/vzYNtvxKObx768GCnX19G
gr0iiFLKqGBJDDwc3rd8+HQJxfRVzMDjCScMsJC9fNEPZpK/vqTkVRwTTHiSpiLlDEHqssP86VL8
tQK5GlSohv7r+r98ftHP3dVQ95OFBXD88oX+fN/z3FjMKYuf6QwAM0kYTAyuPz4cocyB29H/UWSO
4lBKd066VTh5sbYG46TNCB2b0J+7tKZBd/valfKDnCM+Zm3dLreMm2Rv16m8UR0v16yH6V8Y1CSX
2Njk3DeQqLNJRTrHVkmXYWKibb/W81tqu+5geDo2hcNi3oqJ1wfsOclbZqop027FG42kzVlg5DBV
HcvLNB63sePdVdvG/dW0LPNR9AlusjpU7Z0Jy3JKI8PnzJukfxuPS3k3xzLC2cgHcVSSd0eDp7uE
t+vecuRPUpRWV8nI1mOMlDn6ipRbImD6azn5TbSQ6bTVYs39QtrcJchvqKSpzep2VLdz3fiHNO3G
HVQsZZXRNfFX46jtVZIm8s3YtXPI46HRBakc3gqZopuUjfLIfNJsXExdlUVx789NteBzPtrXnaqn
KkMIpyajjuA8Jnq97ae5zWPk37feG5sR19pdHLn6fKz7ps16zey7ul8XmY3gw9eqbboDX5zcRpNc
T01HEc5kIFWhHE/zpm85z5oyqq+wsM0uUtXl0jbNNm18W6ySNblNhNjFy7Cce9nP532E6oNEXcKz
qVvCTZjGedt60eZT0uJLbrzdBTz2F+kYL+fU9mHHUUIeGkqG00ag6SbhWPm8a6N202M9tZmRmO87
TeeLFY3xdkRpVPSl6q+jKSY3U6DTPXA89TFgG99iN9dF0vr+srMsOpA63VYsnt6CrXTIR9+Lq9Hy
7i0xtdsirvuin3C8Wfp2PVliFm0iYvzTuFh7iSY9nDd+8rkgrh6zBgKnykQkxCMhzWzy0aBRZtFK
epV7JdsNTXp53VsXt1kixmkTym7NunhwW27lmnFBHxx2/KyfXX1CCdMHalCVz33c5RFe51zaym89
ioTfuEg053qldKcqzXexS9SHpq+aq1iLHmKqWi9b1midNayMHvlAeJeVlUUiG5dE+YynbD7r6yQF
oiblad0alZGubIomUuxtjbr4jfGNP09EG28ktfNFnWrms0GP7tpE1Xo/Ko1ZFintzzSrq1tBW3bJ
R5oZrqsT59L+qo7tdMRO4k3LyBSy2a1tBzHZpxkbxnnN5ORZkdgpbTO79NGS1Twp96Rpyj0WyOxZ
aKzK+IjompV+9HOWmLK7AxjRV6FX666vxnjj5o5t6kjHF6lE/XIyO63zdKz5xsgwXnZVV10aSXGR
jAl5p2ol2gz2tn9jS5lWmedzuEmSllS57lW0WRskdywpu9N5dX2fdVG6lLmLRua2vQ7xZVMShPKI
9W13iFpe3aWoH3WWJkOpczqOJSBJrddi7YYnBVSJZ3PS+Quypl0A17C6LZrgorvKWSs2DWKizFVU
+YLUqBnytelHvPV+XLtMc+2vsYrRG2PLfs4rjY0etyoZWOwvEOPc1+C4qps93hqnq07k1RISXm18
PNv4prQBh+R1lXZ6Ok5Ezm43jB3s9tNVYxut+cSbzuuCOtwuN6bxFX+kVVvKPpepihf2unPNMqYb
rlnUbqN5npqnkGqN2hMOLjKQuCC5fcm83+WTx0EHU1fyi6j19eM/bocO/n165vcvnzWx3z9d/Cam
/eldJx+G5yRqf7zpeTZf3/W7lvOce79O9Yds/ll++yep/k8v/os8gKAE6PKf8IA/1JKfmMDnx74w
gRS9gkyOecopSkUCe/grE0jFqzSJMU1wmnD2mST8RgUYUD9QfoAlpOiZEEBC/0oFXgEdBOqASAzS
0DOB+M0E37kS2M9PqAGM/i0xoJwlUIwxQoAfCJ4k8ffEALlkdHFcDXvHo7bO275il8Qs+rCqhRff
GOcnYwF9+cNYEH8x2EJQhDgUh9+SEGfjaB056vcpWdBhdQEdmpmIuwAWOB/HVWz+fLzn931Dep7X
RmOKcRqnFAvCf1ibiQhONY9hvA61VbbEuiuzxq/oMHlK9v1UJmRDPEe3S1Lj2z8fPP3j4CxOQdvj
4D0OSt73ix2j2PrBmn6/mml66lRnk0whx88DWv3Rl6u4K3H8V0v+iYkZWItAzfcca89h862JJzs1
ZuFptzcd8letktOT67t6zURt/FUVh397wARBkMJwQHGhlmHPE/qGWDZx5AGzjNjJqBzOUq55EeQk
Nh0n0TtSugR0k68b7CcxhP5g1xRqJiAUIIqCcTH/gckGi+K1Kr3bzYMfW0Dx0uLLdR1jl/GF9l0e
5hoduOrpPg0tOo6O9Xe91umSy6Rd+6xKbXqcAsZzZhybXaa1tOfIC/82YP4XUcDSn8wXCB3sfQre
hM3+w3z7TvCq6aZ5x1JS0duow6w8s5UCqlsNIy+6sULLKRpkUFVmJ4ZuYQ+GYySU2eFYJslpbTnZ
d0Gzh4pYk2QyURBLtsTDWbdydPC17OSpi7HqNr1x6NDhGOwwtmxFxYxt1WSRqXG2BLzyLRAGdIhM
GpnNnMbDmY6CP6IJqG1Zi1Jlq3EDe88d0aFIzOrdhrcjbs4MYf4qAZRIipq7Vuya2EVvGiVFeRwN
NhByZTOSPkttiKohw6tE6ANEqa+B8tbApS8mKhy99n1YzvtYqjpPWLNkTlCKs09AYEIH+9Q766+i
ZfJXoh0Nz3056vu5wfp+NTHZJ66dxtw7p+95R9xVbO3Q5WJcAb583Dwnb8MeuIn9cTAKuHHnSn1P
gNYcozFCt2yaeVGvNXsACRj3+z4If58ME57zhKLBgmWZP87UwEp1S5esUxYGBPpQ3uGmbU0x84U9
qBnsyFcHdjMU3c4CnLbyUdwt48oekijxx7oCKjGShZFtGOqJ58JHUmfWlf74OVZlUxGgkKRegMu1
3j6pZojqjDJYLA5O2xO7OLXmkQmtPBVpWXf7dozGbsoSLPi8mSiWb6RbxB3XgKfF1M6p33SBQpy4
PqEPg+X6XlYaNv/YiXMRjLjTqmugnOlriAzf6iinlR/ODBQXQFv04K/mOeilcAkGk8Lu1vfeN12X
V0O7jls3G3CSkIjsZ9nUOlv081oXKoAVVoPZfbI/9RPLyczpRrZpWggeQak39iI+fLpnKss+70Lc
AG6schfBWq9lOrliqYTYzqOFAJbP2yOZ2kXvrG3K8gwBTde5s8tctKPn4kjiFBmSTaDSz1CG8rg5
TGNiNct412J/o5M+NlVWDr50W9XEIStJBA/0qkbxfkFT6nxWdVEvT62d6ugkxHOzFGMVhfKodc9U
JgfGdNbLeSrP8SrCfSLw8uRCNLp8aexaXy0hwssbC+aXJ7bv3YnFsl+yNW6HLOIuyoe4rbOIOQZ2
trealHLj6yCzshdhK4jKRzn6/UJGutW8IQfGhzl3btmVIvizqRr8bdLNQy51WYPbo3CgrE1yC8T6
rY3xWGgZkmwKHl1GiZyOixxtlU2lY+8m2goK8WUXklei9mcujdyO8qHqsjnGg8riYT1wM1dPowXY
TLo6Pe1rmRx03Isym1cazoG+d+BwH9khW5uqPun1Oj2JWo5LYaO5qgsIbnFKoaTuC0GdFRlK0/KO
9HbqCxTR15Osorw240OP0ubQKBBMduNCALJRSiDoTOwgpELL7JNE8CEDXPZHSHMQy7jsZb1LohKy
9Grqk2Anfc/QJO66IOcmSyvesYw554+rl+Wdl8AtNEX6PtjWq8y1y4MfoCBoWAKAOeD2toni5k1j
VthYAsSHfRnb+qROCdlzLWKZCVH2BaTR4TZh3Watm76wsIxqi0jH2SlTayzerFajd52JonW/Sjrz
PenMSpYcaeu3xCDTniaYkPdr5ViyMX17qoQuz5dIV1fGNnJfcXGbSjneqck8hM4/o3+N7mwn5qKZ
wU5eNIDzTKP6VAwav5ujcl5yJZf4QoslvcGgc6RF7ZY9A3nHFWQZUQ77Mj2j5WD4VvS4v/Qz9vN2
pfiuk1wXg7dQtrlOLgWFmj6FWpEyl3Wk7A99GtH3ChG4X0PGMq+ZFLh8L/hSmwx0j3LYrnyA0gZX
7Uzz1rbROSgaM5iuK3W2Tqx6G1I+7Gra88tUkrhoYEkgwmjT5gGX9n7wHLiInhg/J0sd5S1y4NZR
CLOplaUAFlRVBnQjG/aBNPwQ+SDuTDc0XRGpxD7FqhHnrGQAb22yQtCMM0SKrWJeVD56DqW56mVR
yQEdQPUGLB0TDJjeCHiPwzCbZJLi3C7gmlwpATjYzQ3MKeUBKl1N4QvZ9hCCnlTiPFG67ooKt4D3
xpldkA5w0LHK2hMQ/vi50CrKGz7AyA0kky4nKfdXmsDwCVtGdZIGyOMg/9UnpFzpwxoaAPxPEJjK
uTSbNKqeQ3+JlQTBq+d9NuuFni/zHJ+kiq0uM1Nkn3rSQuZABFQ3yKwje0gV5EdbM8DpjtXKFGEc
lCzUxFJgDAFKlJPP00I9M+pklA0wiTKKIH2lBtB+VMbsXJj91eSA+3Z8ERu0qj6c4gUnvc3m0FGo
ZpMKkzw2Yrhf8KjlJWYOZl13Gta6uBWG7E0d0iMdtbKQLZKJDl2mZDW2Klt47NI0rzxNTufWNmNe
jyzclNHA7hOJAFiDiZrzRRtfZ62aGwspA1W3S7oOAXBTJed0JdwCLoK2poYoPtWzjD5OZhQncl6E
z2DOwHLqKBV32C8QFlwZyOSjmNAtMSOkp8r4vt2alLYrzKR+tug4gMcVA6ErnzVnkDANQNVN+ezR
piHgprmDiFMW3BihEaqGCa+xiQtmdVRvFGdlfIeiAPIv2Amo5U1C6mi+cYlXic7rRVaSH1XLRQKp
CgRGoiE1jqHehraOKvS64cCWqxO/TCxLEdANFQ8gl8S0bPNSdXUxLarMliTgky4SwEFSLOPTlhp5
IN3k8jqSYQP/x8JTJk5Vs+oLcP94HDggS+tk9NZHoj6NpqrMnJWQegLvdhVOUBZ8Gm3VvDBYx5gU
fVzKLE7FGQ22zMeOXFccIJ2Yat6iuEKFWVGXGZA+9oMD9bKaFDr2FCAmAxpissaZOkMtMJIp6dqP
UU3Zlruh3Il16OpsGt1QwA5cckCFj70ZP0YqXApPlz3ENRCDeYwvxaTjS9YFVziQ1RIbup2f2bgB
blze+GQO2waSaNGMctl4Si9pPNELj+f+GrwNebn36hQyX3dCQYPM0ohMOe+STSXUxdxSkFTBVJdx
0NVrHSXzvRkwOQyuA12HVDEQSD+eKKH6InFXpENHYH79BkdL/BEUJ3ZKiKN1nXVYNHGf9elCS76L
mvUDGxNwCJ1hC28ZI4ssujlWAxDtyOk8ggxsswC6ISCIjAEhIF8BGk7NcDaPONonJIz6wrYKgrST
gDZ1YiAiV1eC70tQJ+1VaJemBmHa/VUp/lx1fFcacxAiUsJAWEAgQfxY9q8ONwIynt5pELqA9Dsf
48w8E98/L9f+UP1wDp1HAloGlP0UCrfvy0NRymluhknvVJ8AGM9pim5HayKVUY+Gs4Q+ly6f4PDP
x/1D6Q/jQouFJQlUphQqxe/HhZJckWbweucblTxMUWd2nfXKb5dUAn4NXR+OSSIBi0cQ2er8z0eH
5s6P1uUCQ1UMGxwm8dzH+bYoDrYB9QQlw25hJRQgKzf4FmT04axJLaA96NrwO9YGypJn5o0pB3D/
NIX/r9mB9v3Hk3G/9+5AaIkhGL5KCs+S4Xe9u98PP/3hoS+KHU9BYEuhDQci7yfJDt73pXcnEHRs
IQsQLsDBDHSd35t3GC6BBgIyX5LCJChshS+KHUleCWjpgRAkEsxFnOB/R7EDDevH8IIGEREgu4hn
5Q5ahd+HV53UtFHIylMPjZUa6q8BCHATkjM9phFAjke0oHMjbnQ7jgoqAVaXOfTVmC8qOw3jzqCu
LHM+qOR0XVNabpQb1iWb4thfz4R29AQ1aYiuW9GYN2NPE5Y7Taomhwox0ZnD1p2rpYMuoSrZjLO5
i1cKZdacnENzLR2gcWCAFqN1olnfDGKzqpSYjUONlzlZhhLKrVK7jPJofC+akD5y6B4WExfVplpj
EBGkhnOXeeAMswJVC8XnAk+ysKJLLhYap1DUz0ercLRNLSJAoJSLSQGHguob3TTh2st4OpgKd8eu
iXy/Sf0QSSBqvmJZz+KKZ0mjj4ppdwKvH4H6DGFXLYk4xdrUZ0jyE19jE0H9Vw9b1rMEOpwSKM20
4BYVnpXjlk4pfgN9C5zVxKgbhH2yEZK+q1zQl2wIouhXQq5m3Ji9GwItJMJXMlltwfok3UShTjKv
I3VF0kgdSL8cWbxAP1Qp6Pton8rHpMT6hKYDyU3at2eo61RRJ348OkNSMLusqws7W3pYZE9gbvM6
n8fLZsTDcCi16T42LhFb19KwtazmeWVSe8SJeGRlORSoRGWeRHLMEgu/JFvfCBqhzKRdn2vFTt0C
wkpai/6mMZYcCUhkZwTYzlVt4/Fat/J9g4l8YEOyFGvlz6CuCwWbTQNVagk9p0RH127w3Y0ybZf3
rbIHDDw2n8AieSnaa6OaCSh+O+c1HL183fq1zKjF/hBq2xXaM7xBDGYa+aUqYldWtytPI6CXfASO
1/SDgNc2jdnE0Ps4I3KMT6GCf1Jw/2U1U3Wduh4YavClOKbAla85pg4UrrIpM12t64E+U4VGu+ik
jf1wskZzf4wxRHSazNM5bik9Cwpn2hC6RRD2F4Mn670zKas30TTJU9pIVGjaqjF7pgnF2LbQ62rK
ahuN8xmItPYUNLwL5yzUWmvSq2wEipbzxkc76EE66LFBDBY+DlCQl9GUJ+t0F0VqK+165HWItyWU
cw6Irh37t2GZmytJzGU0qTsEUk4hFD1Ch1Vteq4frU7TPbCau0Bknyls33WpUdu2xlPIuxqfMbqo
vH/2VHiKKqjZBmiYZuscv6Gz8LkLotzpxUUXCxdiU866KpqY3gMY2kusO7+NrBly1VZsH0ZL72gS
LbmHpFZ0pYkz0NthW0WnaSlZVtb43qXlCCpjZ05UOuJ9Y0/XqT6fugla2dOahb4+9KUFvSsRIFHS
ruhAZ9osi663QHx8TtvGHnlJ1DWw9GrvGjBzWFuyB23YX3derSf91OJCa21O1tYnF9S402DIsjcB
uHSxILtcL3S6m1GIdtEY2GGhSPawwQZLl/imbyKqRDEig5urUC6kO18GdugMfz+MQMmTZBW3DQl6
S3HfZpLX5VUgvL5k0j70VNM9g85dttboIdGOTZk08fTOGlhy3EldGK3wWaX6bhtjBiEdVyp3HVUb
FaS6CgC7mfSAd3DAdRjytA/v1lnUmSsBnx309c7r4MM70IFARO3qeLwZjb/p42TMKt53l0MnqQAF
Vc36qgKusSd6kfZEY5pqKHBcnNm1Gfa6dUDX4eyIKgbdi+PUpB/1EC95hT3aLpKrOWMcQcM8Siae
gWzWDWVOa+hgVvkws2bOdJ1EW7TKdcvx1G0DSFawxXu9KD/fSQWyPN0F10+nHUi7UOEO0fjYRs0Q
MkmbOd6ALIOTy9aAtpUBMeO7dubNeu5BqLz2cPL6hpgStki7QOjtzeTYW4tqcyrXLthsWgl7P0H0
1zmax0rmKCpTCvWRTo+jijguShSb0wHH/HQMZbSdBPTdd+U47UNNqkupZnXDo4akIPlH6YlsSwhc
AUcq7jWnduMw7XYI2qIPQCtjkXXcNE1ehYmeVyDl1FlKdZpk6zKXe6c57A/inMuIX6NrDdD+sW9p
vMBhGrxcTNBAvgoej3GRJsGbbEW9rkAdmIkH0rvOb+KSjA+jiet7yMlVny3dfGHJ2l2CYic+xl7O
ayFVSY6Ra92bqFXroYvTfYrgOEHXkeSJ9YLVWS3JOGczcwoKHVrv2eD2HaBtDidfcChAd4DjBaIE
K2ZNI/nd7AI7Bw1FPUVN3JSn3YyxzRJdL9flSJM7yCNio/1abecQMMiWaarLHLVIVntTe//Y1rWg
AEZVeSfa3l15OA8CURlkdFU3oLrC6Z/O3DehbA9EaTh34cqJpjkW3bqHMq99otPYHvXS3yirFpzX
a1/uWygdC9RK2Kx6mMbLdSRjmdvF8pBhW5fdJmABghfIXvdsCcuHksvxHacU+v5RI0wWVaISmR9D
dAoHk9xVzwBvMmiURI80DvYymB5qYBJxu5vToM0ujRb9TlS+53lYy3mv0USWoqmbMWQi7Zo3I68p
zeB4xnRsaDmrLPJkPCSTVnvYc3VzMuMYDqYE6kcofKXYkNTE96WYSrrp67j1BXIRO5kVrY+l0PHJ
SEKa9/PcN3BQiTYnAM8NzxhyIBe1OD0PyzSeIjklRaJpXAQ320JBzzhLlYazSdzQzRizMU8aPG2Y
7AXNkNXXaLZTYRkT5yqC4xZZWg5T4dNG721KDZyRUL25b00zpVldzRbls7fD2zZg3UPfQIQx0824
fkiAQF2U8QLHmHDynlZSvE5l3z0MlR22RCqnCoD4ssuCa4coX0QLiMh8iPc1NF4vxErTdw40pp2W
OlQ5rhg02QIJ5H26GHk2lYjciUnKGkR54mk2GiiL+wEPu4pDqydr17nlu4bIcORtCbK6xxI9OOEw
HP1g+l0FwvI1E5Po88bj+H5egUBuqhgOh+kltnPG+xQ9iRGPzabskio65UNTvq3F1L8O65TYLeml
P5vtHE5cE0WyWI0d8y4l7b6p2qt4neu3Y58eKtAfBtm5HJpcm4XPMu/DJK7pBE2LOaVVUYkurQsm
NL5MFHBDjqr0ZEyAWGTMOPpepCtOMjro6q6nIQ1Z0y00ylBEUMiRreMToarqYEFM+n/sfdly3Di2
7Q9dngAIAiRfyRw1W7I86AVh2S4CnAEOIPH1d9Fy9bFU3Xb0+6mKKoUzU0kQBDb2XsP23oUeepqy
no8+4uPO96w+TIRMVzRQezHZ5rsqQwiW9CTi76LUVgHHAbJZCQCzBY/ls4g6eZg7wqoMT9MPeW+h
t1LhUp2B2VVDJiUnfaZtUUZZUUXlt56kc5vZ7X99oGqEFuauO2nUxxpww3vNiToSzQPUB3K6sj0A
aCxwkVxWdpOwEOSIjSsuEt8EwwFQznRKdAo5VQtA+NMAiM5mSkKYlinNR7nv+1DsjfT+sgpof+HA
rl3hDuurEHDKV+n1eGj0OJ4ayJcORcras6kLtgsr/7FfFzflNKQWnKeJ75gxwXdKtD3/X5X8n/1j
vxa8UJX8tkr+9kX9yxewiVpo9OM3fpbIlNL/IRHDv5tFRuDJ/atEphTGM8Yoh+TiRe3yt6QFamaU
rARo0w+xyyb/+FvSQv8nTTmwkhAKghTaWPbfFMjJVmr/ir+Q7RugnBFpAhEu5BBvhB8VlWbCFhE3
XEXBuZDtYi7bGKfaPkjoyjd9WdhUrL1YSCrqB6+Bgj2j6P6uOs8forhiPKcdey+gCP1YxYG+RBm+
jEipE0BzfSu2k9UPKSoT5tfxPqjDApujcM48ktbIIGtnXbPmskr1ANldXZY3QHBTk4ESSA56UO25
kSvL43JCJFppsWubOtpBM8MPStMw3Jfp9A7I8QawEievatb3V8MUjsdVzOYiTK375mn9FDVj8i1K
B/K5dl18JL3un2xTkTzijQDCOHxhtqSbnk6t4MpCBGS/quVE+i464EEFN8iA5bKL4/mgSEKtzG0a
FrPN436izXzgQz1OWahdeRsoFX6c1+Uqmli/o3rp80Ercr8ObXc/TqbdzSP5WHOdPi44H26XdmFI
RdOPy5II6GHXXLK5eReVgTlFkw1vbNPY85QwgBOl1lfN3IHKEkpfp0H9JR0NR9rZ9nvei+oSatv0
CAZgfh6qWJ5XCVK9aikyolpbyAMTaA2gwjJ5ghLllIb6+zSFdp86vXziNHHQfWhwO6ZPCoDcdfIE
/Ue153GpMDfdx0Y3H02AS0M06DOi3PxZjgHfM9Z2+6jScc57lMVZ7FocWXUzc5oxnTYPsQe5kUmi
+vO2Ih/NPIhDQqUGvzvV1SkOJ6MzFccjRj/HuzaYZ3YkMxPrrq8R5TJR0eI+Qh50t66Dv5VOkVz5
yFwpFgLN0WThuArr9vBwREcgP3aF/JHpB4dc7oo3/XoF/pddh2lYHgQC8J2zxh7aYVi+jklUtxkl
qHKnKuj/SkGkTxnwFHps4tJdWS/1aeHtcDXKxHfZIlzxTYXgtOq+5ydFxxbYytTHl7RPFUqIMSY3
rl0JNJ+pB9vWQmqSGzGnqEeG6QNb1sllyHfCQ8Uqs0KQgRMzLNR8gOKU51XQBGXWAUq/BJG2lNnY
R1Obz6azh9QtV9pgULER/cXg1+EReEXbgMEN1V/d5Lt9ktTpKdaVuLI8+CY8JxlTqoS+RRYig/bc
hRkSWKRVPesheAZNq+e1ylCwX/ay1XdNkqhDDXXxM8Te9SHUVHytcERd+KWZVS5mJY7OBjyzdHSf
0i5id0El4x2JE3mYxi4tAGO49bJzQQSOIZHdRSIgUED9i2N7nUJ/F/Oo23uDbEUI8OHjwsLzEFYW
FA/nx6R20weuePdO61YhQ5AbYZEW+jLo2ZpxqIWaPElxS6IDyJiFdTogVXEoMe28Aqaay+MyynWv
XeIf58Us2Qza96A4GFCVrngkYySvVdLaOyEMMJ7EvtdVIO5TNp1sy/ytm1D4dUt8AeROu6ysw+WM
PNudEie6u7IJgz1F3Qw5cp+sD9VQ99fNMIfvQyRYT5pQswtEBWmAs+6crFrJc0vS+GEpTZinHRi8
BaLfJg72pO3cuyIy9mot+zJH8CQ3A7LgvOMtcqtGMwQFk+4K5sjZG/qNOg7hQWTacwiw5dwMk8g0
HZp8afuw2h7y0YZS7aTu3wdxv8psDdn44FO1fm8AAeU+iNfTWjbRu3g1IJ8sBaoI9xMKRs2rYzxB
VKslAjkJ/Xip1bQ8tjWJDqZvi1wks7gmSxtkXYdAlBbgyGWVJp9ZR9QJgpg6D5Y63dtoXAMw21x8
xiHoTxBrIjcpTZAtTrF8FdH0F+T3HVQaursfjKB5HzUZcFfypfBNsTe0rkGJzfMxmYfA5j0ysM+h
L8Yr29T3Q9dNFyoVbc6s7S/DuhjvfMu7g1sSf0eoTm8HZSsDtE/6fVQIe2yiTuchhIy7oUrm3RSr
6HuxtvPexcvXCchqXiFm1pmsnMqt4MGVCiID2Th3H5Hk6RxqCX8vQAHvRtaJz1OisDeY6HeeJ/WZ
Qpl0DQVMgIBVuMxxHT1VNZLIBHruGyrb9uhJR79AJRLtltE/ygkhPYTc7MRn0TcZCSR/0JouwD88
fAFpfe8JPSN7IFlqQVXvK7LiAbcQ/e1iPb9z4Ec+Bgtv8nJqAGhDo39X1sPaZoEp3AdSCHORIi+8
KECcAMqtZHpC3AzyYSRXA/i/e++nOyhTxszUpL6cMGE5x9p7X65hcyE7sM2BgJAlpe2V8IU6Q590
X62AE8EhdwmwPFnkUVskJw368VAkY70f2NTkJJFXZdVXx04ME4QjqONaT/TO9Q2goClUh6np9LEA
65WFS232SyKbq4JbhG8n3RelSX8MZiIu/TzEX2lc188WpPINH+y7gTX8wSfRI1mj4aZKpblyjsWA
QwJ/TKZ42hsez49Do6YLLpovpS/Hsyrj4mAq3R3naa1OE6B2wMpBMVzoUE77SBcR9BFtdwfVQLVL
cHLNwAPe0aIPPweudVcpTmWVMSrnj5DpBafaz/yq6XV5EWp+6BhYexKS20pEH5bARRlJmnqvWyYh
vZnr95A39sdpTMxtn4w0X4aeHYiR35OqQAgslDomQwqRmBrq09DV/kpFkYM7oSo+zSmwv3gAQdz7
2uxAM/i/OIw3qmnbPKzK+KGSGMJIqzHH+FaAi+waHHu77xV9kgNqq6aL1G0J00ftgvV6EcvVKmn0
WJuqvTBg8vfwFMxHVE/pQS+VfLLTuhyjRdunJWhFVqRTuu9g8DjHrpwg4R+eHEVcSUlDD4Wbsyoq
mn09qS/BBGzbroxAKVL6izRds7gq6stlvIw7AQEjZA/zTVR3Ra4SArEWievHEkTyA5Kq6rI1CY56
TiVqcVcl5W3XjfSYxkV/UxfRoRGsPyYLsUCWIvhbFh4cVRkBNVRhcRWXLcJOWE6nQpaaI+KX4s7w
fjlDLkMP8EpA/lGWPHeRexooYm0XW94fnaP+tndxuXmu6EXnbXvgiVu+TIlMaiDKHklKNQgO7UVh
2kysJtrxzi9fW6hNnsQ65wRp7pemSOUOA/mrmRpzKJs27fK1Dex5HUiSN2UVnApvIUmLTdWgZIyq
9rpfwgroRiT2bm6MyiGf+iZHG+4iOJlwpIHqzngKjWZVlbfIe/NRk/oAjNAfiOxxgjpJLzziQI5D
uN8p4HIniPfIXxCX82wE35NNo+t2nRiLPdWAfJB62P1QV+94DIg4GwjEc1IOBKrDsDwTPOqnjg7F
KVyk3Mft1A9ZAYnYhQWDkhcqGHbG1RPwiVjGn4yC5uVAp5hn2pN3cY8DCbx+Ud5QN9KvSx/Xt34B
2EbmsM6ZrMKDbCGfoQ/JIoH/7+ScqO6rnppZRFnT1mnzPl5UVUUXkie6uhyhX+zeu3XGrHXjtyUI
gD61yJSz0grqQWnVNJ7z1pUciIOG0GtVRbuDqKAcs7lYl++96NU3l2KEyBH4J/xO9xQUTh7WcO7P
cpXAHqE3X3ZkSPTFNCfm2vT4dDeI7jPDzmPVamFpAZxZpanZTQXUJjrmfZdBLtp+s5LQ604vyVmE
1GMHo5i7iSfx3iuw1cZy8S2q+0FmPvb9peSp23Of2nvbGJaVorEXQdM374hTaidYtxZZp9x0imog
zIgG6w5ZX7jrIqQwoRuarCh0dRK2jvbQPYWXpB2iC0ug6AEuwfYgCBfwe2vDoO/A9UjVd4+LnqOP
A63ggRp038TZQDczIKnhp8PM3TuW8FzX4/oZRPxtUSaYVlKny8Pi0mI3Q8soc5Bm5BrSkDAvx2HY
WVYD1ht4IiZ4s/oE9jfblxkyrQn8BWjCbID06WJpyvJ9kdTj5xGpJ2qmYb5ZW188NNwP0L9gsmWj
ymMAHVKR8bBRN4Gcnc26FopqMfXkvJaDeZCyIeNOd/jo5FN+ruAYuB8L4JqFoeaDVZZ+on1iPrVd
8UE2MbmKwt7pzLcEBFLY91MGTW2fTTO5jNOmf5jVMrQ7Kfs2vp4WFb1rlfkSe1tXWe+XAt43RXye
OIJjX/sC0iJSSwDz9Vp/LElfPialk8cETq8CSnoaHlEKjY+VnSB6DSiDHDgqLoem6HcYUXsobYlN
uNjWg+4b+QptlUWuY7QBJq+4e/bI+pDxB3zIbLesdyZOKmjG0lrf2yJFJma8NdlcTuF+SAK6D2Of
nl0FPFt5X15xNetzA1vrTc1ROcSLwGIiwXOddP5RARrkmQAuDiPriqBBeLV+hP0RWhY6OwLXVuxv
g7XzOxAk8jiGc33fbnkS81hX1kdjBvKsuJA/hM7IfHNA3N2pLSXNS5RlHerPLZGl3F5xhuRat4Rv
EazYAz6FlATLrmzMp250SXNLwVYxEDuQpFwbMMgkm7tBJfmkxAB2AP4f/y1YW+LuaBqUJ6EglNPt
HKwfx3bpl/feBSXO12BEwTveTWQAx7ufJrTw6bMUFkd3iSmxSXLoCqNEzgbaTVX2/xooblU0BssN
ONijDGLzvq6b5cMv8M+/8128UdSQhEBwAEdSjKwM6M5bo0dvFlfWjLqbIhj4LkhDldFwxhNpzkGS
7GTxFDYMAGt4wSp+CCJ74Iruk1he95PfD924x60eU19Cu62Pvx/cGxPTy9jQ9YNGIoZ3NXyj9mno
bCBjC90NeMCbuEeuKE96vvnvL7JZumNoO1ISv50AXo4Lit7Z3eiQZNt/AjRtG3eHH5f5P+HOi3Dn
66+9n/5uZ/DDNbc5Y/6zbOdtr4L/xTJ/WGp+4pICSpuYweEeo21CSiMC5dWLdIfG0OdQUEUJrHPY
ahv6+BOYhEOP8ShGn4UQzBjWFg6yzXNPE3SaCdHMJAX0h5YmYfzfoJIM+OovoOR2RQoHkKAwnQmY
0cJtg/3ilKppaVvqKv4d6NCItDPsI4g/ctLP2n/gfOqrL0hWOZB1sw5Qi4zhwtWSB50kz0VroxaU
HMD9+CJVfIWsNA1ac3Ip3CnXNVAg5A9dtfD+mVdjuQCZFKIuofoHaES/Q/6yTjDIL3H9JUl4L7+y
hhlxUwhtepY1VA8YStRz29wqSiBE3hU1txUUAo43zRVFPY0hF01D10vs87b8K0Dejt/55Zn+myjz
GrgFzU+weSGchmIPjw8KutdzFNNGI1qq5Lt0XVua0wiqHG5qRDgbn/xQjNrlQGvRTa0mEBjIl733
0jjs31yebva4/5VF4vpxzGIWRrAW4ElhMK+v70uIjQUR+ltJgV/pfOwYZ5shIAxMeUAILuy4s2os
IhykEfKQ9s5FbB3CHG5o4djFKFQ7VEAQDHjjm5TD9R/+YY6whH8dI6IvY+gLlrKtw9G2LF+PcVE6
CJVlwL9Q2pBwV/i4iGE/TqIR1UlrRyGeKk7k+MKV/MfJefNstutGEJyFISewFuHseX3dflq7uAtY
8q1YseZgLyJQfH9SkQyBEUKmOunbFnLPERoI1YUgwn6/NF5rKiNcHqo6qPvCNOIJPJ3btPyyfQo+
6wDcOPsWxBCTsJw7IvgXbKRgPHdex/WNDmhHrzfYcQJsRQiqm0EBhif/9UhQYwhUo5ACEPRmecMu
KChI63Il9lskHLbcYaXCUyiArQOFvteJjATqTEwB8kjIAsVTR9bZpvtZd6R3f3gqr48+TAsPBYyu
yEe5wKNhb57KKDQp16qVX2UKlMgeOwOTK7ThshnS9bhCdYol8vsnsTFFr1cgCrMIuwQbFULIf9Ar
BQ5xkKBj8Kw0tGLBaRmRiamsWTqF1n6TKyMf5bqBy73PljRkmAiuoQp5aHpRrjn6Tdj2IW1UY9ud
4Z0N75tZt8Pz74f5OmEBXQXZcRSRiNMYMRxd9l4vmMkB+kR2uTwvdrRYBGSqCJ4PQa8PDqzOsjl4
AKxotk2DSnL7ofti+sPz+cdk0U0OKkCSpQnoMoS218OAUm0YV5Rczy0yWMTwEtELWst5JePKL5nk
iPtDAU/dl6bkLSKq7RtL+QlyFeg/MqMQbbfIvyr8Vqt9PV9GMO1Bmff76aJvNxgaQjIRhzArwzAN
4fSb82lhrkWbCs+e4SwVQbNHOdTX052BZKtvc2dWg8EFcTPjvQ7warfu0GdlDR5c38vzkELMV+SN
92S9bJSBuXqrTIQE88BJUN+LJgX6CZgyXRASw6BcaXtBfFrjWystnTF/2KYUHOSrZQozA/TXYBUp
dO6gFd9EDKzM1szt3D/FvONAR3oCOakBLT7Bb5RTD5wQ+Mf6Ej1R+eO96Uc46YGa4y24M5gwh8mx
P++h6G0UD5FtpAQCYwqhMfbum2VRLdXQSNX1T73FLjJ7Bug2ug6pYuslg1QB05FKWD9h21rWNYbW
0zrAKAj4TtwXxkuw9E1U+g82mAZxk2ixJQhLNDd1eqwmvj2ebmApltA6x3y+721Z+Q++Bl1RoeaD
YgsKHMw+HlDXpgovstUiE0maBQRDxiAoxo/Bk2JMdmhBw4aDAICO36qWQiPBMD8uD/gvgHMq6ZYS
X9EhecDIddBuucHY86b6sgwCpNohnS2dH9AyxgPntpW0GaoUG6KLSiGb5VREOFw/w/8kow8zmSkW
WQxxVPkXUvsOKcrvF/vbqInZhzYlRnOtKBYcCPPrTcnk2hYU3q0neFsGOEShK4mBB7mu7Oozm9BL
Jtr//opvo1EYIxaFFOc2ipT0H1ccLBmUa5j7zDz0dIDqpmgLf+EQVzi8wely8SRL5rEIXTiNQ3EN
vVeMdfr7YWzp7KtNwWKBdhM4K3gIMzqy5Nd37tk8mSAVzYcGXvkR3lnI+4LvHSyoiEaqGlq6tzLu
9N08JAUiTg+uCqLsBLVzB8A/dgDeRrDdl7VMxMMC4TOEWgPMDvP9mARE52i2BEsDFhGMlBCPgqvJ
IinQXwZCWIJ12M0K2cVZltW47fw54uw2xHnfrwCkLFvmP9SGb+NawnBAId3AXW+t1FATvL7jSqBv
ijND/DijaQ+SWG5tiCR29tu6jZBkReA53YJlu1QgFaCsHH9ktoHotyXN4AgO5YNcxLakQ6M9vCS6
D9kWIo0fCD2YGk5tffR8rbDrpGu2nJrCcIXdGVODbfSHh/gmsiXIgBIcm4hqeIJo7PcmVMNl3/iu
bMPHZIQIsD+MfbENYAzYtG3dH/sYPTJXjE0q2CLHHLFyCynoU4ODJlAUaTxd+PZSZ2Dk/AInZByd
NNSceMmsrhM30iz4FFSG2y2uRQMhVRXElsGMZ2cGcT7OC9zuH27tTZaJW0NfkyiEtAeAA9Qlb25t
XCpwIlO3PqKn1hapYPXD0oLJT3dfR5JUIbRloNL8hzgElV6BCe8oHsgimrpY974RdCxgqg4mh25b
g8V0AP9mWH1s9ogmrUajpvkIHXS/RbcJYfOkgaghrI3ISHBBPcIOHOaosSimApQWpmIcYwVtNodD
EVtCgWjHn17mZwuFW6O4f1W2dy/1xq/t2t7s0QTpArKrOOSQTKFlxNtUlzofiVWY4P3cxB2iw0t6
GyrI5YCpJyGA4D+FhTfH0XZJNK8Cj4NjiWxdU15vElJ2yFrhOXg/TKArvozrOGJB4ezH/ERlH0EK
LV0A93AmarZiwutZtkhZEPQwS84u9XgXiyGR5QGizwTBABtyvrdod4gToIH7/R7ucBxUPx9bYRx4
gGypkxZ7BbtoexxFtWwPIihB+oJLXst0vidd02EkvKpwNkH8ttWpv5/tKGWvYyJufjsEECQo1EL/
rKiQDg5BQZb1vYKQAgIf9GNjfS4dkeWNCH1k171RcDMkWRrCBKgyC2OpuSA1JL0865HtBJe2aIJo
w3xjlhvXLcVXomtycnKKxK6K267+BumGt/dNB2j8i4N4x91GMyWL3yXgd3ifG+SPw3RwjifzjTVK
Ll0mGjBRV4xYCjdJa1Pgkss4WZl1S2J8mal2ttECX2s1YzPM3jqglEvAy6g8pCGdogcB+DsqcrLQ
yU1HGMcVlcjfZDGeRxUjM8tjmNW8R1mLpdifl2qVU2aGvhSHGQQVXDVNsPj3EAeE+gNMFYXcsWgM
ab6iPoW+WxTjACOCDl2VF7wuIHlh485AXu4vZdoScoScQIUH4IaJIvu+6proceVzUQWPaUeW5f0C
kcR4HcCCG9zjxIinb9wKYR99PIO4zPquQ5/Ad+ni6+ooNdCNg4c4oumytOo2cj+2fjDJM23KpIV6
pe/mZdNJruZ7Co4IOHBVu4GWp1G2hic71AG8FkfZBJW4gQMsqKojeOqtg+F3CCfYiFleoCqz0TU4
lRlL2lNwtOodE2QUZN9C99/H5ymFyKe+avlSmWJfzsXo5ivwDIXWBxk1buL3sg2ZOYsyUkVywFoR
0Gqi8SHBsV6DlHFQzQSRMOMOnkRfrmdXDNAgHZ1ucNrkVeoiBNi51xP/1AWT4MMZi8MFModPYQC+
MPXIulKwYSxZxC0kw8DHb8eXFwOta7yHbrwRLudhdzDPfjJpOF+UwoLvOFGQTnBnryWvpvi4tCVt
aqDUAKRBCvBA43YKxnGofFnkKkial2gIwIvb1fWuj++gcShdfYBYLgj7M3ohpsl8C4YW+q8Mjv4N
k4jtyFX1IS6kDPxlFNUDZiqAU50214jaRvHLgEkb11fwHmha35WlKxO5h/fDDcW+05Rh7AhZ25DQ
na0m4Z4UatVmR/qqtAk6ARL0fPsUFmGL6zVlnaaPU5EYA51DHGNmw2TSOEFyKtT2JRg/UhZ0M0i3
nD4CDbUVBuhQx8ShVG6bMVaj5UgKmkyNwUMLmRTiVATnM3orpm7ssAB8i3zjOKa2wef6l1tVI/eY
PlPG+AdnySBxtVpBCf7QUr09HtpHkEB9pPWyzXMbwVs37oIpgEvtFKBpI0QbxqCgMQerNTKt3EGr
GMMynyg+BXiC0WSmD2PZTrrFfAXKd/DA+4gu10kZb0PWeNK9fxBYWbgCw1vmWQbLtsCEBWI/X/AV
dvZnkJHb1MwzxUdxxCbGYQxzO+Cy+c/7sZYx8wzATeE1vvSdeKh4JFOWRy4FAJT1aD+Cufi5eiTU
kPjKuAy2m5Pj+mMyJqwaC+Pcjxw35Z5vf2IDr64ZtLzBw8+pDl4+/vckv3wOSEFYXcdh32AAtA3U
/FxpuBXsEdqDFTdtQoi26gxa50KTBxTgRZdm/OVBdX4esdRQeU+2OLc0hV5w0+rPq7hN0UsFszSH
TY2PhD0wNgvJFXpVpRl0KFvSi2akUFjmdQzN83P6MoNdjx2EuPZyTyrUqNHyvmuFo6cVihn8Gnl5
tC/LQ8iqxvyICApuAqFhvd38IlaFdVpQu11GRUrgxRXKoFg9eljnp/ECd8q26X1ZSH5aYXjZ4ya3
b4GXY8DvoaUww+oaRrUN/WVCA+9AvuZdzboI3kKCRojl2cPCuvTHYgOR0DBTTx32NHpebMjHgIYz
z3qOQ/OMJg8tlg9Iz2a7eYv+ROJ2AJa9fWE4bz/g+kjwo27Jth0az7fxtxP0He5xqou60AeoZfC9
yjBasFM1rDEdL9nLWtHlkI7x8eeUp2gZgOEsmlX4EpwAHS5e9rrCOT9T4wV5ROZWQsnUm2BsdU6G
QuLivFT4OzR2Y90D26wBGACywWNS0znuim07Tzhf8Vq1TqJMDhWSxWW9gAWvXroT2lIQtO6o0wji
zUwOBWBDmtIJn1ejGfADSSOvbxooh+ubtXHA7ThxFFCRAZZf36DrlAQo4GyJq8MT080fRCsXVAFy
9dvadylCeXlYmAkRYRIL01Gyr0HZ4iMQm8h0OPMUR9XymYilRLwp6q6rqtNPOLkca2XLw6Rq1Ltf
IQBCB/xTXypMx5H92DNwDtaYsEG6SvoPTCWdGx8N2g44cRpfbn1JCxDIOwYbT4U7qgo3wMMGsRWi
3Gijbfro0m+rBnjVtsRf8NNkqNCNJ6NTuN3vqHWIH5DKGHweLTs5/qRrD1w5jcKqTdHeVa+iuWY9
tfiEWOlWw6Jnz4B19QKyeMrRmeEwtcbKEAps9MQKMv8CvUmU5UANDUdzovUoQd+Lp6ZB7dTmYw1g
gl82ldj20xg5DRC+qJIRoZIJueLMG1ZEmvKAWm+bvEmzDSoIp6QCFl/WaJ3GL+1a4y4/O6RnMrhw
crBW36Ss3EDKbsJxdx1XkonxXQQYa5X7RZbBqg7C9bwewGsHFJqNGCCQeIoKqIphi8NZjYfvgwjm
0QPscdux0XC5LTcbWorF9zKT5dgBiWaaaDZfOM8bGb+DwcUFDxbJNFAF35tUPCHeYn3BiISOUscy
Its9gLIPEPxRXm4oVa2RryKzTpsOdiWRwnBHnyO0F6lvoOuE9vEQhd0wBn859Cdd5B4nGqt5NtTA
v4M8gXjEfgAi6arxPSlMWRS55PAdLffQBFJmvqWznk34eZDQS5OjraYZFg80tB2qDz6awqjLJpwO
C4p9SjvklHHM04lOWOUNmj7nM14MYtC/DszUsvt5Jy/P0vQQpvEcHTHW7bZ+hJu6nrf4l67FFk2Q
/W+bFybf7RPoF405k2W4vYY+EgE+sRbr9kHJgE40e1TuG7eha9ljKxfIFuWNH1fa7+GwibddCekD
3vm5ZJFTIhLBZ7C99QLBb+E0KHK7wBwag7i2JLmb0GjWoVsHgcH9KYIXLA3PzrTbLi8CdEwCfA+e
CD/QtgvRwniC9R0R8A83wC23kVcaTOPTzwtxm+JIM1gqwcNLxdbq0sdVVrb9FL2rXgIWutxs34w2
mBsYHdRmAyHR1c9G0Q5NcU0nM2XEFDxMsBXhntEIpsRS0mGxpXEqWnCNeK63YU0/NlzQVThHMvjw
t03ehxvNuGvdsq3JWHooGzJ4Vdum2SvYZ7F6XyYEOPAW9KoEHmWEdwhnyksVsjpO/gB8vSnogeVs
bg8CYjWNIcV4CyvD1YbktOrDB9V1AqOOCzRqerBw2dY3BjIBDAI26G13oWHzNvY/VHeva7vt8rCn
CE62v84F139T2NoJxn83xICqXkJjCQx4m38QKvUfBAJvAHTsJoKWI7gWICv8X2xl/S8MlUOfxEQi
lfx7jcAJCE8v+mahYw2aOGyrOxVqe6joLI4n3EU2wiP7GRx/f9uvIQQoNbB+0L9i6xzLGNZ5+Hos
cmYh4NuyeEjBqoknzWFVM4cBJi229x1S5z/N8z8viL8/AsABWp6EABfTN7hiBd8zrRuCXpBLi4Oi
qHDin9GAE2Hu587+/Q3SN00wcIfAbuH0gakjREv9t0DmUpdRAUOzuP8ZMZzyG2gPJ8TK+WGJhmQ+
/H/2zqy7TiTN2r+IXMEMt8CZj2bJKfuGJdlO5hmCgF//PVjO6kr315VdfV2XtSqt4Qgi3mHvZ+dt
vPYP02wuOWieejvPTQzAT9qA6U77m6ncr2RSvE3sZX0uL9eHsM928K+f+eILbXYXs3ssP16qmbqO
d1xNRcy5DjQz40+QWtPCm+mbXA6UFlq6/SB5a0LexgZBZ7+3K7PB2KA4WpaQo77jP+f9iPXbbDHp
J8P5Y5/Vfhyz//pj/fXPyB8OSo+w2Zjg8fJ+HT1x73ajoTR5mw7FdjKtPwqhdrDr6WHRvMkip+h/
P+qCpcL3s2Gl4Azb7DG/cohcRTWCQmy6/XntoVDr8kA0nKxN0A9Z8m+N1gDy6p6O/osXA4MYpJZf
jgMTVamONyvnutmqYIrk7a/hFvBJdvXQbRfGv/4Fty/4X4oC5rM+6yeLNxA9isVE85d55rysKutX
GyMQgtnCDt0K4+kXp+eF+btX8L9/K/50Hhs8z6LTd3/93arYqJYpcZLjRykibaYjPEcGTK+/W4H/
lGL80y/GrJBvBYfa+LGY934914VgL+NmwAb6FUztsDNstakRJmEZU/PHsNbs0MNmSJitYqiPocHC
qLSTUa8u3NZIcFD2Fi2TH+ygzB7EfRXbSdIc0dWxE76NVVboCsuYwcrp89BBWUh2fW5YNViwclqN
kegF4YAJ8XqbUdvVhCdlOvf+xz4P16rUzLu4rvRO3RQYkKAqUuQ4GbR9kSPVONJouKC5Si1v+VP8
LFDAY26PffFRVlChe1wWzo9j7KPVKGbB0T2nlcHRTWu4lQGzNPA1HRsDf9JtbUz8B5RYzuTemgNS
VsrHj9qmZTnK2y5aT19xIAxjpROpMfSgZSNQBiXWrD9HHh3XJli2j0Lmx6PKZm3m8wWgvV3ibieZ
LNFbFI6xa4EqaE9VQVchz4JtRZaEpaoG+inm+WVevpiUvb556+BnttpT7ghtGwYMsmfOCiFh68P8
eRnMLkqLqWLsygTGZcsQ5OkI3DDUpiaZRRV0Juoh497vfDAwu6Tj5e6e7cWXa/PMvmHbaFED4gC9
bcaBJcJz1jJtTrAXWsgJ9mnf6XoeVjpF5x8LrefgYWRQs/EFBt4yereMzeL2ofb9vMACWQ+aoBPm
4FBjSIIKu/Rd3Sz8baNZGSs+uI0+3ciQ0ky3sfNbEDyuhT+MA3LUMp8zumnf69mL4lMcDpYox/nd
EVWxYCKyKLgxyeMw619rJi8aTvKPldvPs6hjH544Vw8mKg1HnZYO0JmfdRaD761OXOpxu3Q+Ho3y
RzVYu2VBy9b7KGJAJfXCqUDqDEnj8mMYBbSgudCk/8wh3nhP0DhQEVaZndj4R5P5yV4yO4+WDBFu
ZknzmAlzPVX9xrvuk+bR7R0jVL6d3rrZWKJtt2T/HPNQH63EhnPJ2weVB+rIayIyhLm+ju/HK83x
QLPLSMmo7YvXii9NwetYQ+69OnPWRq6Vpvx1hdbvc1dZu7zJprs1L0exoyofd94i4AsVg1N9Tdvp
ydCt9tJbWnKp5ACSYGAEjfYlOcpm8rGhzR6K+bRjr99m37Khi6MyhYGxWHUd2bHfYSE3YIjENVtg
4k0svrS31KGV1+5+5kuePPqxd4Bp0wHdQ/yt84vyUCi9hBnj51hkc9E8tRaz+aBkRDNAnmmSl1mt
3lup1Tat/FQ9z56R7YQxirMlfOgDjaaZV4sx3b4fh/r7ANPggeEhHqF0NP1vOqse+hm91R+B46XZ
vsXisNOHanwcpMXAgaMgGhY1nc0BGjNWvdkjsQbCnfeaEXGznFAgTF8Hw8r1XTO1I21OVmHxk6bt
fffgcoIwjbX+XPnIESJLH/MHJYmdsdnVX+xh1LsQtkXzJvKhvSrXEpfB0bcnFHwXO9REzmdFOXsj
3EKemH5rBISYqRF5nH5Y52YoMis48JS2udU+z203f+80TYWYHNc3fJ+NgaKgRT64rgNPblq2kC30
pp9w38yFOjtT0iGP19vsdtFdDmJaqlDOZmmecSKW7blX2EqNdjIuNvrigEnvJ4gcX8UUx7eWzusj
h2mMGC2KLEjwU7qRvTTmznLH+rZNrf7z0ipqMvhKYwJftEADUYCXSsAnaBPQTTbTTWAaZX1oGBQE
hqjGB6XXxcOQLmMRFuOYvHQwL1971VbI/NWkwljf1Pk5Px8bV3JKCl48la6hpbz53gfZBe8Iz+Rb
XmHrZclTfSLkE/BFK/UH7J3eiewOFNq9iM9WVltvg4eFKGfeDxaegSvfNB4x8modHemUXDFM4x0r
9cJ/6zWKmsijPsuBrw3dvTM7xZ6D3nFCP1vd4wjT/R6dDtqOOe1fjKZusWgp/QBvynnrzfhlpk9+
WTsg7oeutTCDdlXyfeEDOaSjO007ysDlaex9Ow56q2NjWxCcJFIpTyTAtIeOOlTfcPb+i1+P/jvG
S/M57+PmXa5y/T7xgEfSbYwbC2HBQXBTRJ3qxifqSy2wMTJftX4ovqyiqQ9mib8KRslq3aaLsLjL
NlIatmyPeRC06aPLYiZshzo/FBC+XtB2mfz80jjrojb3OU7zz8zlunu/TvujvpT+E+bu9ZIAfd0p
lyOXNrgC92SJ8dxP1nxfD3H/jJrd+moWZKQERrfgn1oqXh5mWne6OU4X1bvzKZuV2TC38epD7FRQ
1CB8FwFjD/+0atA/4zjtH7AZpC8eo5PP3eqNz1z44H+g3JM/pI1omJxsX/qxfWXDjYlhxIIYeetS
mzzvmKLWRGvInPLSe3CMLaz3thT7fs67z+04WQDE7XW99r41XRAqFUwHquY5MVe/4syu1M50AZjo
7PxCSfrPnScTk8l8r33TYgMN2nXBJpr5IYxnat3InRhpe1fSd6Q77gThmSVkgX+woZmylLeatdT/
Fy40Up/pJTOk7A64uE3rLzhogXHr/CsF2vNXfDP5Ovo/KdCNxr7/At/c5bN2xDz21w7Ve7nXVa/P
p9rqqjswLtqDW/tZGzqqT5td6rf9I3YaWe1Y+S7ppcqKJou0vrYRIcaxrh1cuEjr44IxeUoPW+kh
Ir9TTdkQvNU2c1KcC3ryvgx1l8oltKspljf/fyYwcr1Yj2adEvEy0oiPn+yM7q/nHOlhSzsUTkmN
rOgoRwebs6FEnT+v5hLjV1hUJ/zpbHDYiZNnsRE4dOVS91EqB3t68mG55ihwkhILTo/jGCuRZuEY
ykxUM4GB4e6hWXT8mDONZh4KuGbiOvu5wrHYM8e/2Zg9c4RAbo0aJltnmD0EHehucR5JWhjyu3LR
HIjAgYSUpWAfCVAUm0qrNezqbhyt3BujxckduHP1BIF413isN0MIZka1s3T8vFfcebmDq4wxb7iO
CuueWS0sftwpL441BN5ml7AovCkyxqRRrjJ1JHtCh6bviRSXlJP3+qlI+pZ15GQDqjFmtt/OaEDj
s33l4umLweaCTDYZxTGz+6S3Wv9N+pQmZt/iE2uaWDd3Cab+yQgp4VKtCdnNI0WDVZw6j4tmNdjX
ugmHeBlyko78B43QMpV95RDqAEKAeISbg81J+buicnU33bWGArd/o2vSmWAk11V8zDvPekuk/LKu
afKSYEtM/NbOA9qE6mlG27GLvRjYGpeH4JBwetZf7grgzihvezOb4A70fthCddjCoEysUlVlV099
XTpR3zvkX0F74nyVY/UVWPK6d5uSNV6i8K0U3Cuhroa5i1YuG+veH1LzyUVA1INdZ9bD88ADE6CH
m7/pTVs8tF09eLvBdZPr0AA1m7oBeyIUNRmfmBon8NYr5YPpyrvIqDvYfB3W6LoQ+g5EUnMpYlu7
MQplXYyWpSUIJpbXPm1RZBixfKvxAB9WZRhw+10u4QigTzfsWlCzt+gH5/HU9jPu1WEWivwPgJ2W
M8g28OF9oiFFEDmdBodfbrcw5H5aY1KVY/be3SFnvxb1vJQEFyxFf8stz+WfOQXAyZz6gh8hfuTW
yfYTIUfEn7XppzxL9C9M3og/K3T/0Ai/2rutm9/DF+tDWTnpKzkkL+QuMFClcdu7Rpx/bmZjbALb
bDAhirg/T4YZqyAm2MzDqjfhj2wNfulEMOHOlAxpds27nLYEHKWefS1S0/1SxIn+WujmfJVsbiO7
7ZqTycj4E8N3A5Ozv6o2MHPR3ThxbFK3Qg/bHkLrq1VszfBSV9utrYzhvQH2BNHbyViEMkxunFNt
11kTDiDPRnZNa8OwEHOwHmIMBP8MxTi3b/A9Gu9pmhJ1Z5T8DFAUXJxeBV83ZPzFM5EurX2qnMlw
ozFFyAmojOv7XAE5+72la0vDojVN8YWLF1egr3mzPGpj4URjm2tHMOnGy6YbALkni4n8Q629s22V
v+PjbLke6Dz3zRSjhmpi27yyuusv7YKoJOgTSpqrGqb2vTBGlYUDY0YZZLIEBzIuvCu8lPRpU8sU
85tkayUDNnJyV+fSPDOkhpY2Z1A0jpts9LuFhDTeV246AginfwuIvozHqIw76ChaR5BIKDCMfxqH
svzstlKFxWCCLxNaBzVrdvUntmuejyqIGi5wxjktDzNF1ZnTr4bm3cHvoJTzKT1RcUBNMMlv0MIJ
Rh6sx0rY7a5vJQ4DFCk8ROEGjM6tAmCUdFilVAVGPYq0fre1sTKMly7DeGybdby+1sNUF3dGo88A
KuWA1RnUhtOsbdjrU1IuB00YeW3dOfAKvKDQu8x8K5GNahBJNE/l8Z6FWaHETZE2TuOHdNvKwmu5
pqApQpcgBjzhKfsrzNQTam5riWpJgGBxWbzYMEU4TDRg7X0pmQ6ZgULmTRJmP7Vd9pokhdUk0cyr
whoFN45Z94FUHX7mfUKtVhOuMmnVH0M3KGkTolJkVb2zO3ZtT7Ew2L0cWoRSBGxAuiTP4j6foDza
nywNuRTwATgbM9sb1fPrf4ch7wo+xyGvl8hvU2W/2myZ0qePYa3WbguHsfS30aihx6q9kBW8re7R
C2zbCt7D1f2G21Io54CueuV96/TBzz5P8CY1CGAegy6NzjbOZ4crguMY5mbKQMG7jhSU6lbkPlSD
cEoGSICHle0Wfy2uvLzJ301vqmUV2ZCGlvpiTvx6a5A1qCwGIoIGIhCfzNGGQLlzEKpm5llMU7c0
6JCykRqH3iHp9i3ZKZzH2thEBSqkGwMxF6V763NiLiA1B1g4B/g11QLMM7Ukk9QsRFI1lbO1S2pl
ZeWunVHc+MwO6sa7rpR+3i4mdiJmCyYh+U1Y2zsff/KymhYokr761HpT+aKhrhkDo8F8FlgT784O
tUn1TUCFXNnSCOgTu8YZ/DSSPToVFaxGx/Jxdablh8r+7GeJvGdYKo/MgbNrAyEyLAxnusn1Zal2
rVkh1pI+i+BWK59yX83uCf7q6gYm4YdWoOq5qA/9KFAxKg/CIuYcWXxrVxEXHK0WAQYO9+gE3mNd
HodMmxUFglbuqEDpEOO8te1D71hjFcWVp961NVYLcROQkXWgfMQjRnNW1197QC99MOSS1qBeNUk3
Al0q3VFO9OAVU7uQ3xINYKEWUlEbdbgWabLHpyVhclaT7iHOMTY0TiysBq7SIoajPjTuZyCDlj6E
bmwkTchAMbPpUN1luK08R0yRIexpfEX6gGwi6FtUdiGajk5SIOkGuiKGW7cJnXcVWB11+I1i4aYC
Ml3dnVs45RkaBr5thNeYK9DWtRXSDWOBsujVNlAulyBVECYLfxhXJVqAQ7g7kmfR5eHEwOx9RbDA
sxH7D6ToNvyea7t3dCKViBpTkeXHHqFTaCu+a4iXGB7mbXLVOIaHLzSXc/rg5lW/VV2mkR2pYJxz
bwEQfueINJeDKa38sZnN+AaZZPIt6XU+eW9eFXK1DT5ZrGumwK+K+cVT9nQ/9wBdbltsbGyH3arh
NHUrzAqF7T/qjA+JVMjB1+gMLcCSoI35fTYtfIR2MVjH2oJr2s29/dTFSbMfjVq8Ov2gA75Eh5j2
5YpCf1gXyNz2coun0oDeNA0SU1dZI5D3M7iMJ5gzqNOGekUOmsQzpKDZLzdpBN0wzEYX+hMbIvas
GImzIUrkFmlL5RMzhRlbF3mhmQxwA5N6GW7MqZ2uiaETcSDspHX3CCHa51m5I6rjsea3RA3gfiH6
wgM2SgF+12lbxTt4FmEp1NQLoUgAYJCjYCxOIy70HOUV45L7tWICAHW5bSHMSAR2kSmqDDiT4t8k
NnI6ZCNVG0mz/WOGyUbW0KDCebSXzy6nhQTuUfdtVHbSexzsHg4aSDA4nBqanrNZGc2NWcbGBVpO
4SITimE4Q070LzAmjfelzIqz0kgLRquXAyDyjDdcMVPNnsH1lzCzByjY7mxlSzTNwAACgK1QE4F6
eyXnLyCCS64bC/wTZ7Y/aXHaqlsmV6AtEHIQWlq2lf4ZOHcCDgwhxm2DwkTs3NleaAp8A1dDFwvy
iyo9T59BJPQzPGXuZ0l9HqVm3/0A5zh3swkmhLlLE5OaV5mvHSoL2K1TCSSial77sWmCFELvo4ui
EqFUInnky/5zQkBGQm2ltFCj8rjpJ+w9A3OXL3UyaacetmUZ9Vnh3o2Qs84joOSQjry4Mhdwj1os
vE9MjDOXxyBx3ltjNcn2EMOj7BcDDgKBbGEuARVQrYkK6UzNiMcdBu84QLd2otXXKJyqzFeH2t6M
/bhlM8JKwKv3POpW2Jk2+BvT1y/10qRoA2f9NY0X9erHox60wySwTtoFSYVl/AeyYhER5zK+eJT7
B92K9fcGBfqr4J+QqKv44JD8v+K58W4US/5DK8cNHTe9IVAe79tJgI3xxkbovAfrvZ9oRDz0ulUd
uA+AsU7eYEZkclyYomnXuTP633OGHZGnaFTIowGgoFK9+aR5pfWUp0D4Q4up/qlta51VGErLwjS/
LhPT/35XgPrs+ncuqKKSZKvhZ3Ff6Wibqn3sraGx7LsxJ55LwVTwNm1S3+F/RiSggGN17BpYODZ3
1oKUZjnMBl4NI4Jypcb0JKa0ytcTQu5lfIkzNdtf7dpqimPeeNVohbEF4FqLPAlLvOfwKlCzsNNC
H0ESdOaICOGdvlI2emLJQqAw5PCdgO4wxQwcQ9l7y6pn74tT1yOHStcWJRlds2ungBWo89ApRNri
JFCyOguNFXJkynhUVQteaF4aZOyWjRQ0bZvvotMW0OMsNBHq7YZ2JiOPjWWWFKiF2iTeROQ8gwSb
HZKcWIHuQZreSAuTmcrp+0+NN8cyj1jEEm0ODNHMFOFkeTNMTTTMjufoO9Ga09C9T8Uq9SXgq7TZ
Es6NRUkWrG3KyXCMsUnmfsjEevtNLCcRfnlIEyXd7neSYVbymLPY25LI0MK7jrpo40DDfMmJ2ykd
AHm+B3vxXy8df7G+sfzDQO3jlWXJiUwP4cNfV9G1oOfIVet/FTkukp9bb8MpbNZPvVklqD1nTxLh
JCqrN9wATDwizYBgM27h0ayV+5L/WHT965/rr9tlfiyXPT12VZ/9KyrwXwNgM3vBmpRk7reiaTdv
U/Uh/ADtWPIgag3rsr9Zv/5VfbJ9R2zcfBqbd5iV76/pmwwNvVHgl/hefXxH+aGqMe26ZzVPhJ4F
Y3eUQmlYPrKcZeXHn+I/OIe/yWFBAWPw1P1DC/Dfclhexrf0n/kPP//Bn4BZAS3WFhtu3dFtg7f6
T5CDpuvWb8LBg46wg3RdxAP/IDlYBqnJOjt+lyePFfJGcTDdDTu7aRrwAbveBnj4N+KSvV+W7MS7
+LTlJkIXXEq+86vshFCALG0Wb7nBKqutBSSddlngd83kEVaEChdKkTMmk6S9DLY1fKOAz4gSIV51
6er+2OMNYbZDxmY+4UWrMl09psti33OFD8IMmlJtp0Vg8vbJ9VhVjhXPj2ANVc0I0JcEK79gDEHu
dpxYQWO+mCWVFAwfDWEz7s9z0+f94Id4XRrvD7N1l2w6ztuUhrrNnfQsPsWu0nLCRL1OPrEHEdYT
dk1QM5s+nVYo5/668Fla5h08bhUKvi21WivApVUb5zaxNuYtN2GF17vMbuOqSllGcIGHc+3EzzVV
2vMKOgGys95E5Tpp7yzMs2cvt3o00zTwD8z5CGHuu9NKTP0+beLpjeBoiI24YvMgK3pmpgJ8hd/I
pUR4r1aMQ2cW4dlG710L9r87nB2yuwAMqmpsMbWnbtOkkNpJzc28REWhJcuTtujwnSLBVDfBldHa
hnswMhD7BxkLePNHIs5A5JcUmbIr1KNTIky/aRXTO/4KyMCNSn44wv9zIvzdiWCKzY36P58Iz99r
1q7D9+9/ORY+/tXPY8HTf4Pt4mILtMztHf8zlkn8BpIIaysAF3dDq2CY/Al3IXvJQQu3aWLQ+yAD
4FD682SwfqM0ghfk+p7tmej3/p2TgYLpV6nPpoDTUfnoGIF8cr//eum6SEu1dLbrE77EQWfZ58ZJ
LpkgzGBpxwq9XoC+wJivo7GQxzJ0S6QPIJKxx7hH3NQZe6Z4QMyM6O126CznWRWi2EF4gMaSOAOm
4d7cVYmjXrHXdl20mLb55ie1fjJaUXI82DNZsgkDitj9xoh2POHTTA52VidM/osu1GPSd1YGG4dF
CkiGCNqIdMWQD6uJ6rzkmSfHcmlerbbz3rgiqxOza4h8mbOfmGpHgqsylAx+7yBFe8ea4f6zkZqS
xJLBIhyQBIHmNSWj42BIbT0PsmTokRiO8x57KAICVdFVB1WfJDdNT4FZ5KN3VfkqHqcZNmBdug9y
0v0bXv0OVmWSfCEFD/4Ko73j6k4yKrKObDyGZofejevjnJFD2pvLQ9M2cDIJPN07WrEE6yT1u9r1
z0ldQDRUxb3mQeVmvlBgzJ3R5W8Tgano7KeeuKnd3FmCOaZl4Y5Qw2kaVo314aqfrSLVzuUAhbow
ujVMif2LBtQHN50DB2SHagQq2TxPzzrZoTvk8+4VO7t9sFq92iOdsPmqw/rQbtlBbqbFQTEZz46q
1NelmJzdMOMmjN1ieFgZnQUz9sO9Q7B5pLVqebSy3H2fOIJbcmHoXIeD3pr5cZKJcYAuEH+SHuFU
eR473/D/F8vNtBj5TYLpnoSklqgtpcZqB65TRth4aJyoevedQ0+PM9jYods1wDaPzIyX3n9nKDz/
kcyLv19Frbywi7eBIypMZPIzpGkgvi8pImPGEM3yplF3EaQMgvkGBbK84P02ADsL/siZn7a7Fh40
BX8MlXgtvHMsnPrO1GVzQzDeC57kdkS0YXVHb2oKboOO1IbalHdG1ZNE2XFfBm1p0SBnSOPd46RN
2bJnW016p0/XU4TrpOazk617bNAYd1Z4Hkz1Wo+Lj4AYUpaMarPl5Kz/8XwFhjUBqi6NqSIml/RD
siQTl1RfIMEoiap7TbOPvk2efIpl4aZ3jLemBAR57Zj6p5dWL393YJ1g3rQhrHm6dmLICvnmUI5m
XriB9Ofa/7riJ8h2CX6Qu1Wq4X6YDK/66oNKXa9WDanPG6cXu1XmfU+6RD/tmBs8W/GQ7/x+0nfE
BPlnKO7GFtsylPDBU6d9bLGY5KRnLjI5tqDp+xeDiSUhI7YoaiLRiBJryGxmAzBoUWXnoFo5KPnc
K5bR+9jJa4e8wyQWn1c6QlRzrZbcdotbub8LQDsdzEyszg+18qf4Wx53rF6z1Q844YJUtzSAKVPz
xJNrF4GHdQqhGHHnBfnrW2ylIGjn3WXyoR29WoqGEBpArEHjTVMRSaAm7M65bK2bOakokNiJvBXU
bzwpYtETbDSjYIhHo3pfj671bbHMsTgYsZLtEeKUC1Fey3wcanoc+7vaRk8UrAQEs/tUgnzXZAWD
wnaHHHNBaBRtl7XFKxYxoifDh5OLpD7LWbUyJmnuXG8xGgeqYZea4wVPqC2ippEaEgpFAymYKtwp
8LJ7Wlv+pyhlHvQ2nzHr23h5LhEUXXqHCKygaFj1hoyXZswbpnNDIkt3KjKf955kuMguSujgxmS6
B+aT6aF2pXdomALf10Z5XROUWIwG7OaqUju9xJhJ91h5EPGXFvrsLTugBcfJbDMYc8c4e25/sDXC
Y3hXc86vxMl2aMFMbQ9cXTyxcM53jjGsrKhm+jtHq+tbN52aR0+6eNedTn6289hgy2v6lwVlbIAP
QI/YZSQHjDUrI7J1KkVQMfj7CublnTuqv6X+dfazy94wkxmDbUN04ilZ9XivoB6/2JgiHixLi7kc
6vJUIkO5ayBA7EttEWcJju8rYSj2PTjeCPl9cuLojI9wfsRr4epZRMy19xm3Fx7nkZS7Y2536uKC
Er2xbMODfqkIBGIs9gVTgn62uwZxSKL2o1Yz7h7FmtOmpnpL/KyJXG2J13sHajp7Ev8wMKrEO9wQ
/uTI6YDAYz3YsrK7IEcmFbJlIrq9bNI7+kYW2r0yvEvGIH3nGyZDiB4h1cz3f1KQqAJDh+SfQB2/
J9xmDuWaFjsr95MDPBtv3w6FLAN9tlKOxtV6xTNJGi5Wl/ZNesZ4o7ur/l1OBhGCZFjtCKbQj87Q
mcCt+X6GzwaIuj/Z51nLngs5+20h5u4TANnuZkIheI+pwb+CCWCUntY5i3+FK99kAFw09hraRuls
vOYvDPez64KI7/e4mcQtggufLzI4VAIVmP7JawTrXxP+ukqrMcx48+9tlH4HxPz9m+fC8B+cIiLQ
anzoB1sxSGfyDql78B/YVdIP5EXzjicX6ZSqxK5YGnFKRfJ73NcO7sxKUDy4bLe1xdyxgOs9hDVk
ENex2FlsJG/sLBMXUxu2SrtPiC3WgPqSxGblgdLHFw1NGMbsIRmGwHLVjtkeA3upHB+eiHCZZ6Ij
COoE1W9XwS9yAlZkesJXE3DwTaSfExv8qAEX/WYo1DXKSnNCvcm54nbrC5Q6tdy8l0/EYXhEGNPK
EPf1PDhLmz38KFr/U9//TX2vM9jB8vA/1/cXmI3T12L55/L+5z/6r/KeYvzDKmTjIvlHge/5v1H0
WpZvYJTx7B9V/J8Fvv+bTieubz0+TAldYMv5s8B3CHLFucukAKn/j9r/32j99V9af8ZpQqfDYHOx
wQEN4xd/ByvctPfWODlLAI7kmJq6+zDrlMeQs8ZDhhzvLMV7znLt1HaWRbRC4/mPspHjEUyaPJid
3h0EnGvxNwQL2/ir9cjmR+MjYVyCstqgy/mVLam4wu3C4I11JfzmO98vxJ3HfpGf4cfNrW93+I/b
PIMdMSYmeYutBMP949b36lp/GFBQUwy0PyqDdSsSsBxSL+CR1z9XSB0oI+DcrPtVOpoXlT8qjeqj
7LCcUfOOmy01sj6qEugWW42CF5mCJd1ql+ajjvHtsiPScStvLBxoVaBhKD17W/0D4yzfqd5/7j6q
I2TE5v2qIwXyG7Sqc9/h3PVLEhGCCW3ee4U84BEZdgOe2UIGGjKZEUvgsevQ9zI20vJMnEFZ7MkA
QdOTsyd+qLshKuZkJr4q/qTiRDvAvOrPXZLrh2kyh69w6nomKUTlOvlwAQF8xvo+PLt1pu51Xy0H
F5ErXPFUstyRWpS5awfKitjbW/gdy7VO0j0SEciZ1MrNI0qNz8JkuaNlBDtEa1GmrwZ0ZnZjEwIt
LWm0B/LPCN9002XAoi3VNXHXJ4E+4a5nv0ieiV+zPJw57vZeoVnvdGV5wBJ/wCKEsJD1N+3ZI2ic
9hGKnhlWsVfd2yzsyX0wex2vfV0O5kueECGmdC27W9eO1Wts7Du/nJ8XIVRQp6RvKae1D0C56n3r
jmkR6r0zhQPGeoAHrn5UZtzuXNYukAUEok7RNidrHeeQgtt54FPvLmShbALyUpwTyA1nHwfpGd9C
mURxLcrXdtSHZyCS+R/dzIApLCatfWI8v96ataGuphSIDNhO7Ul828Lf+e17Q45hCT5xZ2TNSNBO
Kq39SsHIRVS06VvBY0/X2atw5EkLQITOj8IF0gtnVF7seaDItjL/YHVpuSNGoQ6MmdyRFT/pYzpW
/X4SK01QT38UlX3lxvuZ5n0JV9rvV5svsmV+aAEb3mkH4Vx/M5I8RR63LN8NlDI3HQGc7HBUf7Ra
S87hmOfO58FYVryrABJOuOfzPmK9u9B4j25NBB1gSEDWNpssNK+Vi3zO7wiNhzS5RJuTfg2cIdae
bTUQc2xp5XjyVa9f/BbZ+E7xOZ6ku/YD0FaUgAlKkQvZmnx6Fnkg+PTzXT5IQm4WtBV0HLH1lRC6
GYp6Ofcgptv6yrCdpXe7dsWNTWG4NxufuA4v294uPBaExZVWLEGilCY5JaM/I/UkFu7gFqijirF/
gRa3vrtyVTCBBuvkOznJQA7pGRQzKHg4CefPMoU9GbSeQ1ZQlaw19WbGPRwmRE5AqoXn+qVGPT9F
dof0K2gwo8lbsyJQVekrlz/VlUuUAEu26gp4dES8viB8bhIH8fzAIUI2CCEG5Cw3DsKZLDHuhtKa
H5xe6hS0dSoVi8OhvLN4MdhxeciM5gawF12kTuJu26/OLWC6AVghMHLCd8vqUzzW3WM2mWOzU6VB
KiJepKvWjc0QsW4Xd5mXN88oqrUy0qfMikTD/+/8P/bObDluI83CrzIvAAf25bZQqI3FIlmkKFI3
CEqisK+ZQAJ4+vkg22PJM3a357ov2hEdNmtFJf7lnO9wjRLPYMzpaVwcEhxQntyvNJwPLGjrJ98h
FSOZaTyrVpE41TYcvo4oii95QjULtCMjWFazevdeZHOpvRC0vZCqi6H7alrKzyLU0wlfSotJeGfr
VfDeL1Z3YnmoXsk/IU92NsarIcfugHh5u2hwYTfJ0KQH1E0kwMoutW/SYMx3nhr7R5R3cINiFCoP
DN7Nj81YZVfmy5VxENhU7iFgt/hWUGtBO/NS8amZUfFtbFJM0YjMeRnF7lC8pV3QGbi1p/FW+iR3
bRJDraINax0hFbNM77RJagxfRhJoWcfL8Rvne3ANGJHtOlBRn1wNV0eYBDrNMWfzLp+t/NjDbIg6
5RAbzAjkCNckfiEF1eAfXHSc8/zIWYQil0W1TmG7EPpCWAdSExoI72wkTpBsECCkMA6FQUrMpJh4
s5McbiRG4e9f20HzESjrPbqlweJNjoYXidT9klu62irfbsOim6znzJBYpVrPu8ecbPCs1RezEwEX
olNYd0wwzlTpHDlOeU7Qe31hZnwMPHI4CdiByGRUbEl1qvy2tfPL7JDOZjdayx8g4Lyr+aETYJv5
6uIM6B1NczC3uEUI9Wb9vcl8XfsEfa576E1rurGdzi5DEET1K/y08ctoleKGkDpv25P4ul/rks+l
VjRfuEodCC2zx1rdzmk7I+wzKVrUkRE+t9P+xvI7VBtAjeFUGYLw92iYNWjTisGLtZt7bXUNLYP+
7OZS1lHndsVnW3pJEc0MMiaG/zRDpB+x8t/IUuID8VNPvSF7JYy5LbIR7d6o969k3BV4LXq+LsJT
7Hy803S7uM46HJkpdvZ5jts9suzeW8IaWe2tyJQLjp/C6y4uavtIidV8QuQldxId3LYB9MOoDNht
w48lrz9Z6Al4zGz8auIRiSCNYkLy0r66hblsnAXHGb8igRgiYd6DggvJGZnISCy4QDyzeAME9ipA
PWwZf6AiU3nQntDvaIiqlK/ZG4vY8DQcyljVkdZ01ZVgNnlp1nR52yVnfvoeOb+mp7LoX5PoByGu
SaC4WYPRv4WbmG5Zc5jmOTPZcW0Zs6JrR+9Bf+lUNhECa+Y9e3bvC2677jOL+nZEBKkFJ88WJDVZ
lkOCHXneQTQbiyRQnc3M0c8Z+GwCpM4EaTOyRBpUDsSeaYuHkinPxzP7dyw1inMkD3vYBg7Uk7z/
aOberLECtyt7P3DTf+BXuwCt4RqIo6Ap3dOY99wJCOcELI4wGa7DpOKUiAzPpv4CLeM/TpNhb5vO
I5jOzmf3xu8LDto0WONrGoDjt306F1PI0V5d1pXMc28G3RWlrvepi/1837gJwS8oykjnNYBz+PDt
6n0neqJUtKRipJgaC7eMjgHGPmN/dG/Sp1UnvyX3Khk8Iuxq3c7CUk/0I4o/LHD1OsIhnAntwfTr
aMf9ddDzn7bu34kK9SFM/l1Xt30v39Rb/9PS5te/+a2p8xyiQgPbYnXqrf5Jl+blt70N/4o4CUDa
v7L614bvj66O1QybDlYQDuzvldT+e1fn/2KD6XOwizMJWv3H/2RtA+T4T2sbKLwu1QVrG3LsAzbL
P69tinxMcwOCz2FmQPAic1m3KGQsNVB6V004eX0ld20335eNyY15jVPTdS/gGtfbXU7JnW8WazFe
YsJ+UMLW5CBlga7eJ+muOpk0D0mwZyKfyPuadQFcHWI7Ndhl1pC1UJMCsZ8tHXPzFGBH4EPMDmwQ
nMccCv+ZCf5yKXNHgtilVD14nYgR4SAoPDGAL7ZDg3geIgmuvxRxNo1rfzN1PYvhCsMmEWr5XvHi
qJHhFx69hZtho/XyWgcJ6Toi+5R7nfaSlZX2RAIU4cUogvcDCaAM8FuL+k205BwJpsmTeCCt/Kuj
FbxJFJgbmH4PtjkXO7rNdDs7FhwDiAx7dq3fGKJlHC0BYtxaX3CItkzqEb22O+Je5DUdzQcXqvIm
8+QtNE9rM5jmQ2b4T/E43CKhqzfpVD+qbjHOk8LgV5I3vjHRyPOP6tzM1dn225e4QiO2GHI6FXPy
KXDxWDAn3JSW9VDMxafOYYDrNQ3RhNryWsCu2rbERW4Lvx2o+0m34qQLuQSfaG2i2MNSA6lhfQlY
vh0eGn8S27nFY6JeaITKk3/9mIigfCZMwX42JgvfXF0CbkxiC0GoTx8lJTmwOrLtpb3H+bwgD9JO
kr3AW2Mb/VMbyBExHeJwIipLQqZN1OHKORC+6W+oFLs7pE39i134T64g0q2Z+mxviBnnYYyYdWF4
cgg618dl5X8o6dKB01jqA8rs5GQDyvRCLxHVA7uh4Yumg28ikku3HiResEuVdSmuKTMlY6pJuyUq
0/rR0gz8a33dpyQSWlfCXoMdFE8QUhYRMzG/nE3O/Jc8eoamYzV1wb7vrJaI6dbAe5hxN84ZHMCQ
G/GgmMY03CSgtaBYkqL5wQPgdGNXrv7J5o1vxYwVigB1FlAOn2WzM/weB7A1zfqNmjsHkH+uOxua
Ejl/w8e7aHu/x2n0bQ48dVuaPRK2pLaLqPQyi3CrMkFMkBuP/zno/52D3nECTua/Ht+Fb8RqYHjI
QG4wycvkvMa2/PpXv6t2kOYYFgxf3SWLgCrnj6PeMO1fbBQ9XPT69+P+jxX9d9UONAikPGStmPA5
/jjrCW2xeEAyd7ineNBV/tFZz3P8CONYaSOGydABKA4SHtPmfvMjoYcRPO7OYZgutbLIY6C4IeDE
oskIC3qjB1dz5lM+jWs5qRdEezX2+KGwxRoIFtTdxx8+vf+D8vu/eDHfWStMNFHF6Uzw3PXV/sAL
suu5LYJ0GC9mVxuXpFhqUlW9BmvQNBI1uxmVPbx6Y6sxBql82YXgkdaF2iI8Gx2uV38NpCSYMUhT
JPJlaXxYHHaT+9l14ncD0uP0q5btLxNAvuco/cD8+E5rgZUL4gemlc489E+vOMPkBIpMXmCZJmgK
ILJ+GBnBWjvpzQ3BhPNk5IzEcNMsnsvEfi50a1+h6DUwlxFzRziZMMJMa+nhZcZZLatUx3XfEwcZ
JU2e3hcDHlWsEnTcSBufRdp939RNUSY095Ygx7Ha//338LNEcEXQoErkhs3WgGsD8PLPb4qiGCtE
W4oLkQXBc5MgIdvYhcml0dbDdK+YSD62sVG+/P3Trtfaj5+lZ6BjYZ3HUonRjmmtL+uHbx9BVmK3
BHNean8xLrAphwsoEGifcfr898+06k7+/EyBbiKDRLLK+PxP11lbwzbrcOleAD/YbwjQ+nIfS2rk
DRO0SO/AJoaWPvtNiKVfVf/qolkvip+fngvFdEybhSHpR39+etA4GQJMvN+kQzqEXAzsgMv1NQBM
FRFWgmZt5vN0r8oOoUxXNN47XiRYt8FsnycXNxGLzRyfcA6r4wP+U9Papj4TuFYb262uYWBmhgZN
6+BY7jL8CwWp8b+/KEpUjg2UQkC52Qn+/EXp7uDUjhNrt8YQV28ZEvxkY2iFZBFpzeQInFSaFZ/B
Y0JtWDowgsiDieM1Ru+b9JaFqMw08RBz5+N71lveVyb0qXf6+68YutSfP2X43VxEqJkIGODXuVa5
P1xObu9nOiRJ6za3IY4F/lYG6bJfycoBhcswgL7r9Iexmp1hg3HRwwJX74XZt/vSbsl0YKB2bcmR
mjZeqZKPKq+a4yyQaLdO137AcU/EG2y8cKABzoCkW5gs4lzUF9VqAksG280kMQKiuBegOwxV0uqA
M7u8mnlyTxgxo4Ny8LqLjLsnaZJfvnVHkw8ym03OBntYSF1Xfn4uU8d/jXV8oCm6Lpbl0xiESk8R
G3LRZWTN9dgs1OwvWwZO2nbJpy+tgGow6Bp5fKqS3i4WhDWizjCfqHgUzGhPM4hMTIv4cwBKGzNk
3WmfhgoiR9sKzAagGY4G0/Cv2di6/O6tqnjMgnhC2IEK/USRMoQzn8N+3UTd4TyeItTv3c4wJmOM
SlZXWP8V2OFwNNM4qoTV468M7tIY5MQWJaY8cKsxVQg+1d340itf2KKmN2YftAzkpEPJnWvmDr7K
8ua7DZoMHVXUbiz8ZKchz3/DpKu+AVNqnRD0kY6WJDHHZDfJvOHHoVQ0J+Pg7/qGeGw0KdWh5j8F
N2f3DR80LI5NLvJcw2HFfMJrnGnZ2LKMQ4sRZIX1q4iSFUz2oCz6+0z0cHdyriS5s6SiQZksbzq7
WJHKGJxaJ6tqg/QL2/xXxkumubwKpU2rDSnoOcqbL+Zc5ZISbZDD0OoXWUjoRNjcumUPiEnGEG0y
tBy5WTaPOjksR4Z/1hAOfAeEeuPQx4qVQknY1nHM/VCWheoikksSPexL1CB3aaczBjkUs6foPYjl
lmdXSIsrSsWNIVQ4cC9EC5bm8R0jD8tNwo48cy44i+CVXV1mfYAMgpsX+E98zqEWB0aAsyCGBgm2
Ck1rmAZkCO1U6ZVVJGKqgp1TJxXhmYz8GFqZBXyQKu21EvHbnCD3yTQoi02S+d+0YUSawXzYZDFo
+4N/cWAJxKfa8qTnIEqaRLfMB4HKuMf2nqQeoEwxLt0u6EWd7ebSreaDLkTVsuTHShR6kzOXLKu6
jIGna5sftbZaDMp0t6i2/E/X7jBaM5YZZF1/zKsqqI5WH5BbXbC6uy6DtBixYsozblLSV70am76Z
yn3cj239yM3YQl0LLXI3tLyCqJEsIiLfYPsU+vncqtvKZ5TIIKxuexhPxnDqydkrt7Q+ybD1Vs0K
3ZygPqlJUVvesasELk5siUudwIC0OyLvtQ+I/+mPwSB1FqmnWbxdhrjAX6P6NoAornI7tMBALlia
8kW70ePS3hltDIvESwOvjZiyL80xzQwUOkVgpwSU8N9tjACFD5dPAh6PiS/2UZzP2qce588Mu5bf
kXkxFtKTso0/2pr1NJfKHC5uG8x0qDhkbp2h5paU4ILgDwLsuNYOvLtRv+KprtNTB/J62gnlLNkN
CRPyycZY8eZMMdZK3+DiBXULMSsS7pLx4pHJQRaziNZAIB5HGXjz11IpKoscSegjBhD1ue1TC4+1
SuKI5RnqOZY1PI5TNgDua9YYF1zsrCyFdIwnQ676OoX6iKRksOBTBEw5zw6IV0ygHHR95l2mecFz
rXfrxZnnndh7pUjF/TTb0g/1TvHdpKrmhTXQW4wb7mDBMzYdrm5WCUW/9dlvNkcpgti8z3v4PFfT
R9l0nOxcDbdykmvxmc7TvVNo7hQ1quKpm2ZBkzeZlVxAzHjrm19fuuJ84nWxAbnYTs27GDpYuJu0
aFDHB8XIT4cw+SJ7qKG/g18YqAoS/h1nqinr9K4z7BnXlNWmiMpS1U/DbaWlOBAzfegADkDitKJ5
7CBy8f/BY/COOECwW691sqzZ5aB2OsFczGisMaZyXcCxeFM1bmJc0fl8teSki5uEMje/aVpIgI8+
d4u9qHXj0gVJ92qzbaebt9PMPDU++dE3BDbhfpt7rwOT4M3WvjX5WFcIyPylKAvnfhoEBtGO2ULx
UblVIg6AF6pvAKLXMyTrStpsBgWrRmZOxa5FRPRR0+NqV6kWbQ39chfNvUqvLDvFDe72Nf3Z7E3I
taVjcztKzeC5z7UxiUqz5meyaLEVHO26Mbr3igN5PqGQ5rcBM4drJHewau8wb48RNxnV3Rj9YNLW
B6UcudOycKX07vJPxJoGT9pMmX5aAtkbXwFkzeuG0fBG+DsmD8V+aMUqKfiCx5avRYUa1i+CGMZR
3k6zhy15FN3G98TBrrBHHRa14tIgWwj2AiXd/m3tTvZZk1h/o7Srq/EmIUkgDX0Hod4TlYj4qkPC
Y/fkZYLk9VQoDKeKKGXuAnP3SES5kb0YDXKfcQPWp5g/tBIqCw8GSihKyXFITlrcqs9pojOtKD0k
TUdGccbDJLR42ffQOLIoWwYu0syUuXU/FeXiXCq3XZEf7ai7t6skaQrZRCmW8RBKgPv5dbayCTyk
or4QZcTcZ+q3YwnaZ7/4HVd/YU+ISed41kUYtwA2PmLCNJ5ylhExP4cseOZar8R9HdTkBA5mG8Cv
rlJQKdPwSkCBQhleFKP3wYEJwgoKSqINtKkkRqWLRQDbIOGKjtrM4tukcZinc4ZQsjl7fZta9/Bt
SvdIWkjA+5omLbkteq1V20oACthQjQ3ytixjXn8PEXxHJDHzOjXpRFB37NOAzbheRkhT6t1+r0r/
o4T6F0ooFIlrs//Xo5TL8D6+/dfpvRfv84/DlN/+8PfBufULbRsTc9tm1YNfms7kj8E5g5fVRLce
dN9Da38bnNuE2bq0lr6JOoHeajVO/TE4R85H28y/+e6FcP/JMAWM8M8tByHISO8c7gqEUREiu4q/
fmw5kA7XFXzu/gA3IrPCugcUOCfwrG4Anjg3k95jMEocEZ8aPYPSz6hcPqQ0bdW+AGxQhH0/liC0
CqLIMYVbcNYYXJstHK0kie3sIRiFjuoASlcS4MVfJo306YKIvK0BU+ppAmb44tbjW2nMYcJDPY0r
TYcfxvIAVPOpaVmAoQUt7A2rqZitp+GRQm7ly+2guCtt/Nw3rkQzkoLWSv0lKAyqc03LzGsNUOEk
kBRGTeVjRWr5Q+USBc6yYroQdCm2Bka1K3xtjXJfC77RSjU6zDhrUpCdlv6YjAzpN/ZUtG/WaMho
UbiyFlsgylg/KG51/rb30s98/1moaYK/VsbYH52ihwfHECKgH6+G41JQE3nYUHP2isQjwQ1q53W+
H3DvGPOlS8K69PUXjzvwrdvSLSEfwzlGsNBBKtEfR23g2Q1f4ZCHc78TmaSjyhqLRpAME2fDwg9b
hBLWckAciVDBbBPtFTWU84jgmFIfPopx7n0BgEI5Rvk8g8v1t2MyGC8MphhPwUjh0UqiCu/8ttS+
LakKwsnq4hOC1fSrVorp0pJptv/++jjX+yNXNvxO1Or90SwlXwaRZmPouV6tdno/sIQYGNA3PoKz
DMFFJPyZBPFlHNKNJzPzzJhmAPQ1yKJQZ3wGaXqI4fItB9qA1QrgeEW2txj4MaCOqRBrXAqnxW6O
Y28jJpH5OOwkqpGXVmNeSY05+zr7ayb2A2vVl8Bvi1PORpcq1czCQAgni6A2OI8NglpCF63yMW37
+aVDiHXGuhA85cvo71K0SC7RiJ11qp0huYk7O8XozSoFhytpNy1ftu/mBasG6WTh2PAmc1qVyFlM
Ue8dPbA3KKlY97gBcqcpb5fXBcXM3rdFgDjLtL4BHlOkU/UVAUiGtUyrwSbPWMPkuH4vjFZ4rGAo
QVTAW1dmaFuQIBAl9w2wLAmY+xpXwXxLCClhYoCWt4vU49vKrTLYAIny9wYBSDsoE9YzCRbFHiCI
1mxQAcPMm2RW+fsCdv0jw9EXR5bDuXL0j2x6gaFRjylC/waMkdFYlLcVPC0ZCqDw0K8XNsue2YYD
AsFTEuPX2mSD36NGK5t7yubqQWiEYiiAJ/dOZhunISFpgvCFJKpgHWP/cWVkBvZySu1u1ZiYCr9h
6VgfJrSfbNRn9i9x7/JDndjd2bQi9Gh1xkWl4mJXy3GKzEbCGiXWC9WcEhrURUvcDlaQ302+VdzU
mnLuYRSb0ZiOaIR1T9BpJ1WJNcfXAvtcBl1GBALV58tIXMstfVDyZe7znHl5c8RFA5agDQo8GRY3
9xwAJKAyoj5q4rd0721BM+Nvtbyf6kMCGPKxC3S0+2oEoTKko5WtYsjlA50eGUN5l15Gq+1Pi96C
BXAB6ZmdRwASqQqNXDFPuhbVgBcomEppb02CpyNrqB0ABBwUxgawDW58151vYOo2D+m0iI8B799i
NLJM+bGtmtU9vyQwuGJEbdjuh2VTgLGXoOWcVVvNrBzdudcYoUfbRw2KsdMlFGcJp7IvQrOv8psR
T8IcjijowEWabrax3FaEVJTTHoE4wbFz9dasgsGeUc+xiTvvwvpMeyoKpIbs/dJlFyjIxTxFKdtw
8Zf+vveL4kRP6aOc4zA3kfFXW+EOMR4WTpYO4NO3YKqKU9nwCzWNxdB//RW1LofWRMv23KsK3B24
Fn0zmmROIgriDtM3br3H0dYf27rE7CoTZV4NZ30i9qfTtjYFr4Q8guVW6QpyWqq0oL5wv58vol/T
Hel3ZARXarnt4e/f/Kdg+ndWTwZhlNQpf10w7d+bPvl58fTb3/xWK/n6L+sGn3xy3fzuDmU++lut
5Du/YFbC/gkLwHKZufOvflcZUFH9XhxhIXUIaiYmAjsFxqd/Uhv5q+j8x6E3wAF0DjyYvuaHglhY
h8o/jGMDaK9+TF7PwfKTV8VdcAO5pYmozl5IeXkkhOBAGGn34lfGy8xgAKwed+ZpPMmZBI5F68yj
par5KEqK+ppJ5zEYCuY/sw6sWetIyhkDENrx6G6blJtx4wsd5lDZfkLtoF81E0bjwh52a5HtF7b+
mkmn1VM0JN4VzYJ/r5aMRbisbmqVIVsF94LsqesioZnmdlZ2f9IhGHdjdUdQMCGH0pZA7qZjL7zl
gZrO2TaeIphrxvtoZgHRf8ilGMywNrE140EtlrOHffjRtek7TKXKvVeV6a3UM+Mmx4KHhqLO7g1X
9JFD7M29b3kRCK7nYQLJiA+FKaDrHCpvfGsYpmxACCnGxO30OUO6cFMoyFpWsBAOWHbu3hEKvBla
sr2ib0VjVU4RKoCvRAVaO9Js4m1WuDZGy+HNHGdaVzme8qCg7c7ot3IGQ/tF1iiyvGCjUq++Vp3Y
yXKmvdXu4lXzCAF4OrQWlKGJ4/AatGb5Ipnkf0RjsMMH9oAMoboW1DjnrETNvsl9D5ciAKfbHiGW
ikwf52xXd8XLsDTZA+Rm+2gRK4PKq6ZkbBOkmZ2lxY+mzbFiFzNwL62iuE4wcJ2ZHmeXHm/dCyE1
4iuk6eB5qqwC/F8zqK3beP4ZxD0zBlXYRzY6/oOnINXCzGFoU5r049Ly21cvyz2XPcpYPtcFKHCn
TIO9bpZMaeoFuTEnZ1PAn2v7s9fBqqXlNPjwAnMw0LND5BNmW6MbibkjLo1enxj8o5bo/BrxWcaU
llFcw6pHBxoEBM8ydiaIzk8ebmB3i9weQ6mZxc/f575QawjGqrLm0Sga42K5xAbbqPDOyTTln8gU
p7DEKQceICsWA36PNkVStwApOGN2ofBLoOokNoybDMLLgoDxwLAav4+D3n8L3ohdl25RrWaz/rkf
POuoMWPOw4QC8ZD0nOUsE6d7PkAtHCFCLZtAx1Q4Nk59mtb0U88kfG2rA1i6N7EaPTtDPBcHR5AI
uemgTV4RuvMaq0afrgWu3RvROC41FULoqPVJed8gTUm7qOyzmllVNVM+Ve1ryu9vn7kBH/c0DaxV
pky4jDdl+dwaNfDtDmwEk/JxbwxW+w64abqPiay7+/7KcmBt/g6TNA9fmqb3kKwS2MzpHTe0YJE/
QL72z7Ymq2/U4zZVaD08idyGf0mmLNKk9Y2zIJiv8+DID95U8R9S4JhHZ+QQ2fpWM0d6IMZ9ruyc
bCOuNORHPBu+xRECHrryG7BAQQQpo7lTLdtnKMj5EDpLVz7bgTI/qhoVaSQr23voncQ+NmAkrgZY
BoiryGpMdHz2gRxMTr3Brk9atax+zVi1u5L9zVfCdgFF64175xtUL11smFeEn/5VdYQtpFyRBaZ1
J/4UQNzdKKcCK0YSGw80+jyjNzOpL5N0TWHqxv2COv2xSxCuNIhbou/fVqUq/DDJzDBVFHEtQ9TT
ftjkfHKzZztnA7geyDx/FWgScYc6XM1J6JUI1VHvwqfw/Ve/t+fQBAcSiny5iJpqDY3YoAm60KTB
A9h8qpk9JhUpLoF/a8rhTlfJfTrqaMFkeqjy/pujgpsAiwpcMfRkpnedhLWzxnQv3eU56QXaVH3y
zy7Rhps2dqJCaPTHcxP6JjwuyX1s2JgWlHwjM9yr3eYfiDk1LmzWiIwxfDb0XovM12OlkVXzJZsC
itd8K+LmZNVefM9UebozJpNxVJPQVCrfTffkqlHuBqMdoU+oNl7b9YdxROYkQQikW43xYJ3QKnTm
e1ePzQ1ExvYmXwYR1WZlHC3T+dIb8lD7zgO3yTXie7DuVrPEq0a7JTQfilVTIdFnDwOeiWJzrsdI
q6wZWTERrxvmnaAhXRd8LuONEAXd8rUandDEArlxlnVuKqfHGuAlEJNib+WYsRx6nn2TucZu6oYY
XNZcnHEIfsB+YMI5wJ07zdWRWa91UBzCW90fWswURYxIbTi1CUQ/DSJtx+IRmmIDs7vQvVPPhb9H
5qqjV4pfdQO6q1YRvGXM36y5vbaZ771nJoI95rb6J8/Vmq1RFE/SEPnbPGsWkVsjI2urY/4+1ILY
wUCeWDnZHVG9C+eBNZaHJF8slPSoY8j43CLdeuwq8RV4ZRzptT9fprRXbUQcdibDWpo4nOoF7zii
5vrcGO6l5Mx/4LLqVw20cW8tsx2x3KibsBq0/FDUBU5LoY0bYZjtu3DMIloq8zhXDZiZtn0b0DVu
O7r7bW6ML3pMG6433O0Ds3P2mjt80W39Fcv0Xp87mPV0yhsE+CMachpIUGPabW87H2IobeEaiIhe
rE5e2BkJdN3WVhq6f1b+kEQUCf5XWujxCvzQ+FAg+KKGQAAKodadT0BhFQoSiAGI58f8Q+4NBV2c
Xb0LpHnvsu/LE4mrHptPEUP508Yd93S1w61zwl3ONoA+9uLFefPAvm/aEiREZUWmI0ro3r+0YwuY
Tp/LT4pNwcUlDzJE7DBveiACW/pquP6VzAYvTGsQf3FR+Zjgpzw5jyw+jJMwYwOhs1jcC4rmYecn
HaZX6SfP0p20O9cgRqCwzKnjS8RsG/eJRg+cD2dw0TZXTI3svOmcFm3JgqDcmYbm0jCrP9nsRaKY
7QgLwC5+psOUV1UsWR5B/Sb+QQa1diF91jlSKRR7Q2+6KJtY3aIbbOyIruVbXZnmHfkV8oPqM3VA
XtB9dHGtbErOQiB3QRoqDwauZreEaXrLsYA7RHTHqJ30hgOMCKbuAEdYhG0vc3w1pAtCkgR+2oGG
nu3ysydKfyP6WN0V9FS3fVz3O5JGYQmbyGEHnH9wBfrbqcl3tqbtEzNxw9JfXvO+x5KS12PJWq4j
htgojE2WCiJPbF2GzArt/dIst+SzzPu+YZVqQv5lBybG+2WlpxZjI7hzjT6pw1352OVCHWjVtVdL
BhcsKeJdeeQ5dO4sd0HrJjv0+mDgrRUnzIp5O/QLP3Hi1jejr+PFdBqwINOwaYNh3ggdsKLVTvtJ
TcmW+dcj6WHeZcpMnPc+avW5Nvbko4iwNGAojE3yDjpyb0lueWPXgE8lxw0j3DSdMlxHIY7rmATB
+JwlHcZExyGAz8+P8wLuLc79NJBbONuFEbnWciXBoaiMG2/Q3GyMcmByRrsvKpUnD5YLHpyfsFAJ
a3tF9iqAaFByz0nSgW0pAj2ZK8Ya5TwdJ+rf5exQqqCPSarCiWaRj9vJb3GZOQOZQOWG+zZIu8rN
8MoJmO3zl7RAS2tvXCtuzAN3w49TZT9o0MR3ZAQMIVoA9RgjXomMeRGXJHfAjED8uyU95aVbLBia
rXvNgkaj7ZboeYPa3JaY6e86r3U+CwAhYW7Wy2dDGPJWVZ62y4zxvU9mqE2OOd7642htkYbbJ3ui
+1kTCu8DVZpn5bndNaFUgcU5WFsyJj/hOo43XTXkb0omIAC13oaREMenSstAUuXYaYtOgGweGWDF
rZ9yq2xLpC92ttf94CnQ5LRxCvtmWWezZZl/hW8wonSugBxAsigb+0tammIbyyw4kf/r1hHjaYr+
ZO7lZ91W8qtXOPlZKSYspg9G1XIzB8Bl8KiPQ4BZgVpG2xajLI7LEsM9WSCBnG0Sjh/YIC0fS+QU
tyKtvtCAYnppzG7AnyEX52au42ab1emXbmVoSa2rvnrYazmzYilZKWfjrjdw01C+uJGJFeiKRg0M
jWVcLTjkd1a+JIIhGRktaPC7LWRifmmgn5/x/g43zLfq81KCDA+7WZZ3Rd1hu1xz8j7jfIPeGefZ
tGOzx60A3DOiAFpD7LSqDPyvPiTDlImgY2CJS/yPsvfa18Wq6s8LPlumTrFlaxz53rp511X9xAyM
2aOx+DdxI5ud4GBEQbAcM4J+NkCJM27QS3HJkkG9GhLxgtt5COOdOgUUSfJ3g7i74RJKKEqwTqc0
vlkgn3AA9OzIkYnXjHMBPmRymUl0AuMCsUBAZe07MX5LRVUdPEuyE+9UeyBx972Y2PeLOWZvaolz
0ePNapPev7qVPt4nqWyvVh4s+IE7qtvcJhQlaZBWx1a2zQMftUaafaDxi7dekDY7La/8Ywnbvf9V
YfafNdm/WJMZhm5h6/jrqc8OGWD29e3HDdlvf/PH1IeH0B1qCCQvK93vj6mP9wtaThdNM9I9khnX
5dnvUx8DIiCjosDiBegmO7L/mQIhUgY26LLRQj4EwDD4Z7DAPw+BmDaiejRIuoUUCFLp5yFQwqB4
8dtmOJjEjWBjBkMB1dVMg7M9EEuNCbivqVLJc98GKTPIHz6r+18Vlv9VD9U9cFgpUGL//OwoRhAV
+wafDzhE9NirYvCHEVTXcePHoyv3ajDHyJsrl/xws9xiDqwO/4+nAqKG78XmOP5zFiArtdEwKkfu
bQO/QmkaZJQLIFCIQbv/x7viowy+T/JchFs/v6vFYKE227Yk2Q4UysRGfNtL0qHk5A3Hv39Xf5rh
ff8ALd6T/d/sndeS3EiWbb8IY1AO8YpAyBSRiqleYEwmExpwwKG//i6w+poVkxzSZp7noc2626oS
AeU4fs7ea+sY7SxaNz8fChE2LTfBBfTTCDX2bCJW6Z0PEEFhXEXZxq2xvDRRlG/Q1dZ/YTrwDP67
gfifg5McuT7FKM8+nSeNA5IrZNdBRbWdgIjnZFtBn/+fxW9yFAHUwnSJWXLgsbqfjqJiz1IMTft9
S3g5McBmBcheTI27ViQlOs4/X9FPE+Mfh6P/qjPnJtTTWWfT/34kRQN1PzHAz8UzXs8kb7+7lvnh
MQvBzFFeOPQ2/qLe/fUyCtM0fRNEhgEY47O5K0ryDNsrO2SMJQLLll9ws/x6++fzWi/TvyTOP87L
RPqJJ51OM+GpP58XznssqE3e7y1aT4GlaZcxotjZMMnq00vxl3P63VX899E+3TQMFgS1iaLfewOl
U8TGJR5KhLordKL2fWZDef725xM0V4345zP08GgIC4E/D+SnpWxOCF0cR147I3Hss13bxWNM8NuR
NA3vQDgkTrTmzh1msHEF7Sun072TFNahp9FG6pk/bPvJHHGwuvLbNFkaaCbbp+fTNfcLc2DSU+KN
kTfLXxamz8yW9c5A/XUBt9DWN3954jwVOwz9eI3SEWwcrekRWts0CRoOGkEwKR5xuuP1GIJxA8hU
TPYrhtjphqwCee1iGNnEMvbPSLbiv7wL4jePJp5IA802LRH+8+llyPwCQS2ZF1SqCdVuIkLcDcT2
eMw5VROrL1NqETA1Osxd62KhKVll7SXKVMqecsJHNhBHgztlbUZWemAhkwSz4elBZcbzRdyb7bXp
LBoCAhpvDQj/EMw2hSCBco89GslHel7RxkduuWltzd2xSWJKbLXeFgDhqctBTBAR0W+6SPjBVIiL
xM6/oFVS17k9Wzj9l3zX4mEMR6071767HBpgKAHbRaJOoiK61An+eNIQgeyzKtfW/PmPfLbuOo8g
GB9H+aFzku7MX652f35af31BPCEoDHjr4WC77qeHlZwVAVxlvekqudbyPsFVoR+NdHroFxgmfU8i
5//iiAjwYPAIQhH8T0f02wky75J3+zaKjgZk6YLBsF/Zl8DEIFT6zvOfj/frt93Dl8igClHyqvb9
JL1RtGIr7k1Hc4oQLXOwx2MMZGTrme0c/vlQvz6mwFHBCulYC9goO58e07hnwjHi3dn7MN8vaq0x
jvXYu3+5gL89iu14lClIa7mGP6+gBIdrZTdyATWn1Vvs3752QM7r3fz5ZIxf1zHOxsPuu0JUXb5+
Px8nRxpsoPpF0T6BJkYpnu2cqaRRqqoaCZxyKSl48HXXQvbvPaG83Nd2nv5tWVrdGD8vpytGCtf/
mtFuGPan+9c0NYmAg0sk7VS42xHZ+w7tc7djr5l6G8te7KMBkXHb6vX3oh7du7zLxn0s9OGqXBbr
hMY++ssdMH/7m1CM4YImFEF8rjhiGjeETFhqT3xDddRbsfV1AFKgcprrSMl+k7i9fCkQ/24KyPvn
fmXhA6clzNyraiTgxfcCHMh17k3hsoyvPY6GDd0seT9XkHxkl4qDiJPxVM0EHOrd34qL35+Abxgo
1TCNI4v7+d4SBeojAhm5qMl8F7Nb3SHzir8wwuej37hZGCl0AohJOr5YbXlCSv7VS90H1Tr+sZdR
tCG5ZtiiOPZva/iBD569fF9EVJ0sejc7FLpzOOaZxreiK3ZI8eVfPgmfM+35WvFY/OsMPj2dYwc1
K65nDOFaFp8iyE+nTkwVXSM97NKWRb7HIp5l+pEpzQAQhMSbP78g1m+fAt9DJMjLaCCs+fkiejNr
CR4htSbCdWRdFZ54o6y6cW1VoWHS3+timJ5c00i+4VbrYNFustrEVE0oRzDEamfqijmPY7vQTYyR
+YHZy03CAfeY0Qmky2LjO301g6XSvWf/vxV6hkdF85/AObQHYxAMslGZHeijfnUH/d6ZOVBM8OFG
YkURf7nmv5ZunsNuEKIAQZGQmz9dckHKOeRdFoQmK56qiJjKrAi1hci6ehHWX+rE3yzbgOsFO0+k
TtSKn3YUimToqmXR2cu4+vCx+vHVxqNu47L4y5HWv/RpgeFIq1HTthEVfC7sSffpCdoRPElt/EBS
XvyUFeuUrZzZTQgEfKh7wLidIofA4D8/Qr/5+jq6jdDUwmKrU3j//AR1cdqQ86erPZKGF3yGN5Pb
3JEe+1G43RtbXif88/F+1J6/nCuiRjSRbLiBQvx8QNSnakpTHlm24dVdb1H3zBG9QxhQG4sgXPT1
D3VaMBKYJcWNjaBzUHEb0gn/y6n/9mESjs2XxcLU+/mznPZIApKB93f06i7UJZxKG4MU8Lc63ogk
+/jzmf/mo+noVI7Yotl7s8n/+cQBnuZx2U/c5Lmd9jjyI7DIXvKXPeJvr69BJ4MnicsLev3nw2QK
Cp5hS7Vnj9xuvAHF4VAReQJkWDsiG+XtxM8RanMD0SCKAXMNRoGrSrtYFudva+Svm3IPeTPVMgZu
SJCf39eRqTUTwJwfMxBOjrMSQXu7XM0DA9q4JDlQqrLaJyswrM57/S+v1Wcz6LpCsy46XGzqdozu
n561jiBP06rAj8+GnbxJF8pBQCpZd1apIfAlorl0NrB5GO5rs486YHCaQoR6Jum9l1Bt8s2ozePV
kFjkLJpd1xsbst/V+5+fjN8sNJ7vOA5rDC5jsCs/37JE89JZVE6zd6YIxp2NAcRWjb+llk//ckl+
cygsFLaLXoE2HFfn50OlmaGYELvNvlui8sO2ZvcW+hrSZ83R/xenRQ0qCN9YW2q/rGqykksnPbvZ
oyJpb8F+Ort6dqOLrO2+/vkC/mYR40i0RSgR8fx+7lSYYD6zuudIKWgWJgOVvC/jxtzydcOoyrQk
sGuy3f980N9eSvbX4KOQjYEH+PlSxrFOjHciGLmZxrCBQTkGaVaaYaub6i+HInGHP/Zp1aTSIKdg
JaparFg/H8wjfrIH58wjYrd6s3PmGb1XmtjjEjKRrIqN0yI2d6jJi02D+krbsXPsp+0yuVZ5W3qC
lysFVecfIzUXj6YcMDcRl+mRJ1+QpwrWuUm+1iPz4dzyhNrFycrpVtUKVK44JRSfTo3F0x9Qq+5G
XPLzhdDQI6UYrJYtfm7Us3GeGA9ObzItKGBrm7vMKCdna8G/NJ/hMabldyejWRIHpMY6CShEgtXX
1LE2+aKK2piPBUmBBKqnRmlvNV0ap3LBI7NXfT6oa1FWvXdld/0c3ULyKqod/1sbsWPBmp+C3vbz
Kqywq8VXQJLhrfXg87JdL5hFDgRCR6cWYfnBaHPYDXPcmkS5JuljqRwLHUGP6fvoxmMsN15fI6ya
83RGziwxzl5mA9tJrAW+RBun1IhsGNvUDDN1wIR6UWq4d+g7lNIMZSnW4grVifnVxes0E2TQTcxx
7Lq9lwLf3x67WDbfjJE73JP/3GLE0BrfvdOxL5A/DH+1P1LETrvGm/x0Z5O4hk4P2cOyUSrz99XK
fdsW0dr+0zUT5HqjhPeFDDHGSUVZrzP6ZIAFIyWiPK+/pc+761f9W7Qq4QqN4WpXoXmOymw6aOvw
zGr8c4+EjkHTblo1ddAeg8FO8G2uejvTzscwXzV4cT+crFWVZ0r1FWW8zdgSxV6/avfwYb7bljZu
h1XXp1aFn7Nq/Xw7dfb2qv+jYl6IlkcTqFZ1oNsh6LN7tCxA1xFcoyEcVjUhAi90YcUjfJKts+oN
hV+2W7Lr05t8VSP2qy6RpITkCjd1QZoNJneFUm1adYwCQWO6KhsxPxKf49vg77O8p6gAuFPwlQjV
qookyuzYrDrJdCEyjlHXmUhZ5t5oKUkFMsNFz8Gmdi3WagwyIEfy8mK0EqKk0WMiiL/D4ThtjdFL
dsvSLpt51W/CbUfJuWo6ySKXr9Wq86xWxefcNUjqEGl+OKseFEmjDL1VIwrxiOHkqht1kWMcocOa
R7WqSmlSnCD07IjAMna5mJ/LVYFapdGBsJ/7tJ+f8bOShaGjcmz76Ln8MeuKUUIch96tdsM6CsOr
8JCvwzG1jskQJnlbfR2dFesQDTA6KZLrYI3Z53DTrMM2MnD5LjJ/I3vYDYp1JDczm1PrkM5bx3Xp
OrirSm/4sBXDvPmfwV7+z5iv/8/Uj0pzHQLW60Aw/zEbNHl4nkoTQWDo/pgjmutIMVuHi8Cm8utm
HTgChsfmkxtHeLoz5mXGks46oOS/gPjkhdhGwhQzDo4ZKLB6IeHYVeQOm5E95uGCqedFM6ydnsVY
xzXMnnLvamb9bXKXXB6snECJsPRaEnzn2kCDqWlOlwW565G+CLVWaCfaszrCn7phLtlypUgnqIpw
AZn5kNDVvzGLzHwgaSNPj2MGYllgkr824JWiwBggXpIIPJ2SVOlvjh5RT9LfXSm8enEh+ch+65QX
O9sC29UmG0VqAQxTzr095Ajkae6jyqswdjARH/RwwSHxhTlT+dHCEq1IV1bGK67llohPKc7M8OWa
JzmGuIbnfUfF8uDNdvYyANfjYURTSyZjc0ITW2zSCUQjyA/1RBduJX8pdPyoiHkSEstvnhNgCN8a
aee7fNKaZ8Sk6SFro644Wshpdkgy1ZOocVUDIxgRsEai7MJ+UbwcoBRBAwOLDGMHdiHJBdaxb0Qe
urSQt+xK/XaXs28qD4Rp88/j4hkem2hc/eoIi7zAj8co3dS63fibktEgWv8EqwFaoPEU+1lyr5cJ
OEO37SEucDm1R1zOnKK74nguYnPhpzr58DiYUz9exVEUA37FuMHQe7mqEYZc2glJX7hg070Ne/l+
6EyxBFQizcmRSXLGPCpfad0hdkBxcoZ42DjbCuPQbumnfDfWE7GQLiHx56KQg7uRIhFnXqKGl4q7
SxO+OeWlb5/dJJFv7RC3hAW3xoNKud6wpWcSjSEJewkXFTXETOCo2dxK0co3se4wN5WzgLjNmyzd
c2XTg5hK/qwGzcZo7eYkDVS2y6DkWzfL9nlIuK6L6zbfaiNGUbn0BMEGOHSjE7Hv8773OyTHmErO
9tJo2NtqPz5PqcCqi8e5nN8x/NuYbwBcWNhrrJG0jEuDz7IMR598cA2oMKlhVZJVrFA9RrymRmgr
jVmcU1FHX6STxNeO6OtXJyaFoCNgNwnIgI6MVbWj3kVvmdu484DetnoUxtAVLtqSk0dfOH3xtIx1
MY7SgyX5t7HFxOceSNoSJJ6gAq8AE55tqymAy652/c6niYMgfIxOZCHwD0SDj04zHgvkOYus+2Dh
PaeNVaknktnmD/IZ1bsb22ITRXNxNNpufcr7RCIjggJwn5bJ8GjXHdqxseZHFkLP77yuxfiXJc69
5iOMDWQ1JufZIaosUHbVPhfNMt14juofdTnld+l6u8028i5FZkR3jT1woBy3nu/ieFjda8nZVlw1
L0vmGz3W5g8dHflem1YjI0376A4eANJvUkwuMYjxF+slv6Nkn774OhOZZYR7cFpaWuJoLZP5w5W0
+RCoJxFAVWGoNqgcbaw2iBjRgdjZUiIr1pzozk7YcgWyV818RDOG6S7peZLwKGCYoYHEk8aalZyL
PMMoVBpLfQOglSYu1HXuta68ZDg6Vu1V2Oi6jxoGIjo/vSSIuBybD63OjEc7xq88jMr47gwZpiNe
veaW1WIBGpzhPHLMavWLZqL/jl96EdwzVJealFwWhy+52utjbrQBnEnjYTEL7c7vdFYz1xm+T9Jr
brsIEm/fmPK6G2b5QrZ7c2ug3jtHTpPuOx8ddqo8OCQqWf3WHu93pcXdUwMiUL9tNU+xxtd5KY71
XHPxsCtcsSeOdrLHiRegJXDpm3a4IJvI8l4X5XXk4sl4PxTFcLCdklvDZ/PSau28D8iwS28cW8kd
cCb1pZUDCIQl+ejimv9LSSnDaJDWGzBjAlMlQAdpA6pA/wOvcLCcvcH1Cpho2iE8bt7DH4Juo0Qp
ThGCz9POokc4+fam0Op7IqyvyCJLmUXqKXuZtg1HeDPXDf0f4l6xQpSy5bC5g0IZYEOC1X2PRI3x
up5qV5OjyXM1i+jeiUwQxxNqIBbdEnl7xbCxMYR+FGl3Gua5CFPezSs9HltA+C4+v6SaA0p9SkCf
8R8t1K++gAWSuxWa+Xqw3gn+PjWpbrCkgS5bLNVsK8eQG+RbF/gA7CfqbSKA9al+88d1zlR3u4TO
8rGJapdpWUJBOmT1/ORNY3ynV9Cl3UkeHOKbQn/UsO6nTX0gT/sr/b/yJS/hOfLN4SKZmh2z0LPD
2bgz2SmbLM/VMdd08oIiDa5aacudAkxxQaAZIdHYdG6AiRPCnmXqvm80h6XOj+96xUF6Ebk3PfyC
gMb0THZ5ZH+FSeI8YkctDmnqPk6ZXu5plybUgZRyJBfDTqzTMblKPRo3tWEeI0idb4kejbuBOK19
h7Et9MCRh+PAywj+uQtQhvro0iDvUlzYT5ktSD+e6h2vEwtwjYA6iB207ivj/WMgbOxpkrZx7Zf+
gmqhtB9kMmWbiRp2R4CDuChJYng0hOvezmikdmIAdrdzqQsD0mdAsk2T/L4wajI3Mu7S6ybjMSDv
J8aqSIINy5qcE7JiMrWZJGldDBACf0Hj37sOBb0dZ1+zecpP8VgdurwpkCTaGvzObLpddPOpg5iz
41XcQTbIKNSEoCBz++vSFtEXmBGUGTYyX5bADBRpl955eoteq7S8CzXD7oz0ZJsIJOO51YpzCSG/
3mAQNBhaFMtxnuvhyhEanx1cyjkvnFMh9Z4ySDlWUgdgZlb0SFuxLS00IngCZmjDFfHQ2XNp2tiK
DBrwtNZqvliLpKXRp9p040dWcznTzGZX5w5pHuBaz0/+mOp36PtObeZOh4jUgsFT+VXBXb5Q1QqF
ttH5zwx4gmpU3SV93zlwVHYwJs1/9pmZss/52tbVyhQi2qeRDs5gt0q8YBg64xmKS3usTffNWJzv
UVs3r1SsxWtBRDeLltK+uAXAI2tAaN0BIb+dHSqWgihvht5+BwR7wkNEOTQdAMcM6Umz6tEOB1dX
7sHNDcg0kKLrszbGK8Jndusz7RvMk6aXYT7oi4JFqDZE9lqWWXVrNl5566T0kYOUzLN9liCSLJSp
v1UqS94JHl/kxtT4gw0qgJNo8WDMNgDX55aKh/uWssmBgFHwldAc61hIjy+KP8kXvpb0zpbCAB4S
05DEMZqaD9TH7Ezz1dAS55N6L3NggqpXNBEUaP2P3K7oKqili151lRlv+Q/0Rm0Dq1HNFL2SSMQm
3I5SfBZyidS7JqRWBuYy+FBVc1HdFw0Ro4FKcKnsXGj19c5GkJqE/ZTweCRmT4EDcb6+T6DfQ9aK
6+hVGIJ/x5eYYUMXP5kIbYISZFBZ0PPDQfErQbAglworVFoQ2c2Jg2apXamLdBEd+0a9wvy7GeWI
zYnilb+8aOTrHW2EsETn2f6s7Um5pgTomJDCh5xK/zJLdLsKnRb6wqaIHO6StvCp2xRTH70O7YA8
Oe4JRg/gJpUfZg8/PegbCwjjaFv+6z8XUwxa3AcW48mUSCwdZZprLKRxsZ+o90TqxBurAftGnMja
FAALVt0L9GPVvkgz2j0oC1I2mPmUHyQZOD4ODzEZOwTCqFrbrr4XI4oKbiHz1s0YNZxf7gr6Ia3U
8+xCoWIY9iXZrsmVPxAOMDj0RoPeBI535WhG8pDPg7mvemBWJVDD2xwTR7SR0tMf4LKo+TDRho/O
ds9JH8xB5zdSlfOr0yri5jkE5kJkH2tRAF1LeXfp/SdzSF+GqziQwd2xSGClS9m9pAE/1r+c1aC+
p3DSir3foyml8AVWC9UoNSeA47w/wcjtXA4V/b8TsnANLXbdUdGJBO/NUXdamigtsxXyMBosWbzq
NhtuPsJ8v3Bj6BiXKq9f8XgL6Mwzlm88gWsJWbiV2RH/ZiZfjAyPN4Eg+omZdHsYy966LWNvwgOY
p48LBugvI9km/4zB/k+D+hcNqsWDSxv2v9egPnyfvqp/K1D/82/8R4HqW/8ldOid6DAQmjB3Zjjy
H98xarNVgmoy5gPWQW+Ozvj/V6CuwVRIMn8okpiV+bSf1T9x1ab4Lw9wGlMWHd3myiP/nxiRDfvH
QORffV5WbsHC6rv4RpkVcayf+7x6p2l4FYhrGxuzfRo0BrOEL33zJrO4hqLUbBONwJQJN9CdO3pX
SsnhmSK8uZe1dt/orTr1MzV/47nLFS1jlFuR5UTE2ABrJStT+9q7LnkErELNwfYIvYHfbMbAjlwx
W7e2jemAkKeqMNzjgknGvAbhoNc0Z2F3QYvMlxqMVt5JeeXJVndRPNH2mCZcDgMOwgB5ZUbizxLr
FOBybNvmS+FVTMVZfMrCOCX+5AANNSO/27qsi2qX8BpJmNtYNsGt0ZDGMjGRuOtv0zJbjJNbz+aj
DbCPtM+lNmqx6exoArliurM49mkt8Bvkc+pmD+RaUs8GhpsPTZhgHvmaVZH3HjsZvCeAHYDHtoBV
9cHZsEFIddADbSbDjp+g9vlUmxeebi0YQxwaCxGUeYIHO5de+KAT1LBd6mz2QjTvh5LC/2Wq0q4M
isrqDnhdPRpxnnihiWQHqM8S+mTpfUzDgJvVZ1cNDsBDZo6PWZ1ae1jxhOWUfnzIxxjhfFPGyVOK
Rj7GeJoeXW+6op8O+a/vn1RcItgv1I1V8m0jF89Hyx8737opWvt+48uS4QQyaZ7kk3WMp/wRJSzd
It/ITgxM3uIUPqUV5f394vUKM5pGXcsl1SwkNMKVINTcxN1hUdyjmLwblvTRKcyPuki7i0XVBIjm
8TVZpC4rYvdSl+pEEEV1yLsUa3tqkT5SYlOZpXMhpQ6IpFlukhjWSW7mj2zuV0+PVm/zcvjupJUD
uGSJbka/drDzTKD7aDAEihlAPvf53h5sA4w/ubJQOMJhGNZglqjY2OOQXGLObq+8bjS39D/1o1tj
kq8mNpe9FpPWpBrvLUU6Db9YpG9e0kynqZ3nrWyEdhcjQganE3+PsNCchdbdYxXElMgXba/Lkq5D
KtMDWQAORSPJ6eg1iOYECbPrPEHnzLGTXdua/i4uhc1oWPP3gzN+r0VeHrsEbH7E2hHkfMapcqf0
rbZQGA8CClgc01sk8kaBoiA+TVXdjPWWzQjiIOBkRCwGnjk9GAJNYFvkj1oR4UqpxqBkTheITnsS
zBcCC2fQKWmEv9GknX6sHKfXfnE3mYHPH3t9HiAMphcPFDS/5GPdXzhOxxvft/DYEChpH8RxQWYa
UFsJmmkeY7I2G3BmzOWkHcxc7+/IJRrd+8LO5Q1ihbJib9ym15L5KplTKfYycqrVxij67EE5xFJ2
urHE+xQ9yalCOFrCYaPpE/Jg5UsQjd23vmisjR4Nw03Gdh/HD48FUrjCCIjgmt/pN+r6Nnbt+dR3
aXUwu3Ee/T30UZxB4E34CDf82pz4qbH7MJpmRDoLHAUJWN8nH3OmoO94o792svVGjtfIddSLIg52
MFcO4LKj66hfJJVf7onuQdbSaCb2+Zozy8ejO2fO3k2QrWQT3J2aLs1WUJEHllziQJeNtcW8w3CB
XhV19fJMlor/6KZyIuFB+8or9UTvEf0mOx/Sz7oTfiD7mnIgD9sCSCGu6vdIeW2YmpIZU5uRGkZk
W3qF6I/ZTNkvVrgYpXHTlNGXpjBzWqGEI15Ku6hPhg/L1bWGy4HUiTvKQO0e7aj71SxFGsa5j2+x
9MFv9WzZaxA6prmN6mqCRDrrV0404+eOOhXGaGlxnCb1lr9T7WpNx7e3vrW5HTm3IJzAZlIIbjVQ
h/Anh5sisWHuzeowGnoCja6jtdesaQdz5FS35KK9VH0tDvZQ+t9aU926JHeOgcqtAXRG9+zMWQnz
EdSNaQ1HuzC8MO9RgAWdIbuPqLYJf9U67QJZQLLzsMWveRP+VtYTYwaa9ruIKjEAHnWdArY5LxoK
ujkFU1zNvYvzaiI5R8HQHZApbTvmiPvEt6dApwG/IU+WDp/BrH/1/DCruPJ7Vq0F6jPmWHyrejdV
xy4nJdYZ4WiRgHXXe8TJ5V6dM78khptz8w/NNFHDN/6x1Yd1o0/uBRzn8tss62Gra1a36Q1NC2nA
NCHYZfakvmeqBz/N/JA4rTkk/MkPVdccfc3H16jJDxT6X8rUrbeLP/Y7XeHrJLh72Wj2ClespmSH
yHU6aXnzvrJsii7qL4wJ0c8yYm4tTLc6m7atX5oTNxZXbLYb004/LqgCDxrKUyxthJINVQWtKmaT
p4HbJi4dL6HJpuYsGud1WVYnMhJVMne7V7PO8wuBhg5AALlckUXIG5gy45JnQO1VSntlzPOP3in8
3SSX11iuCKfFZy3LaC1dAe2N8Ggy7ebDH7+V0hg3etG1N1FuRhtGj+p6tL2BjzshTo4ev7AX/ZB+
893u0mKHS2NixGc/lS1i3zJXzWPh8acWmCB0Lqfuo+1tc0Npn4f0S+nXka90w94gu4XUIldf+HI5
oLHcjW4OGDoC3TvwdrFKDU/eXPPB6Kz7NAXkNMS4R7PJY1130uLNxJG9Kc25PvZ26WCSdOdN5WvV
DihAeWka5rjt5gUTuzW/qSSaMTg7KON8fsOY5OQMQIR6VLq5MIZUNRcUsIEToLSk0zfmkp+PqzB7
4bXPuysCYbwHHHzrLEOf75nRHR3afRut8OPbXhXjjeii7IUgk3tBXwtgdnxtm7U6WL0XW5spyeQW
dAsXGk6L/YUcMxKyBPF5c+dt7SVy0GsqN+ZOD+McLg3u6NQZfOLravNdVFMlwpn7DILAqM8DkVQH
HTXAATSx9zrmSn/p9elbJqPuvOiWlm0JHRsOmeyssyidYWvA6qazrEu06yKBimAOPpFeQvBE6OVd
4/nibmQwpG9YNTVKDBMwubBV8aFaMiLWFzXmngI4hBjvts5eSkPwylROVx9a5S+wYDF3hXNs3aNN
ZaDT6Ze4UbJnBW3jrYppzY8JGaVZjdsAVvB74ShxXzmp+c2IM60Ez+cw+tbSfjrKkYzvIM2TrA8B
ck3f9MIrQqYD6n4Z2+YYsXii4tHYK1bODZ5RTI9u54YDn4PpYGhLxuPsDO57FLugpE3lnn2Ib09C
tjYk+VQQ3TYWW0Z2ciNruRQQS4BA1ySW3rWW3aabmUtxPeUmhlY9IlzB7WQfh0sLtCckXX4+V14K
sdhos13kjt0OGZC5lfyufdc62j4j2rFkkF2kT6xm+ROfuP65wJJ2n2dddNAzNz3qYqTijRrnBMlB
g2uB6IBoPWfE3WGm2XwxaEzo/CVpT74GqztIaLPDIS38k9m0wyYpJ/pLk70mJg0x0DJdtbcdnrMn
3Vv6dyHH4eCp2r8AGt+d7Thpv9SWaHPevzrrQhoMNPME+2qqq+XRb7sS86kQanwAJW9CMhR274eL
Ly2EdIWch22a8T5c+J4NaduLCufLSHSO8xznGi7+wZv4snqoNngR26kLALJN8dbObefasfLkBdqy
Qzq929/jp6AdopJKuyqqKX0hcanaMX4p7RB9SHHse9KCMnpfXmDbuYb5fXVJ69EU3ZIkXh3Apkyn
tvTvAZZUFGFN/1aVqKC1xEVR3i3xRVtRkhbV0HRBVw7lgwF2O7B019yPXplfZrVqdnPZJWEdI7KQ
2lIAqGyl2I1GNd4WtqBNL5BUrYbXfDtkBqS9inQD28yqQ+9O8Y0prWi+Iyazrc9TnExEzMWT3oCg
wehlUiyUMvFhnAR9b6KteKfcTAExMJ5uRvu+7pi1AZ7p59pzW3XI/KSEfpTNw3KBDQZnL420LRlD
VYvLNmEdnbyCHhjSlkOXOOJpTQztwwV1i3toc97FN9/xIvIYsii+THFjM0ef9Tbbml7MhNfsB4IV
NZeIh6Rr68uh0+ShV75xNzUdewGj0VadA9rCbtZOzdjKY8szGfadlV7KDFhiZPbuR9li19arlQ3Q
ptAK9ow2H1TuR+kLOnuap7TtrjreR2C9yyIQ9nvedzCS8cHpS0pwowOX06St+7hkCElSh9V566PM
3SlTLV91CmuyiGDnkzN8XbtS36N97E+L2XS3UqbyOWF4e4dnXZwWCTnLZEoQisSwJIFYUCjitVFZ
6xHVAfTv/UR2JZzTrL62MZyHqxcARstQbrtpAgdaGdkW3eZanDfzdjIR7vSFe9RkNYQ1G/c71LT+
rs1186uwJ/tQ5q0MopyVqailF7hpnezT2BrCthYMl9LS4faqZHwrfG3AiGmfrSnx3/WqPa8pmjT1
dTr5pjkfGoMBSd738SXSJXqb+GXHLc9Ns5P+JLbNDDW14qHU8R6mCbrOMiGwkM94NGn5q6Kmx2vm
lgctRWqLq4psg9GpYG0Xndpoujaj9LasXR0hUa98Vzt3gEnu5JgcGIEXV1PO8FHElUVUKfp8FAxJ
8l1Kx76KojRloW3iQ1TDW83VKqQi3HkuiDpdWojMbd4NfHTG+TbpdP96mAinzKrUOeTY8vFwod2m
dV2fmCrdeAgtAqUgEmx6hk/KrbKwqmnPUtg13nXOEHMzlXq+NYrIBnDmWy8x0CkmO4o2XZkm5Ysm
1UtjuXmAdGJv0+TUg1oO70yk1IHQDeYMJeNyg40nak+BgmUi3HMzAwMJMjd2ICwWXzGDJNAiasba
1fRME/MCgURILMt7lRXPABvW563X6y30/rwOJsvaOtgog4IUilOWKiJT1ARLOtZpptLI1TfA3BBZ
tSv/PLan5rJ2soqnBQMLsXAuaEY7vSziOL+h/6DrYW//P/bObDlu5Ny6T4QOZGKOOHEuaq5iFWeJ
om4QpCRiBhKJGU//L9Dt/0hsWx2+d4TD7Xa3WAOBROb+9l577Pxtr8z+umnZb6dmD/RlkX9Gv1HH
oMa7y4h4hkbjmz+GkiNaCiP1UOCNI+BVy7u0pfMuU1hO4rE9MSJMV3ROeyd0LSw/kzr6yq15ABvZ
SXpFfzdncbTDC/7KeY2t2FQmNH7PaXEsO9WDi6Mz4alvlwFxP1wsqOyf2Uo9JkZdrz3delcxU+w1
ojwbxyo+hsNcNwyeDb0p++5rIOrLAHZ/FafyM0A92Be9bcNTh8IykGF8ikdRrCwIxZvA9Ps1VBHn
ca6Q1505k1flFJ8To3xuFbjyqYkftCveiMey/6MXe1VGVCLElXwmrIphpS/t7zQOYxiPtLVhbvB5
ZP77plRhzLuoJK+3QvVg8z0q6LSzW9zDqgWuUFEqvsGviiZv4jZcjX2vESim4b4WTMlXuR+GyE7t
MOycxp6ADhTwk2DXOfuMfPg92W+HWKflVCDbeuZiK1/HrcGdUGxdM9MnSTE4HL+IpuMo3PCrUt4F
YjykMDydVF1kcFvlnCVi5co5L7e9n4tm25mxoqnN9Y/8D/5RVvpvMpL3dlqxePhJfAqQ6E+Tw8OV
4s5vYaa6ep9BV9+OLngkz6NCwMnHEzOHjFtd0PGZliBSlriIXLRAVUbrKSAjhjGZmKLTssvDHr3H
JWODX5MsCe6o++GAxfbg9fXXyJ9PIxf8Ok+Uecwi4xIGDXudnB7gtPYwrPQtDlEa8GiPyAmWIv/B
ToUwxFYfi9Mo1zCVzjrq74K0+W4WdG8AayPBNJZ3ta3wcBaTd6Q6DhiU0cZ7zi4IiFgcbtDSnxJh
N1fMV/CrQANaRznFfrGpQBZVtCLTHmhstNM1x7KNTJQLwDpm5nxXQxjcdRBGD/RWJOu4mr5mERQY
2U7WjjLyZJW21mvo9OJh8LEvueM06HXaVcMPBzfBA2ufXOFw0msP0OpJ14hRpkjX1KLal1z7BjoL
ZGYyYFl2CNwSm2oOX36m6Hsjk4FCci8S8JBSM85ONc9HgR9yh8NUvTQClpWDiaHYZMY8f6PNKhxh
NWbGS+UW+sYzc+OQ8sCjfM9jXOlnJEu9jCMSocOU2tqE9Bvj8S2cuOmVfRa3VqQoP0qFf0POMLzM
bUzDYOK+RVpMCtOr0ZxqZOi7ebTDtZN4OElUYg6f/NHpbqWM7flaj37FCMUrqj0q6FIW01r0Vc/U
CAhwQx41Jsm4UTLBwYSFUu0SJRkuEw28Fol2+rXDw+CQhP3jFDmf2CE4D+Rcql0E2+TAfTBtsSxD
vw38zwNN9CvqkuVDZEIuo18YllwTvhRMhaBqhz5QNEkNYc4h3bgaJJuaM6Rw5rxtH1+xh2jHXeTq
CstJ4nYnu2T9WRFqVuk+CodxEYmo3BzQwtjTFK4A0TmnbO+GSjmLrVl/1squr+rap6sgrjDPr+gn
CvaTSsP1xLrw7FZjYF0PiWM+9vwAqlLqbn7qcFuvuI1DRCME6qXucGouVqfgSHH11GtTDQAd6jI5
z7hENNAd2sTxZUfsmCZmy7RnEAXHocROiFXmuchcCDo6xr6YdWl7YAjGbMoYazatvu2Xq8jI+7Xt
W+OD06kW8cnMlLviGAb8URrBZ8A4lH4yA402eKyicYOmBjuQ1l9Ih9xo2xkkEpPAhoP3KHlEswUt
cEtY6m1ge71lRHAHsBhwXuOaJ5W57cZRHVnGBAfOGPXyKU3ZgW8cmwV71o5gYFvR1kQ3D95RZmjs
eHVU3eaz0T8ZdtKdrLhGlylmoHoai+xTBsH72iwG+MgKWD2H18a6w73s0TUecnzR9InikIvl65Qn
2QnHZP8gpYUYOsqOuxRSq45XheOXkj0j/aCJ02Bl8AabJxbgv7TBXxVE6TUKf8vzJNBWfpUKOTm7
1h0cftNFusVVE6WbMWtuAfLY4NknJbcWMtQjcfLolNoslWWO7SqnEuU5FA0btdlt6VVFYLqOgwAP
SZQm9VPnwloaFudvVNk8zLikNhx2kq0ZNeleGQMBb6TRK0071bEfzHarqLk4Q46EL5fh9zpXczV8
atMS6pE7JsUmNgYbM78dspy0EImyWl070+AfilhEW0qH1H5ogM/R6rmYXPXQXvy8sL6g3ho8xAb1
aLK/O2M5GHZdy+4fOdNDpTHi+wm+3doP6EQZmWUQlW+KS9cG34xeiC2LU3hwY6clGTQLprzcGlYq
421SM9WPhX9bju54JG3Yn1zDo4raDfON3XLq6NgxrtGb9Qk7VncxtJedyU28ghkX256ejV3qTy8R
tUJrfOScDPwUWVGEIDZrPX2mjSDceRqqtpL0khlc6Pu4Vw2UahDUWYONdV1lJQV4ATVisTWCIhLM
51unYi9rzrSX58AdOSrMB+wfOAk90XS3vlehA4sgzzclEKv8fnTiZDPFPGxSArm4UCASnQ0PdpfD
+AaNVbDTqOKdyHzgotV87WQz/78Z3jV0nt4MbYkO3Gefg0Z+sSIWa8cot4ltzUur2UtQauy+EQOP
YYjBkxm5uSk9o9pJkdmHAQsp9pp7ADMcFWzgFgH9wNgY5xsrTsDNp/WTaur01o26Q2jIAxurdt/P
dv/VGBmDSMv4AmfF3JkzO+SxNpK96nlQj373UgRpfTd09V1XyRz/VuXzaBfLQZAa2BvSwxMODhkf
69KUZ7s3voMP6C6VLDUuttGmhGSmu4dO6C/tAKEyKsZzrxTs4PzPDs3/jq3/ZmyN+uET6Pn3Y+tz
xzjwpST19H9VrX/+oX+yk/w/wKcygbOXflXMbwSA/pxcBzaN3UxsHIAfJGIZX//f5Nr6gwicNDnK
Y2lEg/lpcs0PDKD/MGqWgWlydf8nk+sFwvRzPkmQ47blAk/yHNJl1Ef+OrcmBDR07AooxKBM3t9Q
XifuTWQi2HHUZld16kOqUZ752hhe+Ohh2+QgVoYnQyeEEzQIUS/3xLkyIb6jFnAGIJVYrHw/Mx59
xfjMwzqYbCuTNgwRp3BQS6P7kWpJ5XQcQbLlxL9VBWFR+ufDC3byeOHDe5y1ayKPIjL1sG85Ahyq
unAfOrpCr3/6jd3+Y0b/M8BpiXv9MrkXJC6lzfje4jslevnrN8BsmM5UbpzjqMV46wIPhZvTBWww
2+Vz8b5//3of4md84+AyiFkh/BMcJMz36+tJA7NwlGXqOBgahEeUv0YcCddJyHfw+1f6kK5bXokI
J4EIcqvY4P8CceoIYTS4v44Yg+D3p1jhaMeg7dkKk4de5vaeJ0t4//sX/Rcfz8MQvqBgJJepufzz
n3hYzNGaoSgbtD03nlB5l7IZlHfPwePlkKn6z1+NPQsZUarlXe8jPCoK/CEpixQXtzk42aXUuP9H
V4uBUFTw+PvX+sgNWL7PwONu9T0L/pD4GLkesyiPi8xMjnU85lSLx7g6N3VdVBtfC3zwE8Usne7E
eWiy/jATxFb06VKV8fv38ddvGFqWT1zSJFPosaj8+g1zuPQm7Erpse6w6m3QqOmXID/xGLgKk9rv
X+yv15BjCuFIZrC4Dmz5AaGhazyTCN30WIh5vqt83WywunQ/VKyymOrSxElhUsCc/ZvX/Vcfkj5Y
4huuG3gk3X/9kFmU4tVzsXuVQ01BRM9vc7C6pVwnwc/y+8/44bXoceXnA4QwWVSB3H1ModqJQSVQ
HCTHRNTRho02KpQyNXQfyLaffv9aH9bb99dyhOSrJDRsE5399XOlResa2uAamqd5EJsq9IpTnlBd
tPn963wIcP/jdSw6pJd0Mper/PV1mAA2msNPcgxNyDKbcaB+e2VPbL7D3nIe4iThADPiIKSxVXNc
2pp4Wf5RTPZvi6w/XDvLe6C1ioVOuNgozI/XTj+JLKFunvcACGCDulDLVTRTnBZSVXmiAhpnpmtN
f7Oev3+FPy3oy8tSlMUHt3yLZ+jHID0mm76aQ+YuMU2PTzp1ixOOrelapWW815ZiB98aFTOyYaJQ
bh0OBDePqKrjd+Hmtf6mIPyf4JWHBwruilOYhPzXnBp3v/8N/av3uZjalmgwlETzIzQtcyyOu55h
HExC8K/T1Nka3Hce8CvK3cE9lCRuPIptDM8jUzdkF8TEieAPUNZjl1X2VdAG4XFMfOs6MNzG27l9
XKUUVQRev//9e/3rVesT0144WvBKCLx/WAUw3LcVg8/kWAQmCZEMoyQHraZpt79/nb/eiT4+vWVx
A1z3V3JHYpByC/HWwD6ikCZIFvcrSq1zlTe28/D71/q4nHOd+MT2wa9geA98YCy/3iKT36AHjinL
OYDkTeSH/QYVA68vt8qOqWi0VqjfV6IbvWejKKP9WMFe/Ls38c4y+PVy9S0GUibZcX7R7/7Fnx+Y
uVaG5M4gHtoNejp6746SNhgtdYQuMt9R12S+OjHBEugb7w7bmLRXQvbaX4FYda5gDYcndPHplrYS
2a04jpDlqfO2ox87K/AlxJTDxfBC7ufcCt/6scs/+1M+X+ZcjxjFau0+eDX5AUne/KrHP6GWQZy8
B2zsPrixMg+toCU6puKcpgaVGI8MmOY75FCLPjIAIDeFNtuXnCPjKz618NIYauIsNpbhG5kAR53K
oibJUvYqPMwNOuAu9Yh2IYvpZY9QZTaSSC3tlzgIxTcUWevTYL1rB6jaZDLG0H7L+9ambZGq7Zia
sjS+RBZ3tu2wtAjdJ69dzOJdASV7iyrDl+uyYNsIi9D0I3rYgggDB1C9/YDnqOGEh73d9zq5LVE+
n31kLv++EinXG3d/RJ6yCpAu0H6MO5+pMuDepvOeZ3DTyA9BdPGWP9s4FW9jcix7WydDMzApyo3H
oLKmC8+Z/HNdT8PN+9cbukO7lWVs3imrRkgEfJQjt4vItU6SoOQli4Ki29bzYh7A/8pq1YnpSjPi
9NY+4YWvZZVxRVKCwVQizwUFaoniu5scH3C2Ns34kT50+6kDgmzQ/WCWt1aGAWWT2vycASfCxW0V
59vaS1412eOSFi89RfuA0lSMWNAWH9LIsj75ZY9gaki+2wJU3SuVmnInGAe+pE4NOZybhjhBSDDp
zhmMETtZRh7K7OvxJpnsPt54tki+5i7t0+8NUWIybWLqy3VYDFV48rt0QLeOyZlsZsYH8UYU1byD
Xc615C3tetFAoo2WwqSZVi3CyR0DRejTc8E+p4sbBfSaD0BvajrQdtZwgW1NMKgvMb3Vh2r0uXrh
UI+3OozH6tDFnBhQe4xHN874wszIni7Icekp8/NtMBsAAbQ93hC3rXdt6olDNMzVlrJThzRupe+i
NmaE7+vyiuzy0vCQE8iWjXkRVjmfutp0D2Bxw8eo9baV3WUvtVtmF8y89NKEjndTzN4+Swhq0Os+
7s0ktZ59UlQrhbRgMiPDnEv2yDTGeY2TWa4F0dIdFcEwbDUetTXfqvwcJP1Ngkp5SkWwi+Pa2g1d
XJ0CbpJVbMC5BmmOnajgY+UZ+BhMLyBoQauu5NKx0Tr2s/Ya6xIVyQ0j+yXtQqIbkCTZNXzXO6dO
PrmhW4A1V/Iqx87PLMVZq7Yc9vB0YX/PEIzi2XQ3gWIonATxfRNPr4GSL4o2DuxhBSwg1y6XtIc8
Gqb/hVwDsXAkSsZ0o89TrVPya2HZpxlgLQ6d5Dp2E+gEtvvY9+FVRb3ylxYpaRsTKDnFecECbC97
JIw/125iWQycm/pOJHlDBwlSP9ybM1P2yQeyUKReE+AEqzFF/6hRVw+TqBAwiSmETMgjKz2Jyq4A
eRqRd+6cnDdU5TZwSoiz8ydGJtZuHPIQe1ovg6tWiPqGjZJNhavLepGh5RMgnKJPnTSHh6mCF8aQ
fqk6h0o+XTIPBSwsXG9nZ63/PS0SDTMe3S2uAzCIIbvoi47Me98ZBgzg+Futueu2y/PHWY0MOoEn
qrq4bVpvXnvcafnRNmy2AhIE3VpP7EUAvvEsLN1m7ZpewlKE2TSyQ54IXhR4B5Vy9Om4/phQTeWO
fI+970ijqrVWsrhpzPazl4PxFUPSX9v17CMk5pWfblo3s9MlplbQm9hQ4Zdmzq0J72jnel301KbR
cGV1KNJJOJzSoTNbXJVD8NVKxyYEKy4bQE+sk8cy0PHJwu0ZrST8ysPcF1yYKXsHjgi5cUdMytsW
k/5SVr5DlK7tn+ml8d9a2jsJaZVCPmKT9J7GYQ5ouXaoYJ86pgBh1bEfK8f6oJhiXI9G7d7pvJmo
VawURIbaO3CCDg7BiCzPwLnTP5T0/a3CZXGqW+vi0YJA3kwPGMwCcQYJU7KFKT3QWXlwl4c1cToM
xhaH/zS2kSkIgRsA8JEmseDwSw0eGK8AbIlDelRKo7e/jXhw7jy8FUc0fup8qlpufJdLgPmwwnQZ
OfvBM/Kd67f9dvATmyKOprqN2sZaFaFIj2FaywvfYLKxip4CsFDseyw5J3rwLi7ywZr2SHmLZwWa
H9yFcxBBoNdqdh5CpxYk7YZqnxP/2uVz47+gBpdrFpp63TcDJbF+C/J7lYXOosiWMicMR/ogasKI
5vLRuu5Mv7ox55BtP8U47ko1xPe2DK4qZMW0z/d5VnrPpNwRcao6uhoNx8csHdr5cTKC6UfLcfzc
WkN319p46LHeUiJLVXXJMx1nCNH4qneuObEvXQuexwFAVCf6Y1vurlZdhrTIb5XrtDd+M44Hq0Z/
XicBWjmS5nHwS2PVixB+BKGyS9qVGAKivnhduPruNsOP+GRHDjAdGj7fAqdISCx5qjoaXYmWlOb6
swcZoOBHbzUIyHwdUPuZrxs6V15MRc06i0BjHCO1tDn4goaMmjaSDWFs7JvhRHlHlW75jSfY3+U3
qgnVJgFcCEM/sKjfiaLp4gVd9eqJsj9RVGRs/IBnIOUt854ke7ghv9reCrNvXlOdsWbXOU8NFgGd
wSfvba/OnE8tVTVe8w3qKJ47gmZj/BZjX123ScPMK7LbkmNSa7zVblxeRkdJrLVO98mIwv4V35r/
HHUB8m+JDZLCUAjoDo+9qcixwaGIlAfDxZ8tZRpAwnH7p6kV9IVlBT5vf3FypzXpqWSxd7OLiq4n
OXmbdvF9W7IOj06Vjxbvqh0PdpmaF3vALELvGM+MioxHsc67DgIXi1NMV1VKaZvAOH4SulDdBn9v
xXI2zdGDzySCEgFHdkeHJklzLVCHuC7zYCkIm41HPG7mLiDetVU8FPYWrsWTmpPum+JsxAkjZghg
FHwL2k++hnK5lFGUzEvsKVmuPKnHg2ta4efJkdaLIZXxJt1uOIf+FD065cyYl/aX/WiPwSdKv/qV
XAz44WLFz3uTissm+cTGmNqD0DUhZdf3rkX9x0wOY/Hyg9floio+m4vL3/SNe495HHaTkl49z99h
z3dXekkG2JlZ4J+JkTuBSZDYxhfgc8Ymo0iggCz3KwyTGHzMEjfoluDB5EYHcopy15FHAIAc7DnL
2+t6CSvQKeUt886TbApnLSg9YW62dOEE4O18adB3wuVspqO4mhxSIbN4mRU/OK46fy8nAjfgIvI9
nt3xoXYl0xuMqRfqYd4MRey6nskIuH0vTwnCLhDkmGIVPeWHwEQekOPC1la62xOENl+zllkfZ3ye
OmyETnZHGU4DiAB2U9ucsWan50yM+4z+rhXFaCMG6dFlejneDK5Jm509ugdH1/HaLHrsfbXa5LDz
eEBU4e0oGnPV5qna+W3zo13yJsqo5r1wkwqKW/CVwWOx00tGpVVoB6STjkA/7joivIlr43rC3mp2
wXW5pFuM+nko5psuC09t5X5SOryw5CIYLYkYV89vaR19hvN77xGZUeym15iCXgIzGfZzhkjptcEr
IfsG91PUbQJDOJ8I01D3VMnXcUnl5BRrbaCB0E6h200gGY91ChSWN2Dnd78VS8JHvod9HIMTQbSk
gGZr/jYSDXJTKCiLS3TAsjFFT6ZqIqx1NLCebK3g2mD8TpaIkaDTt06+MDtqDl0bn536k4nh/rH2
4crFZJNA5sYHD47VWtd998WQkKTHoW8PtALrM8ER46BHim3wkpsnx0q8Ly4kjH1S1CRd8azpY1K7
yKNDuhwnqNwY99Ug2EIntAStiJHO55bQu97hOr13pIutzfWwChoqR9BhINnQ4Cx7ICRXrV+AtVrV
cT/e5lIvP0/WGZ1ciM4DwoUI22NUtFzRHiZrvULVtFPIV2kudqKJGJFn7IcOntV5dC91rZcwfqvS
egXyq1lBoOLIubSWa0BVz34EbKcJXW5AXpURgxP6HETgfxIfptGEY1HEZd9tqMEjkRYtM42posuW
UhVjGxo1Z4yKKH6azCMBe6oZ/TqcLoaNpUMmdI63U+2a16nh0BPUBhPHjs5jWRqWqtpSLKcT0Nb9
j3SWw03qTuJs0oO9A+WSnWIoJ89RYSByR7Yn7kXjtFssJ5xEork3X6tqcJ1LG/fLkTdoqe2JHdU8
4QZm65AbLpXYwtJH9vb8aMMtjW1ccUDfONTk7DwBKN0c3Parm0OpSzTbP0K46tYBXpWJvjyWSwP7
zCP/KDPazxNyWYzvHUSBhkO+33loBMuk5v31emUb26ly9TF0MeBwTuj39E0UX97/lQA//73pcuyn
xjrYe44zH6RFuXpTtJzBRi1RCXxruBkoltsYHDaZ9cyl+xBkfJmQ1Z2VGbf17l0oVjnmSzlW/qYD
c77JC2xHKwhfwd4IeItFTPu7SyPo3i2c5qlKWj4AqedixToy3zUIL7fAxMQXIr381suMEnNcIfqo
sSLdZuMC+jFi8zBnHdVWCrIe6A0+F9Hj8FE5HPvqPlb0j00p2ERDcbbvsH3qDdimIYMchiqCeMli
0AlOJ6YOmPD2DtiMkJw21785G+egitQL4l9CQDlFUfTnq0DrhgF1HrRIMnXINLeMsAS12TDQXV1T
j+aIAYZ3OjMhI+txlYczLefLdWck5bzrU34D1tzmn3Odz7grG2y0/Wgs7y9W4ZvB/B1RhGPWHezx
pbi9Y8om+Ft+VyNu2Z6vDZFybQtISbIU5Z5+5j/rkr2J9rA5H+AoUQO0c22ugNZeCjSpGuQH5qQW
IhkY2/cqFEWz86b1lL8ZSzpzC5M/kpUgEN5boVXV8m0JGkOZ0lvedOn5QRTA6cDZ1INhfomFY6ew
UTJogg3XPfk6cRYeOuvmXXgShgzfZqLBV33K1WTNPRNGas5fkBJLa8PjvP/UylGcAwEmqIeR8xLG
JtWjIT6ClRFzC9tWx2yS1rpTSBziJfOaFhvlaEDGb/rc7AnfheKewwGfEDsl8leIHZMdcDiUZAao
sOfcop9amr1onjPz7NRVtEr3TSXpf4Mi9n7DyiaLvxdzoV5qP+Glx67pTzkotWOL5Eqs3zeal3lh
nwKnumtr/lwA/fCKxfe1cxos+iLh6NGqb2CQgjVNJv6+6XV4Mlt+Oy3+y6d65A4MuylAsShJy+m+
3UY0cF0sJPCLKmg+1IMz0RvlzuIqj6S4KUkAn5x8Sc63nHycTclyuDctB/GDsaiPxYerYMCOc3aU
g6QAXBbgHckFjT2r4yqBYPYaQUV9YRRpVGtmsdzTlXZo9uN0uuvolnjGkVzuIzcyHmnVCt88Wr0I
I7TLNahN8NceeaNTEkkC/b41zQdMCP6GUjGOffRY9j98l3MytmQxfmmqZPwKo58pVMOGXCOlYu+L
2VbwZFRpfRZNX14DsegeMa3531UPrzjBonUC6IsFIhp4MtnJgGXf8SbylyVXQA+R4Dl1HQBMBFQ0
NVE4ovtNrhIqVN/V2P/6HP7G5wC500L9/vc+h5s4qX72OPz5B/7pcTD/wDyAGUGazM/QsUHC/7MV
3Mb+4DFAxKrrBhD4mXf9mc63xR+M29hAQEV1+cuCTv0znW/5fzCLNxnpLq08713i//s/v4ydmg9/
//OA/yNNGGgu5GbpUEXAGYKh9IdZYjgYtPGVjnPsR5P2DpmC7Ipzrur3+8WaePgEVLztlGb5E8OI
SJm36jkg6fzJKX31bLtp82RakMqw3cm/mXks8/6f9X/enTT5+LxBRvR/6XyBiaVDMQT2EW919QLj
gpPkghcDOMSNXyf5tA+UuWDokcn/ZvJpfaT5Yzm0aEewMaZwYnExqfw6BAljmSu3S0haRaAooWpR
MwnU5JIFusJUrxzvzLympPV4cr2r0Q4S0Bk6+TrO5fzdg1bWb9Q8Wacoj5otJVv5vs11ly0Hb/fO
i33U2pENCA/uAhoPML+dzRGcmeNSHzsWpN5sCC43sZxMxUOOGIcJxm5aDcIDA9sh+pI0io16ZbUu
4cPUlc+RT2iyAoCD2dGvrrzGnreUdnf3cdmQlZ3ssl8ZreXTsF0HdOsFYZyurcReWlK0scVN/9ih
MyAGzTUUHs9V5TUKcAT00Bh4oFSEYjl4hMRoZmuVzi0dlrM39MD1Qjde43cl/Eik80uZ+oWzMgjX
nCGbhBtXT+2TDx2WMlozHzgyinjsgb/4LgzObNoNce7uQXQlJEjlwCLuyvo+oD72zmySZMFq1uYz
TBLa5nkcaw4blFMMnQUFFrnW54jArXQ/hj5e9LCuXYKmdtw+iq6itqr1hu7InCvHQkpe8h6AmB/z
3B5Q6WjsNSkgzEIfQbTNEI0dV7Hpt6PZuipHbSIlRonkaI4RcJVq/GsblRr2wemlhDpqk14cHOeL
h1sGFJRb3malHndNBOxiRSaYAQIhIWyujCd2QBf0TuNJu52ATO5ngknf61hCmDKTXdD2/YY7NTgy
xC3uZwkQa9VWXXqayYFtfKf1XsCKq8PM9osojGoPE2XaUC9ly4nJQ09wkctsBg89yhu+/lRchcB8
ToDrw8/oDR0YsnhQq9xz4h/2YPY3gjAwpNjSK34wOCb4IeeaY7CDTkL1eVSTYe5nx1q5HkaHDffe
QxwZKSpZlnSoKgT83OEBbSMZ1ar2kLbWqIU1jQxwXMnEqzYjX8KAzscinO6lWQ3fs6xH9u2zuOgp
yixVb16ami3DS5/AljgEZW/Lm6ZhhzCTJz/mppXCA8EQDh/HkdXLTF65W4dBN2KRJbPVfivDjsoE
HbScpUliEvduO81JoULruHAyK6d1Y3otrs4eTNHDBAphOkwMFjtwYUAmMeBqGlhI7kbq66LREQw2
qC1fLEE4waMhYyddRzGPgrY863iAE1GbVvXSVHS6C/QBLvXRrI5T1mT3wmPRjMaYz0+JbnmDdOZd
SzCygA5kwKvp5bNNceg86HAWw7YmEUuypLcbcGQugFad0K2zZQBPoVE1zocEC+wzQ5fqeUCAb1aB
02O5ZK9g+dsGOdrA2j12r2aqO/OSYlQ3r4MQSwg5K1W96IZeVEIj+bx7X8oDPnlMNoohXZv6rKMZ
5N6lcnb+nDdsqKo1Yta8JMdCGeZIu5gYpheH47OpTljfTP7CSC6wuY4mEWE1rgQurS9UcudJs4Kt
WL50U1tw6ei5uao0hcV1I3jHeMkqg+lMS3LHNrTa177Mb5aWBIzCVQJinPLw8a5jR0XBF+ewFZvF
/EY7eV2sAUZXzoZ2kP44knOVpHbauDgXWHOpC+UdcO0Wyj5S7OEvKj4n/dVsOWG3KRvtfTX6kkA4
X04WrHNULGYnPtXcHCswua1ggQwEuo2KucsUFOjVSIAhA/ljJEGTZkNTvTai/UR/q8uuK0idvWiD
4Q4viUVZB+iBHhiqX9sr4Se4WWUVhGub/OtOdGZ2ia1l0mIYU3mO80E/yqwb3RVjXueb05duyiRI
xDt8DNtUVsZMksUZzzYQpyt2+/G582aNMaP2cyR1XzlbHz/elWXk7PelnL0VFxBMZJ4ztIjijd1Q
xEpUVtSFJ9eu0ywBzAq9k5S1B7W1JL/F6te7qV7CGQhnkWPvxpAFvyms5um/G8eyTdrp7zaOmAtx
Hv37jeOlKtsP/tjFkMif+XPviN0Kq+tiVILgZC6bx/+/dxTCxSC7eFxRCpEgJB6mf+4dgz9M3Frs
OF3MG7a7+P7+3Dva9h+0ZzkBzkcTjgJ4sv/EH2sve9eft2cU9Ji4c/kPj2mk+I+bR0WcTQKkjW88
pdit5KjR3IqxdNYOGeDp4FWZVe66LIphmSeWukRwUUlYRfH3htB0xXSukDAMMdUyDSTtv8wNPffb
jNK7LcoE9d8GVX+u6kznT8lMwKpqZvN7akVjsBJUS3crqlm9aVMYDG33Cbi/T17beuDG66DvT6OV
6OGiFX3KcZsxlpwWN3k2udlFETddiy7EwjsZZ7ObVMIMCT+ESMuZYOKkv/ad1FuCQ8wb2R2DlUl9
6LCO2TlUz0X2DgZ5DKNkKB2WUzdOLnlfDccu7zyYyBzN+6pIFYt5Od71RIslKy4jguBpKEdrT26f
/imoS8u7mub0aXQatbY68kjdNJ7jgMDRAViUFjDzMuTCTVflDMVWHqBJUjZU7LHK5BpN1giZQK/4
zfMtm3MnbhOZOCdGNs1tw6DPvWLD6HzjG5mu0MDSUD/OrpqPrbYbw77yNIClbaoFU/fBHdVe+zSB
b1n2hkuV2nli5wePhR5S/c5dqOFiPdgQ1q0Dzc0xY6h1kyno7FeQpUsNAUQ0QshxC1yiS+Oe/IDm
eH8URSaC/iqHx5wQVxwFFbjZEf3R8xQ5H4bwPX7d+6YBmJjXgTF+D0pPpW8B7R5v4IIQVa/pBnUK
8eAxJdy5LfCRZkVQyftCfwGpwLoI+jPwSM72BDz5ooAtx0QVu/SY2EFpbWER3QkBOuqdxgfMbrhp
prxfmUmSclmOGaMHlUGLlkKc/BQEDn0YCGn4ifZMc24EnJz71u1sELbwSDcJQ11Sh3UbQaVqPXtt
W3zba5n6wA1KHk/bnAPUsRhNvWNs27xUUuXfZFvDcw8IvjsryFLxqv1/7J3Hlt04lq5fpV+AuUiC
JMBhHx8+FE5mwhUKSfQetE9/P0jK21KoOrJrXoMqZbhDBwIb//6NYpHbxDqD8lxRMJ/3Qk8bT8QF
trhp5tBmGj4lmYeh54rM4tbiDuJ3RHbCp7jz7Is488pDOUNeHgWmjJLDXRWBaMDLnfldVWvnCJqo
sht8aCS9AzUNOFnZIDTUdzjiuv24U5h2Gy2Pf53i34EjjS68ywBNy3kVrTbR1PaCVDt55hyzg7JL
h5R7DLMTMiwQ9gaXkMl6dOl59CnpCCrDaHw8NhlIf97m1fngyOYRY9hrv5L+OzOyb9Af2TvJvnEf
tM7VmskFR5BGb5XAf0ClDbWzJxr7G/kZ9g2eVPGHGE/9i671pst6zItTXwQ0k9MgPuJjlh+jlFI+
avEYcPEBOSLDDe9jD5tnmJDuJfuap9W1QY0ytL1WBDdiHf3LJm0RIWb99N5va7wRsnyeLsm8dD+W
+G0QvrGsCFInKtA7WPLD3ql68c2SKilh9gzJIV8zfTbo4gUOdriF9d+rnTXgs7PJ0b/eN2KaaTDJ
sX7xvjfdMi9GuZ13/mdsJtJjFfY9n9FYZxh7uFv4KoT5DthuT3ZQE9hA0aOyDGXXmM0HUcXqNPtB
tJmQ5rOgB3OG12VM71pSUF04YTI86KQzafJj/oCJLoERWX2n3OUynHAc8PMoBKBKEO0rgaJVdVYa
bkKvUF/moEpuw0KlpxHHpS8ytcNdYS8uVN/SxFUstWcMkB1g8ewOBE2dLWKcCVxb/Htqpobs3Glx
T+Egou2k10cMT5wd/rQx+lvZptdZMTKzD7b4hB8MTgOIqGHdOuCjgNL+Rx/KBL4EzXoH3JVuPdlN
7/OEsDdfZPUVm/C834xyfsHvd9yPrtDf4nyytrnfktECgY8epis+uNVa3qxOGt6Ms1pvlwoVm1PE
+tbtuoZt0GTfS6db823fdjkoPHS4fV+39rNqhm6HOL2+A3yu9XaZErHFdMXaeI6Ov8201k7VSM9f
uHq1ditDa78y5WwTvYzBRhEoiKCfmV9NiKulGoMrt6Wq4o0UBy923Ef22s2FmvzkvA675rZ1knGn
Wzz79kuYLF8RmmDeNsYtfuSksGLJuhTtJnH6EquDluhlB9bQ2sGC3SIJ+YoUT+yduQ7ZPbv11Zxh
TWAhNL9cqxrbDto19O7Dq3Z0fVSRS5pEZyKwKEJtorAdt82w7B3dh6wvmivZqOXehgAxE5aUhHde
ONMtU3o+qzEy8TaYJ0zbEX3ZDQ2b/H0Z1u17MIbuthqK6KnJo/RimNt5k0xqfXQ6bwHRrDMi38Zl
Hy26ZRtPoxpJXWvXGGq7tj7DFxkUOZbDIyoQDJxSYv12Vurj++5jHQW+Y98aDyCxlyqqz6vJ8jSG
SrBN/Wwp4Xx1mMyo2hPcRz198GaJpH5MguMys6HcZm20njupE7y4fL61rSMCVmjPTtsgs8P3y+r3
J9tbWehVZQ9w9uI+PQRpHlxig9Y8EF9Df9ryO9S7MbITb6em+XJo6+7QNx6OEf8pjv8vxTF6AorZ
/702/u/i+fNz+bt27Puf/A2rgp1isQM4x27OIW8a7PRvWFX9RR/RFUCjfwOkf5fGwqc0RqUCn1l4
AdwkWPl/w6r2X66LHhKCPIL3f1c69icnPKDvz1lQvruww18hh5nTuF4vPOtEa4X9MT5GcFJDr3/4
5Z78C3nWn5RwBAyhkEjh4J+jQ/kdoFyJTACdGa1Tv3oOoTSIT8Vgq5tyGvFbfvtYRnzxKxTLjQkR
xBlFHJoTOK+/H4tngTfhKCLDHQxv6CUaY3NHnGOlOt82AT4l/3BA8Qc2HfpShCTUku2m6KHZZvvx
i1wKKTN0LtlFJybIKGZ1r/VljdAc03qrxDRVhVP4ZEMtcw+E64wCS4giW45BPcFiaP2Y6Jlx9GAg
YGtKNUI9HdYGN17CDi+uOe0u2xBFGwr+8DiRS3EsgwVudDQby3WnfFfkRXgsrE4/OhhNnodj1xys
qEyvmdnSa6SvfrUThIocl9Yuz9K4X/at7st32PqvXynS1qck9yBcNfEV+4t0P8kC29OmAEyib3zl
kWCpWGjE8M7tcRCHD1HfrJSQjy5MWGTwUQH3lAqTiLFxS2tuOtl1RJD22rpHNWJB1sGh3oOjAsRo
0V9IR9fX7GEmiCO5eLaL2Dqhlmhx7LKmU4vTdbyB7RNhFWsShHpVlpfBWs7vEAbDVbLbCcpmpzzc
/FwEyLlFTMluTiDHtqwj39OJDFRPVlFSNdlBVhJm3RQxzrd2UtvNxhZl9XnoZPMxg1nwHj9y9y6M
bXDmye7DLxk+L3jEhh3pHsawjkYuW4hDNyqsSmwlEkzTCXuFo+UVN3YxYm8ZEEZ7Cfl/wF6xmmDm
r8WWRYe8ILdg7GVI3TdempHiImixzincwDlb7mCWBvvesbuPJYrpQ01IFdaMAeXgjPvEl64skyNQ
9ctivHJjsuEuUMsNKIxXPyn3PTcnqaLiqi3K9T19GOudqNL1ElKgAqLCcOwsqEbb2uVpho+phUux
h+8Phmy2dxqnqt+LJc0viWwavsR9oD/njokjW2M8ofaWTsNzbkG/S6LgpSXabnKm7roy/dpZFl9s
ICYcUTwqFuTzeR4/hj0d9pbW49HCOwF39pIt14y7Re16Ngh+CpLU6IvM6jw0kzomEtlW2TMKj4hf
lp9EBIc6oZ26n2XQ3kVT4V5Sud/SFZ2AaBWJAeyVcb1FUX4lsODYZw6ZJaW0Dn5n6aucyuqzNo1u
nqz/mayY/IaQJneXr1rfIWJCSaDVXduG6Z6clg+Q0NiqrWyN3WXtr9HVr/spBCaGj4ejPrtAXMe8
dxVuZhLrWveU5goy7oZky2R5wQsPi5RoHAYiednhY/gIiRnsau0zAoXiMvf3tLJhJ1IkQchRU7HM
Z1Dl0OJvE5oENgxGK16f8n7yxniDw0I/4XRg1S0b67HPHrwuUzEmF0CNapwe5KLxlUI4GMMpMfUz
22n2Vz7kddPqraojpkSB/DDjRqIOcsldtnQKv4IdgoZFYbPYp+B+kHmCA3XpGt+Nuc9vks00skVq
QZU3ddlV021MmpkSG0yK+uQijKwRgVkfTf5Ht0mMFNSuIgufq44uyFM2TJZ/aGfmyC9yTnhQicZ5
5zxfCM3p7nM88cv26IR9/hENSX4fjiSmdITJmYNJAklsOBQS9+gOQN7F9XEakFP480j/eVpHtoDf
gw59LcT55Ea0n+fZP7mlBYEGyjG+E9hbOA9ugoUQ1DTzbRkF0T1F6PRCFo7pljgVHatcYKVQzBwX
wrLZJBbeWUOowHk6T6R9YgkL+7bFQxsHz6m+aD0Pvxw5SmhOATHNBfDI3m9CDaHRhsVtLWyurCgK
P80d/9Vqq7pfezvClA9xNK4e41S+m4XXfPUCT11yIsbW3/Xqiwbcdt0NAULUfbdM9Zmyi/Cm8NPg
uShbzk8Uo3MgX718h5kEZhi5Kjk3K2j4mW/p8puruuJJ2BoAIs8Cgk/Wsr6PS/al+HfVAzbONV08
3tti958q8P9SBYJtGlH9/14G7p6htz7/15evxX9d153++luf/ccf/ywIw+Av3zRqUY0KHzzUAUb9
WRB+h1HBQUPbxXLlu5/93wWh9x0rxXrTMxJMAox/wUr9v+i+ozrjz5Qp4v49rFT+Ljr1sL/3hKQU
ka6D7RGeBr8XM16omj6YpXu52j6tRUhB8aLhmrg2idj9laW9EK2/hEQ/Kh+eH/3/9SOOl4EDBc85
9WNjXUaMwv3SQvyMlxbKSr32V3VcnZJODOfotOQOm97goh4qfPMr4MS6iq0LTbqPUdQE96yo82Om
Qvwihzqzjk7TQibtwUQCcDcyiVbn4LZtSuNrjLB0b2licN5s73xs3Y1MSpR4fpnOT9JG7zBEu5l5
hyX30QC1zqntG7FRgSLPqAjOHQxfoiEPd0zLXwaIXyRqYoFSjl227US1XEVdHO8nbe/m0X5JLBJb
26KHkJhlzmGx1/VIPh/28LF7NN249zSusn3f5IijCm9fzN0NDHIiVeNcP3euFgcI3mrb+E13EmXA
8UtD7F9ab6crFeKyNqR3EmrlrsT87ES4IAShejGASjOewN9uuiUkDaPPV7yvsSwb3BDTT7sRbGp9
sYtT6gfCMGi118hs8lReJU6I3bAo73BDx2Y3kkeUaidw1Bx+NCTsJYToA5Jn79zIPlqAeRitL0++
HpftCMS2B9vQOw1uQlDOEG873yJKUQ2fyx5EZJ7L84aw2gvIFyg6wFSRxh2stGgO/tpWMAexEk19
KenXBqcwCs/1UttblUMpStfIeloEZGEBXg3QAeyDUmU+kIgUbqyxXM5gomcPMgMJ7umYwc6GW0Rx
4x/c3lp2/Wx7u4pdwcZXyDsHjNhbIGZWyuxTQ6LTBdldZ0sVkSTiC5bWvpuYYTGvhrGKbLJpd0Vh
7fOsfcCv80nN6yVRAXITA4wdrCq194694s+NpddKpE/Wau+Y1VG3nbKpQnmRYcDphl+hkaPCGelf
MiYeCmAK6ln4411M0ZrVhyHOFxR9+Ol/lw8oZ93i1otjpPbPWjdzPi2kv2xhWCLTyD+vizfvZ4gX
+4wt2cmvSArHmF5tQHPhhiJ33Mm48U7JCtjnEbWKATTfy53ug9XjeZvLGSZDBacNo2RWX8UTrAVB
VkFWdodIZI+dG8RXlZ2UB6E+x7Bkzuni4g/XoBYp8JcyQQyJh+QnTe+wtFesepDrszxZjg1w8oNd
zWrnyDC/W6Xydn2/XvW6Kw6g0dMebCg4wOjEpQe20b6aHVLQXMu+TaFw7+01L/cOUXfbwc/dHQA9
jVmZBWcOoX7bNFbjyXXjMw1t4YLcGNLS3aR5HEgTPgyIwXeul+F4FIfTzp/Klr5KnW57P7MfF+ra
jbYI0SlHmMI6aSROP3QcANOq+9wSy23UDPa5o/uJWKKATggJ43myD9iK7GZdBmQ9VDlFMQoqThUj
MQvb/jCwLqs6LY4sqteWl39OCfbbZhVNzrFlpzKoETb/yv1s1t4/yYTorlTY30iRgpJJrM456jIM
LgN9b6v0bKjG4FytMoVu4d+hVmr3Ey36Pekc5ElORbDzIEZs3DZ8AbG9S2kzRM5wW6CLgXWdOscl
tb6W3rocig6cWcvLdOL3ses8TiRTk6NTVcQyUU+R9dfsFnT7mGQLtXG89LmtgTWxELyHOjmfIKGS
vZpLazOpQW+xOVn2blqTol3RLbFxdbtaXHkYSvc5bOGbKHSP27Hs0S+52EKXMgTBszY2rxrQZvt1
RF6OVeASXftdJo52QXuClkF+yAp33FMR9jR2cxN1WapTIsDLC/dTEPSXGc35s96fnyhXqd/ou2yL
RQRng51WD2E4vi8Qfu2aRn4NkgmcL0r1lkivB9cZLqSnOxOUcE7WBoTyui6uCsJfCZ7HUD+qdpFI
1BaizbcO0gGtEJSU/jrUR88baI/AK963ky4uF9rdR29Gj+0L8OcCIkwvkk/hosKHxVtONeHYFysS
gAMCfkSmqsDJS3HEal0f2tFLbwkFvARQmTezFbEhIlsNZndcHLrBh1Bd+veNcfoIdJteLG1/Fnct
lhgjgbCxHrAvRaixSyD4fyzy+cMUDdg9LvJLTarGBo8dXOpdPR3narbw0UTWim9oeKNJDbBjSUyA
55kTn64aNK9b7dOsLKM72Mv1fgrSw4yyGYttlF9OYr0fQna3GNt9EbQvmAuH4UyNa8dcg1JiiaLg
xPybnsPzwHuOnEu0b8TMDp2CJl64dC9hKxxiOYkDkDde6V7jHGOZvZ9G9pZkcj0sur/AoR8fZCv+
JqxGnhdVER0stIsbrwmcg1+Tsex4pX2uGhsNp8dKvjKrHjqMBHcTu2dRfcZxvNKPHn2eHogTj8cQ
L+nJSlFDzlAM6ulJIyyXBknFf5kUVkZfqW4ivwthDsnEzc1LVmfw0sWpdfGnd8itDdzoEQ8SaLno
rpeuJ/Pb72tmb3K8ActTOOpu5N+RfSWD7mM9ztVanXdi7LF0zWo2oT5ZJkVqEYtbNd3adT/8Nv5D
X/0HFgLF75vsVYDWPn+Fs5q/+JuC4IYwUV2c7YxTCkU0BfKPshp3yr8A0B1cOnwXp46AgvcnA0E6
fwnIkxh4eQptPL4Y/x9m9fmRj0EQ1EohPdBR799hILwiIJjTcSinPSdwoOKAEBnQ8heEUMlxKVFA
eF8T5J7ZN+CaSNiY1blWS1mlIcQ9ZSRF6kO/iKLcUuT6/sscFU11SeoSwtRDY5k0tryFAs4QDSMy
1ngb82R+7GzYDGAevFlrABEJp0iLEIWRYNwtLzfv0i7Nht69gY3ZSEykbawRHxNNGuu+AP/CWdFb
wtQ1acY2YlPRY0UMAAVaFcL+nmZLRUj7M5OcgSoowhb0l63Sv0CHX5l4EBSAQNW46PI/H5Tq9d2h
7nJqjcria9NPY0jeJ1MaSZXARKCP5LqGHHJ2YPohpKTCfPAkhizd1gWM4HoqZ4rnx7dP6butzf+g
yJySlCGEZ89XPo3X0Hn1wKAoEvPVd/EXp7DxpEJsGOfnVFttn8KIQPKOgkmmxJLDtmwUfepsbnJj
MAvB97me+4UYZzkQqHkOXtaTvblG8YoFfDHzKPaaaBdA1y6IrHkfrHkbXK9rTurLnmxjwGQMDvqB
aJG3L+p3sN+jSW3GYEhTwSeCjXfh90EIj2BOrbyovtoTCT/3fpVa9V1ZRPV6+/aBXm0hORBEGwzS
wNUVN+8PUxZgDDJU5+iL4Gk7Yt8UkTEHcW3e8FnIzLuBpuaLhPgEv7D0llREOd4BZlXZt7fP5PfG
g7lkw/jBnNFXbGrDwNySX947R8SLHc5Z8GUkDCi49slZ0Xi+lpaQ0J37YGXb8PYR/7jJPjwophLa
OrbkLjBF/XpEy4ktWRdSvBRD29WYbC6NNZIPo9Zomf7hWGYQ/jJIuTomLs8J6eCw9Wf6+/1YuP8W
eZP67hcK7D71viJzQbl6RpHLuIvr1tziYgmGIdz/uxfJGALDAIxQPpPuq36OQLnfhVnev8w21PcV
NW2hxruIIAXu7tuHetVcMY8wBISgO4IVHZO3/eqGZnXt5LBJyy89QQ+lPGHzXj0WrmaO2mqJz25z
M4craq/LOu2qwN7TY83XpwzxCnt8jD4IoqBwRor/LssCKTwicpAgX+ZkxavlNEyeV3ant0/6jwcD
Hd8P8YXk6WCi93pCc7BSc2fXrl6qhWxzsemsMM++jc5i+R/qugzwTo1IctPRP92sP0dfyFOhHWOj
kYD982raiowvYcPm/PPqW467bhFvpEO/lTClOoTbAotiJMKBl8vnJSnimSZN13Uh1aIF9+kBQ5gJ
PXrCLlh/jklcCKFzBC4d7XLx4Iz8w11Sr19PTlACZvGaENOESP/Vs/XjqenKoas/Jyp1eRWxqtXr
LfBTx6BaF6Dy8Rj24FHXFnaHvE19hdYPGJ+NDpNlmHvx8sIALLNvAdb9fEIaeflKret4dfbtxwTs
RQ2ziz+j7/3QQweOYJ2XMmekjgQw8HSqTgcsw5VwMNnf4GBppmgLe2MO6C5zod6RZ6rnj+tiSogN
RvuGP4MVo2CSt9c0aDPQihajYGS0U2q6jF5Wfg2mgfY+moeoX295/UP/Q5USz/bUYQDMOToNthoI
UqvB+YDRLs5me7gyxfq0aiHHh7Frg/Guz/jOtEmqjBlkkyRBzTNzid7l0CXutaAKGXQcXnRaPjUX
U8PcJ01gSaqg8jf9lIGTbQKH6IkEBYHsS7KaxznR7zTu4ixmS4v3gd72nZfFyz7DhWR8sLBM59dp
8ZmjWTHi7WsR4gP3EWWdP54iD3nzVYHvx3I0lIzqgnS3ZTgf5mFmLM2K0OVll44prkVqRK+MY0+k
zZrZqsjlbWsU/UeMhUnDwbD95wX4GSbCSL0ljqow+PEy54b66M6Wi36OzSRWlNK2yj1bnIB/Utks
ZYakBkf2vz8DOMfq9iKN/DTZMuRqrEdEsvrcg0GkpE+c5iZhcoRZzzXFP+6ql+cTd86HX8MvTJNO
8vMKAYxVYCMSmiMKyzD8lga1LUqARbZcHhO9GS41IGX2TeSkUWOgA++ovKswR5byQKaHGS4Nriy8
U2MVorrexS7kPjAyREz8FdaikTzoWOdKnFt4Py0vbTmP3MN6HjOOD36CIuJeFTY+GbsV1V4xQW6q
Rpyc4Yab2i1zZsHPFhyhzUVkYRPMV62Ixire11Znnrt0R2aBfbeSFUVuElRYzqQTrcdXNHpaMaIy
HhFI7WoYVLwKQyYglvPkNRDBpnNrzSktXD3fnIbMnIsXJlAXtiS98gouqiXCcyfWIKCxCAmA04MS
iAfIdo5GUoGve4Bn/0M6eHyxDcUiOa3MQzZTIAQpuYPDDN2ePiDO0XwSvkHSO2Uah3x5iO3ADFFT
Wo8Pjar4/xZIixdYZuhurykdV6oM/C14z5duWc3kkeAy/Zy1ojOvtEc/vd51tufwJPyeurHCOt4R
44OkicddwHe+ISgZ9myflVcjCBgf2KJ/4Pxo3bJj3kLRJURn1+Th6vgnAn78udtl9kOY+Gk47tDB
STMzJUWCCi2w6UliMdYIJMVL7NkEna5o3OMR7emtvywzw1/1EEMAKgm3WioKhakme8n3xxyaP12x
1t6CDon0pnYSGHvYVA/mCeOAAcPtQDZaP1pnaW+Tm44JZIu533YuiDefLnKaR5wjBik8m9ZTae0/
Vz2mvQQ8R9kS1/chnS6vuq4JnJoVbdjUI2CLiZjpZq9FnOFhEjdDHWIRT92O/ilyibQ8gRwOfgys
mTPNQn+efMtLzGS7cM1hNiMjSTZdMicJWTnYijjyWs9QFxg8JPSZkYglftscclAGvkIR0jOGIpGi
4brAjH3lZ607Dp1zjZaHqbJvK+7SDkouRl2b2bacob3upwBy2CEjSYqnVDmey1pQL+XEZ4Xwt7hJ
IIshI5eE8UiPB1s3E7/JFqblZxqpHvNSbo+GUaCJ29KMkAHxDM2HOeD+6cRidhi5i7wLjqt7BtTY
doLoOp5+u/gXsCQZ6aroV048mS2opSi5i5nzZ7pkORqXRrLKlxEO/v1eeYVZZLUeWobjHPhpbbEo
dwvzw6ISy7uBto33woYpyvdOTauBZuGOdXW3WUucP9aNMZZfXkrVshv5uQ9h1jc3Z6pbUYfHHEIF
9hJQ2CdhnQ3ZiiUoTXOBGSrM72jvoRNu76N25uLTmsV/2Y/LJDljmWGiD/mgTCQvdjaslNPE9Qzm
Dv4c1mVKyDqTjFcLBu6KazlnHtSWme57S7FoOQR3c4+F7EIAdirRGI8padGL0FtP4aFG2kQCvfba
xQIt2+Hz1WlIiKuzBJ+saiq6e7uciwdkIiGiwK5r0xZ6NPE3h6Aeh+alKVljLjoMGsg94kwFPSNo
sZ9gNgTo3VF0FV+8rFi7u9LkdjxPq1MgosdYhz4yFHb6rsKHkbpRGc0CjNw84fXDYZp8RDh4m0Tk
uePEWDqXomBZ3UdKgxe1PKOOSX5W7Uq0PbZ6HrG4JFWZkn7tMLnbeBKFXLjBPGvRH0MQSe8+QHXu
IS1rvdzE7BbuEtWbBnKrEzFOo1iTW8tKVmwlIv913YVpsUK9jly0QRc0taNhE+j8akJr0RzGUMYw
hijQ1oc4o8/Nwhdoed7T4aZV4mnX2S4oe0lExN2FdoxVuyYaGntOFGF+EZ8kTNRdW9vTehGFlW0f
nclJ3EPUzA6YsgaVI5IlEr5120DN8h4RhJLCdbQbuTTtPsSucH6Y9UyoJ82FyrrD1Kxfn2hVecUG
/mHQPa5yjIlCLTTqu+ZIjkm8Egw6grbtQtLbDetZQw2GFa6IocUqSGBoIxFdteqzU2aq+pIgADNM
3QAHDyhJvhhIa0J+LjeuwIjDPuqoan1jQmH76C+j0gKMJ33KyvPjGDSUtcnXRJEHDepaq3xw653j
EycZ7AOhhRVfdy4Xk93+rL4hrkaBczcRlgw3fwIbZFlqSlE2/iMpC03j7TAv6qKResqGqY8IT/pU
Y5E98cJ082JqzcrqoFQcOzGPZlkJmUh4uVtlyseOBZzXIfECM8OVvm0qzNRaIic6ZGDNMfGgAtGD
ukCvZ1GS+kk7svRA68lYZXTlxy5GVBKRSHQY/NpUfwEIM3OKzByCirb4NJbQvoa2TIMPPqpZTsVp
LIm7QGxpsIZmaH2mSVRVVPZYuXOXjp7rUwVPNrWbtSVeqWEuyzCfZNKDeBwRoCGA9+396FTBKk6h
5xaURBVdZ+aUcihtLpS6RIE3+X7ZmQmxLFzW6AmaIaUJyaqaG9RU0qycdHpnzrSLjdMTRm0rjdv7
0TMWlNBdw5kPs0F9eZcw4ew4f0QfZp7MPazmCvQJeKnUuypqeqd7DrvQ1KthNDLbuOgmg8/T1Fb1
IXAzWV3GdTayLBKObmqpqpGmZElCbe6RrqtAO9+wOFxo8k6FMxo+rVOBG8BIItAcm1O787n9zOGo
hrGANHBP0Jdmlfq5gnlOzX3Ma6w59TYI8TCp6KhGFjeyoX0R1jRmyGT8VgyYq01MM5k5g6G3sHE8
/X0n1pZXaDM0YqUilRWC2ocaPg5RijniT9QVFERmKKbIotizlHPkfyg6h5P58RhZMB3nie3foB+w
vpm5YpFVDs8IswtJPEoV5yN5reuU2VH4ccyln+WnpAnicjrzKEfHh1W6pop11saATzRFxjQ5a+zK
FBW2hgxolBaL2ciroGWwlOB1zrxNJ7uTekcsFFVK7Eammh/rpuv8E/FP/ahuyTkCZL8MImlzPsuK
cBOCmehsLnXMKTJpi3rmFWlLZM/XK11MfiFCME+h5hRsjdMWJlyFBRVadvfYurKgzo5/rK7JOGIJ
C7sQBhZCdtFQBQaiM/WmRv9BzEaRZVTWNncg+xatsuILvm9+m6qkW2+nAr8LmpYw5lnDkoToNADV
AJomxbxozNn+eD1y+iec7DDVPNSuZ+IrL8UsxvjTqKYYdiZKrlzyVreMhQKTNGqC7OB1nhm7ReXi
/ldOTjzqXVz0yiGGR5eloKilic+zHWhqc6xq7bgEuxmhX2Y96rVsF441W75Yhmn3PHZDajLLc6KG
mFyWyROX3uToHM9X2PTZtxKlEXc2Q93PxzgE2PMaeSHlJRtPnrNe/HW5EJPL/gmG8TKPx9kVbf48
Js7MTYl+VD59bI/UGj1mP1xtOpM4v+x/7ogxBULqfZhRF7H7IhRW8FXMnoU2kWVZ8wuJ3UTO29aI
rZBI8BpTuzHp4t46qaARwwN5fmKwtlizc/+tJDSbbhkoU4V1s2M2+TLsTCEfNwj2HyK8DXlqugTQ
remuWSvN7o4od2qU0K+hylGEMAesTsue96yVTTX1Zv/AcAp8Dg+0hz8gH9swJwenRvoznDl8ghn6
J0c50PaWXFFH/Xj18Ks1pRVywBAVOUyVom9p4o+9GRgVbAuxsSKxmCEpbTVVN7Y3z1XLDUHaDRcr
hAxDyKAjzSvObjlurgIYkRSvy5TFxyip5uEdXJq1P1PD7BQnBV+171jYCJ+O2QRqouoOARnmfExI
H5O5KmsrU4m6yOaYZ6Yfu0ZSC2C1nOF45TBJUfAPwbYHuXIxv41Hswv8sbHApMicdL3OEz43vGUL
lDCt6G6de6PKGOhskiDNbqekqnikqTOYUx+qmZUQwgEqQ71HveLlCC4AR/hFwsXQqNBLY6xpHqNF
dlWO0QHuc1bar3QGEjLnn0VNaG64x4LQzBzh3JtCF7MCMyrfRo3+BWYEK540dho6EsuSV5iRwoqK
NLli+jxH2uwzRwSKib+zvAXb9U0/dFzvPxzyNaoGTKXYnnoGzsOL7DXOujRVpWwNP9YPJtO9+TE0
CkXq6D9d3Z+HMnIAEtFNw4jW1CtklbZ6s46gE59TLzLzUx14YqQoZLJm7nr7Tn5HA3/Fjx2gY+kI
H8MEAdX2NUzZ2w4tUxjYn2dRIn69GJLSZST62kt4DZOudFgL1wBV6/NQYdINiDIWiLu3jSYG7hoU
wnQ2Qra8Zu75MTP/7H1gnmi2CMjo8BO6hM478dXbp//HrRLAwhS2cN/Yjru2+fkv2P7cRaWOJ+k/
69SZOQ8WKLMtZHFlC/X2of4YcwJgOKQVRCcI75nXeDdlVOoSndk8h4kSw3KKFpVNT84qzSsSRDGi
on+4uNctFGQExlHH9TkmwR2vFRNd2wsVg98/N15i5ig987LdDikz+x3WX2bNikLqfYqJha+/klNv
dzfMdqV/9va1v77NdE193/QyaJP6zh9RNxPhaOMUxuITmARbR8JnQakUlHpmwLeP9Pouw7+yuVrj
oy/pIL0Gr3MKQyUcuFBDVcv8SjeF2ZqnGTu105i4pmp8+4CoaH7rn7g+bTCMcxRuW7zir0cQphIr
kwkC6q6iTwQbV0RmmmNSXHiuUdcWM3TmNF6ScCtzkv1+elX95nL0q6vR91SSX99ASi3hhjZMUMy2
uHT39zHMLjEpnEZWn9rEXuJqTy9rzfegHkmYHX+ULWOXmNI48AgdJWn+Byhu+dpAXmVALlpyhpLd
3JwSnQf/AP0vvMU1AUbsFtZCVSwJfT7VCqNCoWE3b1In18zWcvLNYjkuA34X0IVtXvyNYHaiFtH4
Ri8vDiTvCTv9HIgOM4c8dfVZSmuZLLg6x0OZZQimOpOF1bmSXQwMc7OcQ1WmtsGr3CzxTdM1nJb8
AdD3lPbMmnmOfwsYjtLfKz4Xk4pmG2Vlxkxi9/HE/VdxBu/i3B1naEoXSZUDy779/P8YcNJDeRDg
a4U9+p9De2BnkZBht3ysMWOnZo0bbbZA4apNBfATsn77kGb+/u2BM9WG33s05IVBFnnVoKFRhtiw
V9PHMEYxJvbYNAX5FXRgN7eu7R7r3GgDN3ZgEzU7kSkKraI0Z/P2aby+cgEDEloWllVcNo33V4to
FbTVxLNMPuY18Od5Wna6fHTzye0u3V7/Q5jL6xkEajICKZCigPg05X0Pz/hlog4cO06Tpu8/jW2T
rU9+Js2wyLLGVFZvX5f76pXm0wneJrIqkHTehLBfXVg8zXZBkrz7WPWaXM4I+FKTrQyMyk43xfmc
d4GGd8k/EsCGcTn7Inxis+ZD/WqAdYFg2PKY/n0ziYI61Flx5Huw05gdSiKZBF5IaEkMrDVbBgZQ
GkuY5GxUgYGJETz8P/bOZDdyJNu2v/Lw5gywbwZvcN1Jb+UuuXrFhFBIEWyNvbH7+reozKiboboV
eWteQKGARKhxsTGzc87ea/PVvaIZ/HFKZrEXRRGuV5aVXizrNQUBjuk9KZvJlIMzJcvgbyJ7Pl1v
roHHuqLynpoOwLbP18Cyos4TthwfpEiXnTksGVVgaxhKKuffX+8PtNhfnuflnrJ42QgubLZF4/Pz
TIgrPVXNDO9ds/z4XcCW7HPW18tRX7LUswT9MXvPEelwFQokbDzcf/5X0xNxDklrULm4luks/Uxq
wYqVThdtSEdByTA4z1ctr6rNBKvCYLudDEnBFJDGTnmczCxq/ebPwR/TomWIRDSEzrszu+rMv8G3
WG44+l1+i/IxHXf+aE30Gh1QUjcthNOMHzVOLSgYexb+0u+aZGks/zlC443k2U2ZebDvhSFdDuiV
GlGq5d/st+6vt89xHALK8GMiWLLYC4kJ+3VPqPkLMJpV4VveG85z2hSWvtEZj+7szK1Mevxxt4nM
0TtObpKHfmWGxU7oWf7YRwnerMKVQDPbCOEqrh8QvHFXP4TUr+1NPrYYj2O3x8rkpRfBqO0NlGxb
rexGAcPMLMe+7q2wPMZq0p7YkeKZaj3uM1+BoPuE1LfqD0gxU2tV4WQyEVda2aMyw+/Hyof7Z916
zY3JrpRtzFyB2o/B2u+qqQ6YieePMTP8Q57rTAnSqqOdV2YDI7xOy7+imrCOZDlhe5RzrWq+UTXO
vc7+/FrFpWaRdGLHtDCitgVQUhT3g2PIRwIlQHW7qgJPQqFv95JJr33Plaq5s8225VgUyl06ynTD
mGCCFs28aFxj+ElAUZkCPmhRBt3g9TRs4jR9kgQn0TXHDAD+uinvZzKofY6fCnxYHLJrAqAuZjep
33Q0jl81ZzYfYCPJdTza4gjXNAlIwk2Ov3/Jfl2seSAYK7OYWRwVTJ2DwqcHoqT94+ASLd65X+ON
p4dolO287IjObVT74fe/7NcN6o9f5iCUW7Z5znCfTyQhkRTU5F7xDmtQoBEa1XvsUzpJLSKDHWss
2cVRKS6MCLEm/f53/9OT//FnotVhZMMi/rkekVbrgUdsxHtdFBSuBqaDcSMMwnH/Zpv4+En/vWx9
/JWgiBAeQJVkQ/5cRI66yPQercy7NpS8MwbAlm6FflhL8JHmzm0BKfUWUoeCVzS3yA4w+goFOAJX
2x/zDtkXYj37ugGxcCiU2nlgv205J8m8exSCw4veFQJeaqeZF7VPix9k/blXBe3ZC/Jh/clLqVNX
MO0AJkZZdG0Ij+dYcYRN9yZjFqcNHo21xpveiZrvGCXIBky1pb6qY2esZ+7f35yFPonwuCTLMYBj
ENfFYI/+fCTQFKcdoX/M78ADuPhxYsRbo0zz3TiPr4Xm5S+G4o2+1COGHnWj2OBeoM75v38ErOVh
/uXOOItYc9GDEDvHNv7pgATeEEIMDeP3SDI4oJ3WZATtYpX3W6Yknd+bAuG66CAqJUolmPaUYgey
1jv1ld13EAMj5XqG9rYz5onGWYNDT0DDs9ZNppySqXCuJgO0mCGMe3qg+XWpcNPIUyYycD13I2OX
tERD7VSec8uxsSdimqSByU6Ts+FUyRaCtbVLorK6FlaXd6T/tfLblMfyQbX07AL4mQ3CHrVhY6DY
Jpy8SaL7IffgV8a1yh8Qj9D4+y5iBOCQ4MAghD3xzrQU9yqJJ/NJo6sdrhg6WOPfPPbLtft8bU26
Cw6bFDrZzzmxkpYw990J3+vEtM5KbaSPVWJMmCGJJz5rw2LK/P3t1H4lb/FUOYsYkxIH0AESvM9x
m5qq541g6/wO/IPQIMXA7w9AWTnSqEw3DCI6Vnorat4rg6ytJBq7qyTx1IvSe8bm95/lI+Du1z+f
oybLJ6G8Dkrcz2LAZkAJ7kZF8T0aGTBQt5fhV6B/ME5qMVmrWtUzOhyiDMmVt+gV+mlsW7sYOaxP
n8Tz1gw8UfA3JSbbBOn90vqlhV4oLdFfdtLuasMgpgo44z6ynAgoCanAw6qdNJ0wkEoVkoB1t1xj
57SqrcJl2aRZp5xACwCYpJWhXNnkMd1M48B2llpk90YDu/e61HBpC8a8nCgNgVc4r/MCSQnZOEHP
0PMRJssUcBZp7zp9LPaxyA3ypR3kMjyJjIvWNl2/G8NLCkauKOpGJprMlTo7zyMsQk51GioYP6sy
gUe05vqV2h5xCo4I1Y70p64pk2ds7d0PE2IXrZ4+xSb7+7vzz+sPT4qHaA7pGtTQf+rrGTqTULBG
2XfXpj+wApmQfkPlMTE15JZRUznvcytDHO3KN/x1ZJ9Ndg/R528+xv/wwOKi5NhsoFyF2/GpAYdS
qhXt7OTfAYYSRPBxQ+xZxvlVQh4aEeC9d183hdwQDhYGlReOLzHhwxXPyazd/82H+R9eWOyT9JZZ
OtBaflbszkIOfTlm6ffIUe272tbaW8B0uI1o7B7ZF+VZQvU6VGYh9oS9aKeOOBpa7Hk33iSAexEk
F0N/lSjS+IFyvrZWbp1kd3/zKf/pyEDGK/J5XnE00xSVny5ZL8JJeLUpv9P1rqMHThYW5kndnFay
VfuzbvcZM6V2JrvCbazyRzyrTraaQ70atgZstEcL3i1kriF70BtcOWvJLrBpUuxk6hxh9jJrxr1/
3Oj/+Czup+r7//u/r+8iKfwEz13y1v3VjQwtkPPlv3Yy/xd87PJzGPryLT+NFipWZFO1DKoUDgsf
fJWf/mVtAYXjUEbMoS/2Zf0fTgvDAWjDd6E3+TA26/zAn0AbnBYkeRHbS8+bPpz77xgtOKT+ssdZ
Kl1aPpfncpjR+Hifz5Cidtp2zOzhCggeehzK84EZMLIPyy7VIyFtri44TjlMyLeZLnKhPnWcRDWq
SZLO73VhdnOzWlrzepDzDFZDCgWgqCv3LkGPAiVjLdOCwcm6Gkaz2IDSK2C+Ft60S5VhYDxCvaaL
ft9IGjd9u5o7nHvVqcintPD7PqEkw6pcXFlhOh7YUHrycBIiBCaTxAskpeRsKjY2zrLfDmXvRGt1
9HzPSqurdJl/C6oZbWXhnLwneQ8uQBJDYFghIsPLx0IEa5pmwwCvYIY/YxNfdztnvfWqVjprNvVP
f0rUmAmeHi+nEwrwhOk3zt98W4x9vkXLkBNK4JXk3Yiods4eI0BUlpMK20NRSn5mNXXbrsl6SZlN
AyUWZrarqAo36dw4jPSQ85DZZ6bhiBEz7K91KyxeEH6htyAHq99SuXR+3LZsZFE16UBCIoJG20yg
p7Pq/rkDz/UYziUj1iaqqxGM7hJkEDYWf6gZqlJ/ZthbXw2Wlm9b3W4CU8v6wI6qWmOs31wNaMYr
MiydIVAp1zEZZ4O1JxXeefRSmJWcy7x2S2O57jZxS/7JgrU1fYXWvnoBCBro0BzE1ujykD3fGmmR
pp2zStoU/KLVi95hNm7iVFOlSSVs9wL8MTw0nDfS3ejDMGAWT0ugmXqPFFfvVC50VFXkQHGQIJ0h
UTETa/AgrIVWv3BiApVc1ldBtJG+8RphbWU5VndkUMVHNDH5M7Jem3gT+hVrTHXdLu/jxazdONfk
5TScytmMGlSMNWjzXOOh0UatBwtJHubUR2PAtNu7Hq0alHHYIK2pzehATuvorEpDZCiWDCDZVizh
uqRKuV/YivtOOMKnexp+5W1o6Cygx/iGbl2DTNR2sAyjrtbvwzyR+6ERDm5ASiryHsL2zjX7N8Lc
lSWdcvZDVFQYJfOJTGCnMsR6ihC5riPb1a6ETUsgiy33ZeEjbVELQw602Es1HwMwoF9QH4bfhvW9
hYjuXNPR+QaQNPRlHU2P5KeKXTjDGFkrCmZsHIdkOIIgaK8ngKXn2kpTKENlCnEUEWy4ttpskQCE
5YMd1R3KMI/oHS+JnjoYOiO9vDC/zcxKX6Psq7Z9JxCPuDyHTmhCIiEi7IJQR64n5FDQIwsI8Kws
iHqOVeWmyA676roRobfBLZ1/L7Rs2oNugigX17CTx8lb0O1vKXpL35hwshL8isw152xZmvorU9sn
K28I4gBbPSIH0EGD+jXn4whjbVXHlbRvhlYJI35tZtlyav6zK37/3wA+YBZzEPzdrpihkH1tf91J
l+/5yXnzvsAaAzMMTpyZEpvfT/+h4plfKDawk+sM0PCTebQ9/jQgGvYXlF/MsSEkU3Ubzl+2ReML
Gxhf7S7cNLazf2tfxPT0675Im5//0U50yPGw+KR8iL9OS5FT6jzW0txbuevivFdQPRZdv53JaTrk
UW3tIA8hoymHYXq3yta5In93IRho2nBblhIAeVspr7mTq6cMPwf6ndC4t3mxInYEu/Cj1nTOcd63
t1PaJ/fIyPJthrhoL5h0fC2r0MVt6KQHNM/EdLX1NwZH6Q5zISGXNObHhtl9Nb+pVaaskzCyGcCN
mX7H7Cs7eEVeHEPHyLfSaFfoJopTaZHA4OWh8JVUxAetb4d9kQgBqlixgQSQEHsQtayIbMwJBq7c
fFvlLmR+krbJibNH/YKwyDsjACcFeErUE20BpUfTZNQb6pN8i94reta8xDtrSnajjbY8hbp2P6sT
MwEbjWZRmx7udzrBPyii49UgiDVwCfPS1w0DlRsPWSbwJgdVrGkBRG5YKbdWrlbvA3v0xmgMDBFJ
w8Yry+yhNlO7Xo25mW4rMaY7r+06fzAH4avOpNEj1eVT6SbhdSfj4dIRDPWGzowAi0YalyjDymRM
aXO2DcD0WIQIwNT1ZFOHljyqo11/E1A1fEwBzqbqiQtzNCjCWgQ81syKfAd0Xl/VmSnfifVaQebH
owALVC+ivbnoxGSCjjZTy8JvrfAkskrsFRcebOaQul6X0Mfwq2zruie52wNJ36agXjsbB7mtEnCv
i1jcMC+f2d2wWh8YsIZLflYqjxXi8cdoSrwXpya7mLNQRUyUPdxV/VDfe6GZnGbarqehVdGhg+xK
nsLOhBkg1fzOhC68FfQ8vNWAwnVnjTmQ/Sw3jMs8Ockpisx5g4oyJ3KycunrJZXGRoZ9nLOz0V/Z
yGFuvIZnhS6bHa7T2czfcL9X59C28900SuNoM4jeispOXqTrJM91FWvI7CrrItA970boG2cUUMZR
H6xy18gyuu7Msr1PAdyvR9Hme6HIfVWEQ8jeaLlnva70l4KB9KmOzGyfMO7YpWluipXI2pxuU2xd
59Vw1OPB5HGsm52idgFdhe4VKQAg0mnMtECvQue1NobvVj2KfTRVPXgehv8lwv4NfXrXn5xCfzTM
7G0aDGL9lMjUXxy3uC97A2E9EdzbGfjzpYxtosvGOFQOloKeg8Ogq57jnp40dAy7fm3DJr1xoqxG
62wY3htRB/EWiAVJIXOSP7iJKrAbY7tRGRMf04ibOBgGx0cJywKNsCDusO2+UW73zarLtHvkmHt2
MPtQDvUWaQ0CPdsBqZ7kaXZhTpvfWmG+syfCSO1wLvZmJkq/rWQGasMzXrrSS/aOJcLNlAB0oeAl
SKUY09uqxWA9jwCHjIy22hxP5HxWVvaM1np8cOi+XipdlGtuKI2RJgY+Qkld3SikoMDdqI91g0hq
7Xkbq0vFNmwH9YQuKN/W+aUPw/5ZWabDmW1ol1SNjF2BI6Vd5wM1LhDt5s3oJj4JXo9BHZ1tqQ1j
QEqrJAiQ0ue5c3A+rCp1zpPV4EwlAsApup7bMtuSwD5zpposZ930o+2BPSQkIgqnQBYzbZm5lMR1
wcF4iCDDpCA76EjnnI1Z5uiKrryqga5d1dUJzg3AGk15TvWMeSYpqEZAPCuoNBs7iYc/Evh98gTH
TiWvpFUDzpX1SgchDm4hRh9ext7FEq69b8FxCNI6le6SdOSrO06xRojXvtqpM25TSr0btbUF5l1h
qOclLoy4NjEja3ZzO0Du6D167Bpnwm3iJ1iNyRWo7a+M1u0dO+IMo77tz21kQpemj3XVpnax7sgl
vhLSbG66NKxPKWLrRyVM8jO1QRWUxE1uNLL8/BkgTGC1tfHE+Ejf2USvBk3olpt4TPXvsxPJ00DT
/tU06mVzkbP5TEsseUAq3+cruH3YGlMvInQ1zhDkR8Na0cL4RtPofxLiZK1AHI93quTSF7E1+6QS
VkE76u7RNanEmAAAWcfHPPCgcSD3yJ9kWqxKBNuRIbdFMnaLUaR6yGW4TfD5wT4J55sM7HlQ9ViA
wKCo5NpKpTBXVjRu7Lrsz1of6QeibLKvQ61n/oDLE2sN223CK35saZfs0I5hU4Cs4b1ktp34ohjU
Z9go4Y6VCeNvp/uTbls3s0yVtwpv7aHqXGWDmaoFCl/ke8tUwg2sypYg78F9QLhE8Idaq3cxcSn8
Oickr3tS7I1BwXBupvpb0c7TmzpLln9GFjM2pNEEs2SQ6T7T8V3BYDqSrKvTei+aBIQNCl3MCout
USWsL0vUy1I9sPenaXQvyahHsyrrfFoXpGheatKxd2XMK70aKyejLdQ2tPac0K1/eE2V7fs81lcm
3I+rRCfZ3i3ETd8X2a6z5IvVWIBCS8JvyZcaJDm39gvGv1c1lD9wNby45XhbaDO1wTww+zNqsW8K
ZyLXKrnX66g6VLHj3MOL1h8zGopvQF7HJxSkL25f2IQF2gn23exQIb5U5QG0St13WyrqerZPHLUI
elnNOoaEIMEhZwaLDOBq1C0yr4ZRujd1V09YTu3wh0wmw6VmG7hxgAN1XELgcNdhqW7lxKlnK8i4
PCWYF8uXigWUs9diKSPpZFNjHxMHV8kaf5lE+xzysqMWTcDqm8R5sSar/kpLP0pvQiZXRye2tOZe
xnMcbvM5y2kQjO0wY3KIOit9J4yqVR4slOMWPNY+hHauJFmJlDYx/EJRpy0q4GLT2+0TnMkBlW6U
+yq1P9BL82lU9GFnJ2CVJtHJM185brzc4TiZx4ekMa+kR04UVqXSWmURu4ziwPzlLPJQzCQ1xPR9
D+wgyl2sJNEVEFFtjcl4OlPL1ueGu3mYO6q1OBlezcybDg3oJTTNitxqxQjZSC7HLWMmH5IIkuaY
JKR8Yv2xJwJ7wg47FuZuCBn4CCAn41c0L2ImzjmtlWg/m9huZBiGh0boyaFToytby0lgdrTqCsJp
50+RU3+Vho1vYbSmbVL3yQZ/oQe3TaW4TnJYOqEJ36eMceh1uBLWmIrdnaS1wvRbF1tLDdUfpsRi
t64w5o/kdSJoe7fdwnafyD9assKl+ZEcHtbmMtdDLrWkin+UJv9pbf5NaxNqIVXXvy7i1mVeNq/v
v4Qg/vE9/+ht6vQ2OYjw+NgaXUnqu5+9zaXtSdUE0gKnKu8wTe4/izgyEJfpFlpCmt/Iyf7a27S/
MGDWPUYWaDkgQnj/TnPzYyr93wMsS0UiCEbb8xxkgJRYn2cTKqsEruhZOdKmqPHm0y1yJ/nc9J5Z
NIdUhUhSrzKKyTjdciwC9XtleDnAvwisiOWQIEOwXhUdTC90M+NUKDqCzImcPXpJBMAQxZy0W5ml
3RhuM5zeSXKFRZ8QLsgwWYqSIqwZf5gMOjmaz3TvJJDB+AphkzXNGRAxSGIxZ5e1gge4EAfmgWR7
ZcawWFRBq/bqi140yARLGyzCdJfWtHkM3JHMvi4sTTL2rpOko3kGpQsMDDHpYm3JgrlXLpGeQ36c
gN7iaitJl/rPW/O/an1AJ10mNv/6tXlMmigpktf/c/32lrzzM1/zv7ZB/vz+P18hx/ni6JDpQZJq
RGHyMv3jFXL1L7bFuwAK/x/vyc9XSP2CYG0ZzoKIx1q+KOx/jgecL3TzbXD4KNnMD3zTp9jQ38WI
Iif+tQ+yqEo4JfG00whBAftZZBxNOJ2LNIr3rXDksXQLMgMLvWqPBqxnPzexUa8yaWi3raasJsGQ
XmUhJ2VEG3ZZ3CiknITSIRrRa+5IK6TzbuTeY+J2+Tb2lGhl4JstjyWt1o3keJzhloitfYshqdnI
VIbzGs/0ALHZtQjjM+ni+b03Zb5F0b+jdjsUuBcJsJwiSE3CjR7IcoHd2SNkWKPLffYGhOct7kU6
4e30gLwNkiQG8k3SK7jMMV1doqHUDhRZnGbHol1wn5jKlvSl+taa6oRo+Jn2eKM6RN+UyiUJqxTI
95gOO5gA5Wke0E2MraE+QTfrj6mhTvdhNRkbaGnxDbF+tCnwwC/G1iJrA11wEE20NN+wCBKfEg+T
uItiCzynMVbrtOWfHbXWjsTpPJQZR4MIa+3JNSdI53m3VnBsY18pmQbAsOnusip1bsJSMy6haajs
tnZjaiSCSv5iLBe4ZWXorSBqmdTAvbay8X34fObMp8ok2qj0xEonrGkVjsaTzLJqx7H+yjEnfYuw
+xr4IcYsfVLN3HdQla9NizK7IJHOvOqUpg9XLWZB+vtzt8JgsPMQwD+Y7ZTSW05mLVB6bLVmOuHN
atrC4n5Y8mp29V2Xqi9Jqlu+5G8JsrB7DPHUHbyheZigv+K2VIuvSOemgxZXxBvh+/atbAoirbP8
PI2i29ZkpfN78EEnNxX1OS/gAXKVcTuTb1Pa15Fs7ZvMUEJfiZ3+hXO/fsG1lAaYOseraa6+dzrE
o1Wx+F7DOokWH2B7GEFqNaltrBnAjVe5nYWrnAaWLwslvGhG9xy1JcVd52T72CbA4Dh0QO0vIy6D
+hXybfuVQkz+SHAfXWwcstT4tXGXATlBOFnIK6yJtb3uesElGyrRnKSufmU4Js9KpSuBPqjfGVB/
dYYBRIGwinrfp3TT8wQCJMQirfVxktL/jwgGmhVZrtM+zAO7DnO5ZgQuxU41pZVuQrsschRBw/A1
Jqxd9bWJ/n/QKjW4VSAgGkmqkx6w0QEHAX6qXvpywfAT1HJV1cwfgYhN4aWv9BtGRy9z672oDZMZ
3EZBg2mRSE8Ot0SyO3HdMIngiVEj3X6yQvc+Cqvvqi7hkyPhroIGGcPOyvvevY5zKMOF50K84IC7
i1hzbvkJ0YquR3xuoT26uEX3eK0FAgvbjMe1jNpBP7VeO0dbNxybaC2b6kWgZ5K3TTc5fKR2kyoy
vOmxQpCekFHZ90bvt709EvjtbSfTiPcZ2VD1RZ91V+xkqAn6BnJKj5mhplmQtFWRQ0worVML0TJw
jDJGGBJqQV1xyLYdZARaxbkUvR3il24+FqqjQBduY/b+nBQLW4dhEU4Eo6nTsGGel6wIzsyeEUwD
XU/r4egmzsYsOrGqwkmTK7c1EfY3qXWJS5EFlZ31K3sAju72mcnMVdSHNDNwDkjJaAW93LrXRHQa
emvgCgAsuK+Bre2tzm1Oo9opj0PkM5E6EkwZ+SJv6eWiu3IDguPFJq2O9jQ+6+FI0G7T6nuoPHNg
8VXH3FLLk5YbZMJS79JYrgHoqb4lOaLtM7t3Wama+mJ4jXHvWnBo0Xy6PoUT+lXcbtM2VMISdGye
ZS9zSpYu0T3D0SJYZMUC8TUnoowQVBmPK2RpzQZwEcT1uT/nczT9oPQC2NnDf4FFjUGesB5JQGn7
ZoZ27dsOJshVbC+pnroq96GYsEKDE0ZdIr+ysdgbYKT9rphr2oWg2RSsP9UwYDZFxPamF+w2AYPN
9spcpkx9pN1FCPt2yKrUY6I61bop3HRLtpJYxXOzaysXxjAbLCZIchFAgADXbQp1r06ORjRtFu/t
AdawjWyKRuegrtixiQqAykmYp+Ydx8JJglHPb6EsIBBuI2e7SIVcprHJUtbKcjUBAF6JirV3oL3i
oyytGXppAok/TUNfHY2bRivXSjnquMZ5RU9xFSXnRIU8kuUVDYcZVzbtfO2ANyLcDLI+jkLUgILH
llFEA3FBVEOQErp7RQwAGQnSjPfN7H2DEE7v02reay+SgcyGb0JARFa1iQhdyXajNfHebdoIzFe+
0Djcc6+Ft11bGGdD6KgCZG9d0PeJTaO052hKb6XaKpchTm/IoHAP1Mk6b2N+jhwxb0Y789gaE3SY
K7tvbejWLYlccF4QGvYQdBtznB7MDAovFtzBvK1JiLUJRe4meZpaNSoDnZ2zWenJCE63Uw0U1isT
W7Aa2IU7q0Ecoou7E4nqKc94YEYoSgiCZz+x0JTSXy2Yr9P9zeE5O52mTbvKSu6sj8jj+SP+uM1y
89wDguaxsjTaM7RdypVK8PH36SNBmS5Vfa3j+ogJh27mJ6OS45OA8XBwlhRmWZPHXE/K8AHJGu21
NmX9QbWzgaU/L7gGfdztpiXXWUNUv1u4Aq/kTUL0WPKfe3hwQIh0UqHdWSYHgBqtj4MgALc4MAlf
UqR1qWzbjmTpFmzQZnBrPOwfwdOiYHnFKM4FyiaUv7EaRY/mFDLKTwXWXuLVFqEDbrDkI9xanS0J
u0FqA3BlYx6WqEHj2FRSxEGnNxVQdX2Snst4qVfhILC3rdwppsXbOjJZ0R2JDxMYABqKbtvLvRpP
8pjHmbJX6iWXm2qenjPuQ+9ag3dO2dLNdcLQHsxK6Xpz48eGtIn6qNUXANSx5o+pmlLINPVt6qUD
Qg90Wqj3PGvbgqHbNAhed/NHnji8pJ5s8alxlvxHIseZAXt+uMSQw8MQ1irn5j/PJJ5v7NZCihDK
GlZ6R4y5SywuoxqG2S2m6R2ElYGsdDD9gTEq4mwiVSVxU3FqHGGMKvfmkpoeLvnpaBAJmoyQImeb
6iNivc06FYt11z2zeM+BwUU6lp72zVxacZNjqWLFHSUSOM9UmtteAy176GQ6rRpp6euus+dqTaSo
uC5wNWlrO4tl0FnxqbKGauMN5MUP0kF78REiXxBgc2k/ouVbq8i3ZoF2A0i/cXAlvTU/RwPxTjI6
2GXO3A/6klYfmjFN6wT+xlWrcjTzw0iLvJNAobTWJ+e5W4KApyUS2I4IB86XmGB9tNR9Q6hLs2bG
aL8ssACsCS68/cRwWAcAtpxIYJq+68zS1x0M/VfW0+SQDIpGboFpPwN4aSd47MKBW0woh+vTsdVp
osFPn4rOuJVaaQSWTa+ynJwsyMzE23qjkAHRJf0RIMpwZtQ43LYOzSJUeOM6RbNDqGIVv06YT+i6
l6W50ZKygxGmVU0A+Ij8uJKukYG9JCDmzt7oPbJHvODjVdUm8xkKTXVXYThHIuDAACg7rb0H6ZI/
RxopSuTCpN6BhnZ4SJjTHjCR1BuMi/VRheRwMeiuEXBUlXt9VvkFGAVXmmNWAaJojbM/AYoWMdRr
QqtjUkdyUWwGu7K2aa4U+1HlLF7hu74vm9zYKLR0O4Aq10nUYOZIRX9OMU4fWSR6nxeQl8XpdQ4s
rHxG1gCYUeoqyERKlCB4eaK7+6lelaLlXW/M9IgOOQwQY9UcoMipjDPbmklzjYcgqaX9o+/IY7cF
SPw1xpPxRKL9aGyGxiz/EAn/p3f2d70zNAa/awJAUyq+v3UJzPm/Fv8s23zbz9pf+7KI+2A6op9d
umdU8X+2zxyDtoBFODTyP1OjyEe297P2p+eGtV5HMfVT6PCz9jfVL8gfbNitlvUhKfz3ok0+uW35
JdiKPUwOpLSxdKmfLQ4WC4pHk77fETeiQVFM6EmDuKD06Z6JWv7mYtVYVeXcBYUcvTXZOu1qHKfs
4GpZtVY7997t3ewATSo7jTK/6l2T1VuxGek2xipXFQYXKcKmSZpIiZjdoQ4Uqs+kwaAvVnubylMQ
LdgSO7GnXyoaYj5aPJA6ppsFWu2Mq0jjd9Jw7tcptpu1ymzGB7T63OcewxNSMuqqXKLS02+2Uql+
LvjyTGOWgFSw2Vd986y5cYUHuDdWKS94IELnEXvdbWpo33qSVPne6jkvkx+0n0nhKp1kjQ/9osXo
EvWCv8euxi5Qm/rZ1lIPWJpToJLizysijiCjKFS/V5x9Q7ZqVECLAM5erXsvDFgasdil2Q+crKRf
2FxKmCKtr9b80LznEphkhPEncBlUdy+StvXDhq9iiaMSqEzmpCE+IwlFZpeaRNiRwZr7dm3zr5l5
WSIKguU7U5NMp8STJG3pyxB64hJUudEFVqfNl6jMLx5hyQGVAPcECgEn95qPPxh6IGs+kEFh4iMs
fiBjmnktTEWfScaPqahLFPyNvqboYfyWTajPECa/hbmicR28e5yWXWAUOcgzIJvoHoHemZ3rwojq
kXykXnsfumFGWB9KAizP86aa1Xk3uFw9o+WXDpazp2V0//GQJPXEjN6sW79yeA60ybiIniqyUb37
ARXJWs/4P/a5S5/woaI0M/dM2en6Qqrxy0hwYvM6HbHb8hR1fK3qOeek1VCMla0e0NxI8TjYI5eJ
Bws1KpRXyzrzPP+A8sLREFXuKh+Sb+CFufcz/5WGeE56TSn8oXPBxgL4ofDgKrUaFZLuVPNJrVtv
DcTk+eN+CzJWwajyWHUDfy/wOW9BunDra7rG0nbzg6pFP3jJearpCeOy4+l0HR6VcnkX0OBND3nM
f8Lw+WZofBDePAaRhOecJZeLWud+mrnzQ817QvRLeBjwT5xixvnQbdtnB/42FEruMGf5dOXyNn5c
jKLipRgUvpTYhW+CqMUgVJ36AAHXCsyQhzbP2vAwIcS4FW1arVGjkwlPTuXaACK1AbunB01Gl0E0
JpdUJSV7iOL26LbKuEWeBCiuDhOCv2Y9yBxeSmQWRHGQG4Gch6eMwC+MhkV2cnVeVENlIXB7pmDM
8/KACv0HPZbk0sfW+eP1Mqh/d6om9WCkzUWGOhljnKg5uwML8k3KxkMUq8V2ZP634Ll4DTO8JB/3
FivJQqopruye5IlI4xEoaHisjYFr8/GUz042b6A1eVtG7lkwQcXaoIzNfdB4hLkvD8DyhPOKXxJz
LrbGxDLm9bzf5uzNu4/b3EnOnV3DY4Quqwv6VAtfoU8rO+v/s3dey40kV7d+Fb1AKcpkuVt4gKAB
ms1u8qaCplneu6x6+vMleuYXmxpNh861QhGjHkMCZTJz77WXibhUjGEYsfaGtgt8i93Ljl8YevII
jJQUZL6fT2DZWsc6fZlbnb80CyM4AL8UxNnq8saW9tYbkxcMAxlIuGNxDFIzXTNcRA4w6wATNuu0
hDV7nOihN67DS1bkVnHUWqKYycZhJ05ySHxsDsYMmUSKLc4kLdNIyS8zxmEpWstZunRdK1yr2kVt
ts1+dFAcu+RUr2Sc6+RW2tZaw4l/6YLLrYORR3exVAt68xQhqsJ7qCACp2MzoagcluRe4lsw8BVw
+2UVYVm3Y27BX9zM+rk3mb4015dFO8TOAA9Hu+d3R3d2wyvR2OJkTioMNNBI8IDbwrEz8jLVsoJE
GvP8yoxgkFovjtIR8qZ303eGOdyaiRVwudeOb6erNOdX9gbPlao6XRMh0640z2YLVOQETBeCO5NR
+Ao3lwzQqX6vXf5x3ieY1kL9DWP2E6Fl8cZomlcEtfa6wMt8WdbuQ14Sd5xq0Z029jeu0p1aBHAe
plgSuadlbWYQgEgLi38AoX0klJA9N2fzU2pnOQgQFYGzBiqnecOTMnkxk1ICPSU+AZq6eW+HabbC
EaFKrqew7anBdR6hpQchOemhQTuf6JBnozLu7qJQ4LaCnXEGjQ1nLojpEx3MGmJt066hmlS0IHWt
Haqgf9a6snwjCvZVxHrZL0JLpu9ebWmEJAAjz+2S7X/cdUVTbvw8xckSm+7aWtIVs+YTQahPyFG0
Mg0vuMaHbtY2mYXf1E1qRp4LaVi0+Q6HwU77jsHrsIxIds2OQeRbtKoNAOuynlIyxe0BA+11SACg
di56ygdcNu8/lGJ3PyeAH21EKLk+6PoudQ2KPiYbKKMcKFDUXR+5nZmvmbMoGxJj4okJ/hy9xymH
i1V493i60o8zClyK+LcGQr/Kk/74XAHLycQ8xf03swV/EiZ+f1W/M8bLZscatOL0jSRsNJtV+v73
V/lvkxsXcT1SI3i0ho/O45MMeh5DTSB46HfZxAuiKgE/hUQYQlpbXT7pf03Ab5oAPJQ8DDX+8yjw
+rmZsufi7WML8McP/dkDkFwtXF5DB7kPwPkHHrTr/xOaM24atsovNNSY/I8WwPLpDqg2ENw5SuWu
Irf/Nf5j5s3Bj84AvhJpAP/NBP3zC0uFxpuKnI73B4+MS4PwwYmEHPWkyUkH2LG72zPhrQLjSBlO
X3NDDsswtO3/StHOjJ65JS0P8j2+OfucWrkfPrBD9tux4Uw7KZPmBE10AGwe4+2Hh/AX6/+T5kl9
CrGNTFsVr9v4N+l2ZyOzq+1I7sBP4+1oyvqUls2wjFVzj3EwEbKwqlaiTrRzO7q/C0tBpPVpA1JN
H/JEPD49QhowZvv1MvseK4phcjtSspxMbuQYzWQcRvoOs08PSlTUHGQim3Y7BW5OxmNgBdChq5gK
sMX44EvpoYZZlIE3XbejijFl388W3jymYIa4WS8wgoTZbYHuED5cwRVc2Ew/CYDwpumdGjI9W4mX
rmasPHeRsKFWYTl2yB27/h5QaG8JisJYogoNdCjoaPEhgYtEvVVL455WtrppRoipphzkXWf11JhO
Wz0TOx3rgGzD9B61XNFQZMMDOWzTtk0uNQXipyaIgb3G0iwgEenlE6Yu1aMR6vzgKGP/2Nbq8Hec
4OwPqNZXA9B6uedWoVgBs+FnAw8V29YMsZte6K4q3OfYvJ9KNnBXwjO067k4YubUZHQzZrao3Lg5
lXiDhND1gGlRJnmLFvLm9WzJeEcQxrgiLKE5YIJbn9q8Cw5zD2XTqY1sf6lWGfkND7BFhoc6mZ0v
PB1zPbfo3QrTzpY9/LbXCTO3ZejSVMRjMREWFJSPPVEHFf1noe+ckaIQeXCAtWXhQ6TS4h0F//SO
v870FUen6eukN+03h8CsI4FEYl+HnXHfZ3P7Leko7mRZwvTMPe6In8B8J5WTWn3hUOrB3mbA1lZE
JY4Y+ayZ3aTnyomUFXnoLBOzbJil8LehMgWnLzLncKdJzp5C9PWrREz21dM6Kqq4z/Yl1ffN5Fbk
+/UJBuytVTTENjrQsquWjqebqZ1cpkRbKKDpOaRc3TheVN8IHZAtw13xB8gnVU3XpZs80wltHozy
CaLj8BAQR37t1wO/ylK5iIwXFobkiv1Rg0CeqsWu1fbtpZ0XqHnWjExpqX1GYkOa8ioOyOF+YJI4
4R1rittQ8CQoJr0FwQjM2DRSyFZZ1XNf07B6djNKJjmSOrrqiIcvVmUUBGdHD+pX29fn62KMpq/m
SL5ygQUyBOE63Whp0SHpcoz7WMQjAad0aYbGvW1DnqNylF9fXtEM8d+PqeHq50vjW888CeGU01YY
vP+o/apHiq7gkBHkPGrUaVHc5EzT37EG1Qe8GHLsedogN/dRaz/pZOQxmwv6hxCnwAg4Oo23pl4S
NSWyJ0z9hx+dcKubKrF5KaU5oJDiQTGV7DZQ46pbWMXi1mdKcNvjmXxfMM587JFwPmG5yduq2pnG
DMonC+oRFAXN/iK9CU6QRmrsEoS8fA49t0UdiagD2NpPV5eL8yIWQVu22lni6thR9CfzNXlz7beq
1dLzBKBK86liOo2O/kRmSb50Rj3edZhqG4QZyHhry7h5rTIMFXlr0x4yJNjOdyT6/jFhrGatHdOq
bzrHDD3zm5f6Ruo8DiXq+de46cVjzCA4DXeQ8AsGGd2sFWsqq5EBESM/+zDCIBZnS82QajVNMohE
gS/VR7gNq8SBGvLphveQEVSHOhb4GfL4hjnxDXb98BB5w6jj07tOzbEwKz5rdn9D5m2+8SLXPs2N
zd7pSgu+ZfglsIObnKIXiQmLCMfpaI+T0NeWWee6zwJGamJ6iT1QbTH0b2lkovoowlfwLWbJJF4u
CqOvjmU+jOvMHhByBmH3hoK+XocxSaZqmpeNjXGQasJnMOxYZq4drkI1/xNqEqj5FQmzzRwcnMQ7
aClprHFWF5jG+UG9x9g/g+IuxbLWQ3uRx+lADHCWvYfV3NEj2IW77Vsx4Z1anAGxY8gomn9F/kl1
3TrJuHEiFmyd5MZVPAWIWHwPIqiafEIEZwaqpqG5movSz3nrctTMZWWRcjiQfLON1DQVApp+Ndqx
v+sZtVpq5uqo6atxGcSa3PvX9jKeZSbEqDa/jG3DrGPKWjEcd4zxqVDT3b41yV5QE9+QXMgVdYGT
coQxEZ4YDVvl2G/Dy7iYA9zbDJcZsgkOl+DUdrbUgBnn33aDvpSpMxOqBP6QfPJsEI/RSuVVgfRU
xcGlj/5ldu1IZ9r6JLCMoHtAN74ac0OZsagQrfpEdeZt4FQwD68us/GJTYQUybQCgEMoXF4LNUgf
1UidObW5N2UFpBFFrKoWVSk+GUXJGzh1BummTiO/zqNFVjJjAFItit2YYZijlQejcebnSg31zSmf
76ukKkM0sD6eMraPn3gw3cWKETAw3TrA8RdLB8NxXneYA3ik44SI9+PJVbyC8kIxCDHxWOiVt6kx
UV5rPoGSo6IjwPRKvrtOGOMFBVlBKNoC+QXapo6yctGH+SkzNM7yWB/3cYwZ1oLmfRVqof+QeaGx
zWLeeEdRJLxBBmsfou817s8iJsdTO+M2490Y9TwdJhTWyGBsPxLr2mGoKmAuR5C7jr7sTDIgxrHB
ngNLzVWOiep1hZB1X0U5utwYbs1VRu7fY5+4k1i49ohUyRyz9iqa0G8B+Cb6jwoFW7YiSsSRKz3R
hz2GlD4aC63Z0tzbj2PWx8RKp3FyFF3YvuZWgjbKaMUAH9MosAh69HFj3o0RJr0L9FotLbrEjgti
+PBSJgziu2xUdUFVn6TsFMA64IHlDXl8pcmM2L1gchN3wVpnxm4NzdGv21IsG9m2GdNWO97Jwgva
ZRKX9u2EEfhujorqxaw8rV3C6oSyrjHavJRIRCRxDmWEWCd2WxyxrrLZnKvuDR0bjPxwNMt0o6ct
SCtW+NN7kQF9VXA8z4TpKR5FSpngBsyxVhf8x43ifAniYt/OcaydtbKquFycijZ9GiPsDXXPXuYU
edFKOLJ6kVU/V2uIGPWNMXM6QyKrDz+LrzpGy5cYU/sG3ywB3LQxJ1tgNZXh4T9BI6IMdb7ItKYs
UwVjsTYHcMAkMrM9UXPFEYH9vBN6O64AF9mMmwQ0JK/MOoBK0nK4+3lJxx/6uJTByroNcyqNwnaq
m3C+fAu//m5pmCgvCKdVm/KcT+9Ykips26U88evauGMbLN4ArMthpYWAR4gX2SpDNqLFBZaclIwr
MrT+IYp1np1Ra16x1OFTbUP8S64YaHD9/TCuwpCzvKTYeqxa0qTbSZW/TEMe3U5mexOt08IKhXHv
5XJ69yaMjiDUIFJKYn9hxCOp65MdqKzWysr2qenXp7/vYfB5+BXE+Dk4YkLjwktgrqR6tw+tUl9a
ZV4ldbcTMdX2Es8V+9Z1ALjDDtB3EhRhmKJW6y7EBM3FgmydQGzazV35FJJJeSaquT6g6ZuusGeu
v/e9ELdDbMqvI1Xu5jdflob0F8RFfVkPhrjK+mOY9fnLQtRO3UGz2p0GiW0xMJf+QjqUjew+iW41
0mdWbP88VGPgLUs7kBeds+GQFrJ8TiqFVQoKj7//Upfx1Qd6OI0XVowMt9SXwkXrc7MZ9jXPJQ7b
HW7zAFlYaAcAa319nEdt2DZNH63YDuf1ZFls9kFP1ZJUNIxupJaGGNJzMor6YGXODJ/MLt+wPIOX
ja/C2u/qmTyhpqwXdYes/++/+SeXKNUmG+A6rkmv7JIYqQaHH599YxIJgktmtws1sz4EPs0frRCK
szqpm1OmqtnZQrM5sCif2qnxVsVYsND6zv5tM/sXX8ZleAl4QVMNWfiznY3da1aFOoqoMAyylqhI
0W/VuT/BQSXzvIqLcUX2lfuOkduwiwnY2RC19+wl1bexCJHb2ZRLGpS2VQ9p83poTPE4VFVxHc8o
d3Q9t55MkUbyugqrYrhqosgj0QvIXgfd2sSSBZ2zlTAHj+1b3UDp1sicejXL/SMF5LwppDVdCUQy
q6buRyZB7DCm6LUzgYbOF812p3d4w7qtxnlCY/LEHusIh7p3LLN937OB4X9AzU6zDCgepvxHM9L1
Ao+KnJ34UqsTe1yfCnym2FN8VbanFPQ+BloLocfOF2Gl1dqUQXWTYvyKFpe89cEAcgiHaHjAHh9e
k2+b2VNj9alz6DIIEUdyiEJuUoxiXJOoNqGtppG+xJKVEdvOIlvKapY23hutWHFBqFfLQODoUVvo
wFyyBMJ9SkmzCmb1DwIK+mClwzohyyDGbHdASueZV7DI2zfAdwkxBSDy3OgRxivwX7jisPDLtWQT
JheTiOutKw19oU0U+bTT+o7umy2Woe43HRmrGlHYy9bWSqLUoWVdy0ZxGSNRvUxJn26auIu3/UB1
pacjq2PuaCggq/QPXZw9uQ394yyN6tGDehavmikeaCq5d346evFhnrn5HDrauUlMa29wcJxSa4i3
Qcpsa+nhLbfvbK98lpNWPovJwJTMzEwTfJ3nacGRvKMT9Y5TjX1JP9L0O1nRfityehkpDWuvS3bG
TsEPmEkrl5YODowggHZYTNnYb4w5RA7XJnQthcv8LYzdU241/cNlCAXnpHy22ybe6oIOqzLonomF
nzkBOoSY38wEQKmus+qmc3GaQvbKzkZGD6gzls7QA4XoXChoM2tEKZ9gSBr8S0g09SuyMe6K0oq2
dIcLm4nTrog4E0nvA5UzR44cUsM4Qi8jVntiOpXlZv19hGp4NEZglraK/GMIa+YQI3M+OiE3ruEA
3aJEtAkAKoYHpJq09+MUbz2FAOGHV93kKfgQSkkQgrGY3z1W6byOvblCTomuULrVS9d3tNu6Hd4a
ahqejxEcOHJBlgUmvqfLt5bCB8QiVY0Xo8zUM0DhsjfUUpXqrNHJE1xVgCVPCDf7jWxgvZAMzAQS
OwSQEdW8xpJoe0j3oj7pRcOTKRNKkctZXBUEvCusZ4LK6/GqUvSC61iMUAFWubrMna7mEMsgOYCu
XV5DUwLB8HrX+k722nQtQhAPixTi0wXxIdoSOc2oTO9INMTSlS6YPPt4l0F9XGY4+x77wLGXF3iA
ARW3QdR0tgCO3HoF5M2xN21SxPNER0Tv+DdP1zPLDXUh8sRgMUqwMI/x4VqvZHquK4F4mALYp0+h
JOtLV97V/QA4RzjijNednkHY5YrQApuAODNLsPRHILjAiYD/EFUu8ekt1wQCAWcA3I3rAgEx2Vu5
fWvCDvpCwaPjGQEP81uXNCCCs0hrGHMCoMzuxvo1TEBcWp0BM5MscBuSF/fYCqq+UbCt0dEHsPNB
ajSP2sLjuGmWBWmexSI3AXtqDGDWcBHj7QW/uRzYMgW7LcpI7DVd+6Gj5aZcdjUeX5ZTLNWtnm5+
vprkXmwYEGb7ooRwqhtZcYS4wRyZqcrR69r6O7TAeYekGUytV3DimFvR7SDotJah3rG5a2b7VmZ+
+SQJqkWuUfvH0WWfLUc0yYvIrptXvVAT1jTtjfVFIo3uEagiYU2r97lu1DbcBmV7xZAORNKPXWre
tOHHOdCJgbMo+CKFelMjqVOABu3J8HglxNy3b30dlM9kloW3LhpVBoPq/YHotqPVAYx0uJxAoV+X
8tbzQUjDtEjP+UhoGzay7EiQeu4vZwPzzubQw/C/ZV6vcCdA1EGzxS1unTZHxeh70CYoiZiZmfeX
KbyfM1RzSiphQTu8jJzEuK8cq0XPzYNEYZTtp0wvjrPFDNk2KWJz9QyIJ6ge23aEP0LOKsX5aJhr
U4TDwzRSJpMO5R31MjPvtbxgs2Uf+17CDHyMnCw4gF8gZFCQIP6cYu+ZVXAIi2hcJZISpGU3gbyg
tekmxJBqU5eSQqmj2clZ2FuoyaCgJX77y0kfyqfM1ACoRzBj8khpFToKZ8vBmssEXMYnWL08l21W
utwNkKPpqilF+I2ufkIhbuaqn2glKFRjybsG0OZr5VK1I2YGshiwcr51dba3aGAdpT40SB1DRHo8
huKVpgdnOYKXmZnM4z3pHfVhrDJARLVVosVS5AYrvUW5kvIoY6V514hrqn3OB8yKQKfnBnS6wLbg
Gts/496q3f6HWwRy2/HVMT9JWbixT09UZWX10uYNJUfdztmegD2amCqObk2SDYbB5q7NrmbtTS9i
qZAFNYKA6HRDyAi/U5UkAtbHRKB9ppc+dQtEJ0gRZPFh6kE5AT+eanYakPn2PPDJS+fr1ARSv/zt
ZWESucgRQzpk82qPnKnQosW+wM71TpratMmjJN6WmJWvIdTWh9C12WQwug5vReXONs7gMTwRZ6Yj
w5phI9v0vRdz6ayjlgb2AhS7bfUkoIueR1UFTLhMDKvKxEQOIIErHvduhoCq98TjTN7ZalaTmA5A
ZQ2LhQ9Ly947dEFXLi6l8/9Glb8ZVfqGxfz3P08qf1ofduU/3n78gxOxz1/i549Ty58//+fQEpku
vS7SROUx9nM0+SdxEfmhAauR8R2eoEre+6+ppYe4VyCxRdFDMpDr8K/+nFp6/2TGSLIHykVaMgSR
/83U8tL+/NrYAecK0oJNgTDZUlf+sT2ajCI1sJnRd4TsYir3nmFxzHrZAxaoRmjHmOrQolH3g/67
kWqLxGp/06EpVuenhpfJrYMomvQKVJiX7v1Dd17aSiNDV7Erm0m/CcT3ya+O7ZByKrPrm9hkd3W/
8iuUECILrqsqRIJsimI9mo8CdtwcQUnSwmt91hZx6W06ZDCVa9zUyu6Ngd0CQshKGziv9OpVFQ9E
lC76Ak/s9CmhrFB/nIRYYK/+tZ0JKkNM1WrryfZ3ouxoZ8PUOULSKqbFrHfQPbSmtcC1U7zarOKB
PWPR8E7sJKYaOaMzYVpXYT9i6pfMOLq3Sv3MpuVp17adUCJ0VsuResR74JRFRU/ToBojvzs5/qNh
aWuEMM9Ys8CvTAxo/hYkeJdAOH+hR9G6L7PVIPNl06dnqeHqWI/NOm3z9dBVT3gk6FvUPndh615B
8nyZw37ZJemydsZsS5fjLcauyxZWUbzmUujblFT0xaSPr4UAOnf69oioE4EA1uGV0/JhVJOpBb6U
hD+n1//bXH6zuRiWo4Is/vPusnsen+OP28kfP/HHfmLYgvXPloHBvGWTqgie8aePgKP/0xRM6aHN
IELWLUbpf7AgTPOf2K/jlk0VD3qDidz/7ScGWw1xEBBtSMxQ3qr/FRHa/nUx0/egs8CoxjGZUTFd
vmikPyxmau5sTggY/dK2VdUvqjkH3oNTSD8zK5ihEmFzgh3NmMulHIuiVDuD+NFdCY2zPIsp6bNW
UinrRHSsNAd7Ml/DkkcyJWx1nd/jaCFQgjaU8V3SwAXCfsu29mVE2dQLmJUV5OKjqQHlRT6VYkyG
0LY0mePPiTXvfAxrFgrW/FHMGnaskRjFrSapKGSRYXgUUYo9k649PZMjPsUQtbhtdC8DTVCTNvMG
9UN9sCcamd6MkmdywqY7LZ0gfRMJ+Tg1KEPYq1J3aUHg+jE0obEwq0xgS6UbpzByTkanxfGCQEDz
a28xvvrNfnqhZP1rS788AsdB7Q4TBSoT0YO/buk5mTKJFrTOl7mx/L1t9fa6MmWDLryUsKfQ0CnD
UTP373DMNI+4syn+guOVkOZSHdu+CO9v17XLvT/3w/Uc2NGN2YuS6VuqfSMqtz1HypzcjpPkurc7
A4ucqMsesizwtmFEddy3Vnnrec3XDu/PnV2NRwxfzHszMgEE/bekxjPuwxq5+3l1H2lq/qdwHs5X
xRJDfg+6Ruv42b+ios8MAfMxuy/z4JGBjLwLsWr9bphC3mkEmBFbbTV7QqDgnUZFbi5ykmw3LdxY
+PZSf6lS1eb69ihvQ0IKD2MJeSSY+FNtmeYPMoSNKyDE8TbqHfi5uDjd2V7wEAppMg2LswdSHWkq
0kzfAeMV20hrtG06WM5qKptuPes577TV6cOVPltvQDnHsTGNXQcaumP0g7W2CKxVDIV6LW36eb3y
o40dP2aVT8KiKMfXOIJvl3XW+Fo1gbV3p6zZNZCzF0EUDctq6DddPMozizK9AUFmMbVpvEutNz2P
k4YYgsZpVynM/StcMXKMED3Zr2ImqovSTfytPkMFN2OosG5RyDNhlIjxyQBLrvPIqimNM/Pb1BXV
Dy+r8wbSe9M6mAX7NRM31yCrsW13vqziK1K69OuAouLOK4zh2k5rLs60YImv62hOdlMDlXuJaY55
1uJO3raoDY8W2d0b8nbgtNtqbWrpDGd9bL+JqK1ffIIsjkI0/lLHVvA3GVKf9iwbhhPeDwZVmGFR
WJm+QuQ/7FmKHxOEg6udIzCkU+cTcqPhg/CAWT7NsYukghkg705Tzq+j6c3LlkN9AgKcojfGjvKm
cuj3606vv7kQDFZZlOlbXES+S9XC1Hg1fMUuEvbt0NjZIhmsYpvx7I8lyCHFDThRi1MXzOnSPEu9
SRngTVzqdEFbFAGa7WrawHcy1YZapofGrjoDTYJmrnGPwjwvgV10A6N8Pl1eW2YdpJvGwDhNDavZ
qMrgneZR/+5pefvNTwDZCm2uYfTHUJ1zhogRSsoifin0dFuXDdYoUOX7aGH1vbMViGjddepF3q2n
1+Xvguo+zxa4/RbnDmA4NqY2GVtqaX+4/WMNfZeOMDijq3S0VWe4xmJqau1LMvtcgZGYOszbVrtP
wDmJRpWVXwGYFpHcemQJTQuLNdgvzKwODh5kkud0cJpp4dcj1oSV0QSPmD5zMeRFGPs67rXfTGz+
6gKo6fha2J1YaJE+vT/FnLaNEYXumelGt5aJIW/qKgw3tRNkwEgF+0yALO/ONtVIDts3bY1eocJL
TLevjBETL9YeOg5zKp8t6RpHh2zrQ2RWfbCpMy+4z9waICwqQgq4v983L+fxvw4L9e7DwBcYlhDd
4ase4NPNzxsleB3tc9nbwPRj2wbvvM2Bt0OIkT0YM91rIlt5m+FUvu1yjyswi8LZe1U8HMocDv3o
m80+s8cGB+Zau++c3N/6o+jQm9R9AQzQxkfX5PrHnLz6RdeO7TtRvhWPKBYvbTAij51nb8Bfa5Z3
vRjTYusiOYIuDZokzYZtqO+Db2ZkJDucQb0DUYCQmTwU7VnLjKTKIvkITDdvm3EI9vEUNeu5cAtv
CY1F/iDXif0K93UNBL4yjTUYPy59ZfpiEMzXkjFbL5g5VPtMDMEjgHWzpyaQd0ItvQDjlbcm0CJM
wFP+YV+kkN5kY55RexDikCfAZL5ZR286A/lNgubqkTdv+IE5pdpB1K1J4Db1cTFfC1qUGGYPO18V
N3AcyAq612n1aRrQIn138wTCRo5nWhjJPZF5TL0b5gaayMxjJMd2ZbuZvCF1g7Pk718EikSe9C9v
go/amOA+jz1blYOfygb2atQg6VCfMfkGX8dSBD7IZW/OkJRCr6yheWDlGaP+j8INpVj17JjdfJoN
9iR8oNo9Qkx3FWVJdqjjrB3xuNHjdDloSZzjF1lsAC3UcjVc/WUCpv3K9t+9mKMYfvTwSbUVer3c
XbWRVwKFUo5dD0C6a6JG8HDHEN8CGbSyINtkBkMmjGLyfueFmlxhT+Lupci/SuxpLL5li/WBZsZb
v3a0E6zgaVy1vd6/1TbHCu+XSlpBkiWNud0KNZN0MwXO6uq5VmPcfWtlurM1hKQracbz2rembwaD
tpVV4kvI94mIz05YEH4oeFkTs4VeAtn4FVuqfNWg8D2UUC52s0/m+wIBeb2dazMqr5lrCTgXfRo9
cA7ED62G9QDg6Ggh9Yrz5BsjIp/Y6LR2wl1E3YLPvcVusGiJwH7TfNc4AwmrAqeR5UH3JEdVmzur
ZibIcmFFqJk6GSH+aPuULS8rW24UiCV/DrqeZTBF5hwsPacVOBIhOLkPseXYB7rg1JmNxHqJIHhO
8EedKr3SYCZS/vjTKeziUlvPyNFfciA5JWzOkZixs+tLrZiNY2iP6WHiRfBA4MvyiszkqFwyjre+
GyUIP+9TP5+A7zA3NtxEnhtqyx1e+D7ePO08v5tO6hFlPWtrEJcUHYUTwNvVm3mEIIZiyEOxwui+
CdzF2Gi8hXFNlbkAwF51iFS0hV0F+iq25uwdKde5Q4sSY/AlSiYIKVOvbEzzG9fNsRnK3XHJYeBz
Z/xpPl0W0v8a2980tpaN+vbDnrN67p7/8dMl7OY5Jzbk23MbxUWIOdTH7vaPH/uzuzWAy0iNdhDm
+ihzBbXAn92tKf7pglD9gaH90dgKrPMQ3V74CXDubdXz/gGUCfufmJGrks4waXrVhvdfuHv9qhCh
jyWE8qe3mKEjwPvcX8zlXPdQUx2K0iyfl/iw9qcmwwhvIce6ffpwY/6im/nURP/kfRgAgzqqBdQM
9PgfK6LQRqfnRp04RfTEj4UoIW13g/+Qxh1tHFVI9RjS6D/7Q9Ls/j8+GlIo3TuCGJ7Erx8da6nB
cNcQp5la/rHwG81fDxPE/rVL33NvedIwF63eANBjPMYy/PuPV7/+X4eQus0gd+RTekCfPLjPH29a
MXP0JLNOGbE8MQORgYwqvYNqdYiRSeHkmjNk+fvPvJxs//ahvCqox+GKwND49ZoLDLT7sEI1bTMz
ucdJgnFCDmK/AVDxHypG5UcRW3x4zxCg3UbMcd8cTBO2mQYfF3CN46pyw0TuWq0JgzXzd/HseGZb
LwN70I2rQZkYrQjH0ZhLVwbVtswKy/oJqf3HxOdPLfDl3jlQnABfVNih+ATleiP54dKNEFz3Gu9K
D+YgMwJhN16LFAGfRLLeU7tFgfN/6NRfvKu/CkR+PjFUgD5aOxYG///rzXM0nd3cbvCtNgbI1NpM
lotbRO96glRkMmZ5tkVl3GBnRODnFPW/E6j8+8JEwgPq5DoqdNj7vFYG3y9SHE+wD9PIo4nVgpn8
nu5/qI3fNIqf6DuXayX/h5XlobhxSRz69VphL3aFrvfGCUcOedYqgqM3Q2zgJxlYVvsmUyGeB91R
q1NHU1K5I4tFSxhQJ2mk/eZx/9WFW7pgt8RxADjw01trCq30a1qIU9/hBrwUbpCVxM/kcFHiAsL4
3z/mv1okrvInvfyPFE/x67WDoeuxZg3mCaiC0cAE2wuCjyyvelcn1rhJkJAPbXlV1zFvOSigcZMP
vgxx4za0cWEkM0WBM8hzWNsyXKe66R27lEwho3NA6qKByV0xJawy2yvkePAjvc9+06ldHBg/rXTy
b12VAolYjDf214tIshBq2uQbpyBA+bnBOLHZXd4b2eXVY9PkGoyFkX1v4gbm3uhDNsdUHUojMEc1
Qa4n70egcp3HOWtWRqC3b16jy/Pf3+y/2AURJAowLVAtQZP269fUaGcHB37SyWa2ScOgbjOEFNQ/
OoKFOmt+92abn18mFawlEMkxncUL1vj8iXkXmomeTu1prKzyyu5y+znwpfqLheNPr6spMSwRcoLi
gIAnuJ+IBsZx8r/E0GPJUy2m7s0q0TglSHm2aLGrRygAbJzqnbjcopZTw4HvCbumxYjwajIs70gh
J/ZE0Rg3M35fvwm35Qq4UR+fN6gOQkGof9BomKJ5n17aGYmEW8dTeCr5KWBZbHtWiaslt7VFWPqu
gFE2LhOXCCZIulqGGRCJc9HGj8IYK3zF42Mci22fmZjDWs87dwMXGi5h5LQ9A2y8spU43g7mFd7R
VLJ6NGpfK40wbmQPcHgWYzhFNvARLckK0xBWRtKO/ZojgCzgNIFALgjsOvVFF6H+z5OjmXvlDRmI
br3yyoZwp4pUvu8GxJ5bo5yyVxjNxiqjDkD4Ms04JE24Zr1NuO9ChZsicts6zu8DiH+Ok5OVVHe1
jmUeGhicI5ShOWZ1pPfVCLxcrXroC0bLaLpc94vv15FSNDDtWtB01oQ+EJ4JncPxJ0D3zvReai1r
vCVmg126m+XcEesBF7bZm/UUa/uAALejGfaMpCuoxIwC/C/TOBBn5gr4gydttAgtSWwVmFq3Zhot
c9QUFYTbPGuWYGVRsPKS0X/ArJFjF+ODK3fqlftSOfnQJKMxxKgNQ0XX6CBw56VtP7cgbPESfzPj
hhKQjZikVnlu44kfg9uFKiuwCo3mIcgENLEkc4/Qa9Oek9mIDA/yAF7ybnWAopdM17D066MmAdU3
4VSi5lzgtI3LFRnzGJ/53atXpA7pCWakb3UwVQzp8vAGFub/Y+88tutIriz6RamV3kyfN8CDJUhw
EgsAyfQu0kXk1/dOsLq7SFaTSz2WBlRJBSJ9mHvP2UfuJJR5tpTN84R055PVIcOzx1BtqEvbrxq7
+Npjw7KnBiN29uzUn8uo8z7VuItWrc/WjhdFfY3he/crdtfVxhx4POtE9NWeeC8k/1ZAHaCMS5MO
o6iUQlZrQC0O6/6L25o+WfNp3DwapD7l5xFkQQ7utSqi8jEY2SwTF5IUug425G4BfF/12g1CfCLY
DQQ7r5VlT7YHEMBNDcr5ZI9qv9yEuRU1nyh9+A6nm2eV3OhWlyGEpmXxM3vqvs5z7jRml/psopB0
GO0N96UNSdDedsVEjafE8fRBGR1PTIueSUETsb4eg4hxBZNbuk81byUMGzrR8AVafkdkBWjvJdVr
NGUzDzXNamONJCvcTBHciYUXw6NffGMydeO7AYxdv561774Ib5oADpisV/siZDQqJ+9FiTl6mmw0
T92Mvsof0KQZYC8gt5bRtpRJiw6fLzQESLJEummivfiWHa8+s6wTTwNcxw2euvqMBsl+bM1F4qHR
T131/dIWYjgTqOqQ7sUba+nukF6iuKaRRJiLbZr8H7jKkFaG8HlfpM1MDdTd4SckJa3LQAIgRAyP
s4oRA19FAdkCkB+Z1FODEfV9jGQNh93RYxIl2FceRB12kAmXWxlJlFZdN/CP72cL1RR1j4PD63Yx
ttgrJC/6tn1fi+SF78obTGLyEMejdRlmnsjosjLU9mQ9jtYcbW070/dDynbDIen+MRM203OvEP3p
ZfWobe69VWouik+SI+XJ2H3BsKHus+WfRqkbEgEInTmaSzhgSLwt9ROWR03BbAtNsX3O8pLVr6J2
e/++UJgJCdbYeAv/xV5MjllX8GhbToZgjOyL61AAxXHs0OVrDfNiJnzSfi3MCyXKvL7iNeLZ2cvZ
VnXLxNPV1PUEZ4TNhUV4XUPV8+AsPYuhYDZHB0akjLAjVundTGV1rH1N0a2TnPnI3xlXdT0R5tca
Ei/t+wJnWJYqObjFL983P84yJ4NEy3BRetot1hjjQEkEjT+4JITo8CopPfcloZpY7Jl2OMHGVtkM
H6Kasm1TWuK1MICmrqr3T8gSXqZ2o5LLMoiZp9/I6S50JxLno45nRMbVki3YfYliiwkY0RVjW71s
VfIEV6alkVExDDhHnyd9qTrsV1xOfcYr5d/D0sTzZ1CZK9E5pfKAlci69MvrCSvPuphxxsxEQhO/
ORtZrrq0MofrBixCciip+bFK8yveWgikIVB1/nOF34YXuHdz7hnOxuhJjWmAAjBsi23fkuiIhIV3
hF6I95KUE/dUNVCNvg8CpCipew1INwSVg5XZ13RwW1wt58ZfDl9OPaal5asnxLl5xlpUn0EGywPL
/RaUtcNTTW2sDwUTOfcB3e45qlLxZCxtJ3Sj/osMe75XsyjLLRU8w8flwxcvJX52kE68iS6F+u48
pQwBHklaagvYksEH11Xc3UZK2NMxrJcHhImYocmuRXsopQWQu58VVlu2o3BB/J5FkR0CC0ZcHJcP
2sy8FydDUGgbmLzXuGKYmlRoPU6O5CZTi7Twj4kMcDLBVM0zFgg+9NaiPv5+hcxErJGxGMYrWaMQ
fd/w4rJonmfL4RON2aKmDN3mamJL+zjAtHwkDJrHAn1G3c7hxHN6XzG+T5t6NnmjmgKJnBMuOnXy
oaOryg6R8gw2tcphYCez3DXZjKSBZpNVzBu5nM67LBIWpPvSDAgQ11USR1cFPpN7c9b4PwJndmj1
olJeeV3McJTmfFyYSBgdib6ED5PwypNllgt1n6TCd7bTGLQHnQJv2XrRUHj3ikQWpLGTm89rA5Xf
C75U3hp+OnqqlMm2tRjcY97Wi143Qu5+Kkefv12A8mofLNOeeEVEzo2el8klzd7HPmVnxr6OLQZ5
liLxsiV38QksQvX6/H4Dvo9Fy8Z9zGzGhWVgJaqLGef93RWxYlpTPVRHBfjkVTIN3b2/ny6g5n1G
IWBPcKubXwdDyCsSmgMvlAfONImxkPz1QpRTGX6DwJXD2pIjWVuUP2HrNN5LjBzq8f2t8Ilgnle5
LayL76IatdrKumTeUm0ASZqSKFVVVrXqvYqRiEacsQ5amyKE9DLCVdPlggxs2eSQ0ltcS5eu7F6z
EJIb9p7WxXK5BF4569FLfCSr0G34sgIS6e9tqA8O4CZeGlhQjPZOat2gOJvv2KnzUptYT1APTXwq
7yOgm/d5SSR9wM0G+75M30iLKDoHE5/NMgERmx0TPUkrumdQqGOI5xj2wojhaljONht6PjOnxSS0
Q2Ch7kvtSgiVbNWeIjg7T/hUue5Bj5CFJ9vtjQ2wNmWtJGuh+QFLQqpomI9VcmN1GawDYnWti4Rd
G7NpRDrKzF/ztpuWmOUjKT4sQmIjj57MCc9Z1ajleoHF3rqDHTwMoSpvbMd7SwxhrPMo66ButybI
VEZ2TPHZtxh/yyrAdbdyfLbUa/L7+IAV02NGUE271uk0r3tKnhErFO0T9KO5z3h65lXtTTO+fzQH
O7MKcYwSZNfDbiZPLW3AETluZ1lrZs3yyM5ekffVVHpdNHh5BG61b5EqFmuNrRgMWWSKFRjqHjw1
3hbz1C6D/ykTMYXIKCEyjlyrmh1MQQqTUdtUYaiyDeu2EJPxAMSAxwNaiz9BJ3OTHI82GxVA4kUd
rEiOXAb/dmSNUy5LujYJ1X1OwX9PxrGxHtqJb2bZKCNt4MY4EZ9qlLT4CEzJ6WFQpdhk16wPXDFx
ppCb+H0iYdxG+1rnX2vWmMwuURNtCSzEj2Jk4gmaHW/Q+8YwNuOqORVF1jDk9Yxpta8CcaaeJg8B
8U1XKV2W49RE1iVWXvRkGX33xZ6BWPgO4Dr2YDzXyreZP2XG5DaUMaPV7IO6AB5YrN/HzSjLGRzJ
n3OAsFZ8E8Wy3mwE4vBSIkvfiIbyFWR5/BqFgvfbM+7Jlk+oL3h5UmEAZ6y9nR8vI/NM6lG7Zm+X
HPDZpF/d0Te7s9cMfHG9gZEF0UN0ZXxfYbTUSMiNPJZ5FbpHZNZmcGTDpvpDx/4Gttwg93XfDbsC
9VLIXqUnUjmfrccwtCjZeRGjEnUebkmQYUteCWGzkyh9JhZ/1P5jQsV6M7eBc2w8xfcwL7r/70tm
zyy/+bENXTeqShM1ZRmEW1/39o4jJ4+JHNQHlfjzVeLq9EMzxCjR+UIYndntgEEo7CEg0LI0oYa5
jXErDb9Wa5bTVbglY1Id7Ngz3obG8b4AM5+/FqwqURqojuX2BOiddZVN5aIziczu6j0W3OmTy+mS
KixEgSu8rbJ2i9gdRRWEkUsaYHmKMz/9WDZ9/OCzxgdpXxZ6k3eeudehpy+R04gPtMbyt5oMLLkh
ISztWCnTSbqdK4Mda2HGk7XQ2BA3yGj0n9+rM//p8Pyhw0P1b4l+/Z/i8C8dnmP1JX35Kd/9+9/5
q70T0sKht0wTFLUhSFaqUH91d8LwX9T8Mbvi0X2Pd+df/XeLB/QrbQHTRHJmIW9cijj/rYUmEWZp
kvDXqEvaS3LSv9HicZfu0t/KRYjGWEFxFpSzHbBjfGw/1t0Gmw7WnChKGc6sNk5bFC9ehjZoNUCT
Y1Ezjza72E6jABoWZ04eo+LxE1lez5Tr1NpiTAEFmY5fgsEqb2ahqs8RhQVKBlEOQIC/VW4UeWK7
spqrz6WHjMukAXQj04lgkGyUzvVsFSiM8oyt/raLCn+f+uEDWc3FvVTDeGOOL2UtkS12Sf6EP0Q+
1xgXjfU8QlDf52ajXjoyrBWJ4oaeV4YT22KjospRiM9I2iQ6oc1fEyOnjODIxQeibSkgMRCgnatW
dWTaRsM11QjB4s4Us7vxpB26W5yypFygKESUDJPd2bcsE0iBSURy5VBCY0DAzxqsjKpAspwbef3W
IAF9rtFUXYZOY8Z04BHEUTe9heVYPSMQYcUyhjFmoSmnV9Bk8QsSQZuxy4bF0Q6gRyBC+kR+sFcM
pwuzU33rObomkTVULc1sfGfMUml+CZ1S3bmFAxdVE7fW1Yyz0xCDnaDWUA2o31y9n+w0uLXaDpZJ
5pTgfAqL6bwMb0nmakg4zPoHli8d+v+u26LucjBeNrjbEKNVJ6+Pg00GL/QcqikVx7mz2tM4w3Rf
ARCh9pd6LcUlE/T/Whq6eHLKZngY3BxE92BN84odpPUpDXLxqTcadWwmr91WVWRcTbOdLUI7f1XP
hLlMlCuu5tgaPha5btq1F5XyahKyPSdhOJJcGM0Z9MclOLMr3MXXVRXbpo2qDMF+1GIMp1R0XRBO
sajHh/yl1VmxjTvVentQjDURNtnUfSYWloi6CUAAhcjWiW+rMKosKFs6vU+a3Plox2V6F80eR0N4
KR+wkWa7oU3cs2UDvV8lQ50cDAdSBLWQZmP3Y3uY2Nzcx0mJmavM1DNAF3kCTxp9neRESJFvljGx
xQ4m1e3UttF9lPkz9PQ+rokVjR3/NnFZaK3GUMA7JsMkf3Ob2gHPlADsjE0YkxF60zUmw+qR55h/
mCxygwKVddedpZNTQOGSvSrhryCzKhf5MBbCDa9r/Rg6rXkTyx5+qtHy7606dq/b0R3wdUEHuOBU
rdOOoGW+8k8KSssShhrjWOD2UIUwmxM0CJP/qin79j0u0lFn/n1XR8osrmgLqQqVY4eo9FBOwwTL
acYnRf3T0afES7JDO/m3Vpjh+XGDec1qmwolisYHhT5o3HZAn5+FiPTKKgRRF8HgRt0aaEq91Fu9
h2HwBopOqdWve1e366RKzYvblOqqx3K8h7/mrYAPEUkDBBa3BvYJ2oG8inwv96JTJpLfcaQSJyan
vPKH3sxugxRLVbRxm3kwH9y5m0r8jfAnvIsN7OEwDfLJBZN+Z+QhkCOsYtPRkeOJLah/DR5D7smg
sjeFKuY9wQj6roWIhcy2aKEze/ER9FFxN0lH3hdTptZunqU74USEjKAK32CJWZUCkIjVJpelMDBA
GUUNmV6N2QkNDr/JMdr9wF5lG6X2sy8Sb+VlxinLKGkRyLxC+Qw4xicTTrWd+5TAczmKTtZri9uy
Y0vc3aSm+xwNTbyZZurGgMeM62y2xCFeRms9mB8rq29AgQoesv4iu/FMDGmxFr15zlK7J9Ukys2d
2SUflEPDo8jqpzDQwbEMmzcCGoutSu17E7HmRiCAjh15409Zdtu31SeX+hMl+jPbR3NXmvUDLBFi
mFXQrydTQ5qZ8nFjg30jelg1IStdK19rn2CdYezagCowIc6p1Z2k053JrI13OgrHve2M7sbqwH/i
MwnMTUDOyomdq5tyec38nKiuuwY+SrbDhPCc1+js87SvzFjabOmG6t7EX7YnXMlYhJ28TbqeL1qK
jHSqmtIE2XzNXat1dO/MRDJs4rQv7nJDTTd+JL8EdWKe8jS2znMZwfnvICavl2XnMsy2YNZCXr9H
5NYEBlhevWkJOdnOaVfiLon1pQD8sdKjJT/MOdYUXJrdxY7SOw88Kp8ELQG0U92llDkOl5J457EQ
gra8wJ0zsJrzalPjPR7PkTCnDS7B5KVQ4iXpzPbOpt16a6tInVP8Ofd+GlUPw0Tro3f8U0cI9BpM
GyO/YX70uqRdeQZ/JJlass84UzsP3iY1dvchKqv1jGlwh4A/2mHkKb75naguKJG6YUa33VOQXEno
UBfGGOMq69OATgiBWvfsy4oN7e/87AS1A+3bbkhu6JI3tyj4tqK6g3ydD/e8hAUZp2Zxm3nCW/mV
H2xTf+4oH5u3gQukoMc9eixnx7ktQifaGINubrzJ+uyN0t+2pMY/UJFnn9EH9se+dttdNwH15s1I
corLNKFxlgcVMda2RBrl+Hv6h+nZGP3o5HWTPlTspY9+zxSp8tk/GkBlrc1/1slVn/b6T+vkxYzw
u3Xy9Utaff27CIqQpOVv/LVK9tFA4RICu0uRn3yCiAXvX8vkgDxQ3D8YbJjELSQI/7tKDv7lop1G
Rx3ROf+Bc+o6pCCweMY1hHgBh13w76ySOcSPa2T4OQ7WksVngmre/6mlqlGROoRpz4dabGnLeZpA
uZu/3Y1/kJT8egjAGijByRjllFn0/7gMRxBcYPHBwj4KZ5XPIRgN6O4+t/R/9ib/j6MsZ/E32bmk
v60oCaP9rD53xudafe3/hGj904X8pI0J0tqt6pFDIH0MzDvcRO38+vur+FEqwJYF7wJkBp/EVqS7
dvDTIXxV2NVohJT03aWpa0TxOm3qOzKu9l7ilvvfH+2XC3o/Ggo9xPqI9H6G3AbKU71XB/Kga6B5
ZscfaUlNr4ib4vvo8X+qmf7pUJa9xHZANPPcn/diZuc3ylYWF5aE8aPK3Jam0mhdmz0z5u+v6pdt
H1eFRnCB3CI6+wUPZeWeqQtwDAf4ncNVTgTHAQS8Xgs1q1ULFmJPgqT+t+Q73x+czX7Tgd3roSP7
6cF5qbBsgxXngVY1vnSXP3yy7Few2t0/XN+PEq2/DsWGNgjYeIPj+WlbS6pjMzeNIQ+lRt1L9JuB
jr4NM1hbBO8wM7W3jbbIOSzm5HqAXvOH4y/f6/+qMP46Pht7Fw3lMjT99D3r2G0Scva6Q1hiG/Op
gq1gFXz4/UP8Uerx/SBAs1CAmcsQGdg/fs7KqnvdR7Y89H1r7YMpmWjDBo64FDZBGbOmCDYOkdrW
kpil3x/6n94fCgaevdjtFiP3j4eOPFdZse3IQ0ayx5ZiWB+zzNDBOjBMFsMOiaUo33qx/f1h0fT9
+vVbeD252EXUhIfjpzvbFQab5rGVaNUr+VajkSPUyMQ9FiwUXU9QNWD7hRajADzsAMuBP+DwCDJl
7RGOTPu0kfLJTmaHYvTcZRvZB3e2V47ehlr1dBVJP90BmSRkolfjzsIo9ZCaNmryBe//qPNQEY0Q
ZGdYKcE6rJvPrIzZb0FyLFhMHmBis39ddCVGZBFnZgTJNUXuJYqNdD8/lfXZl0N2TMwiOJvh7D8b
ZQBtIfF0QhyI4Z/JadFrQhq6bWJ4LM/jcuBFXeCC5EYPpMKX8wdcBMUGfby9zoL2zUfffRJpSZ/S
IPirC+Zy79qkGuZ2/0FV2r2bxGBRmw+KbU3x++iWJpyKwXJ3Hd3LVaAa6zo0cyBwGIvwn6jx3gl6
fkke9lfBjDmyBm2Bq1V31rWgVHSoM4bduB6SO5GN01vUsxkagYd0hKQoXgPyLPZGOn+dKl98ShpW
shusMPMHf4JZzt7E+irlQrnxOrf/ZtC5T9Y0w/unyE7DhGhAlMDjaPKLlhsMQPW61rCsViWitTWt
U39TNqInfVWQD4AgotwK8KVIgwhsQVeAmWMoMuOSxe7XvjPc1aT74Us2qw/ubH+Nqsh7VrYXr+F8
pZ/6XGUkOLbcEnQR1p7W3Fc4eDIifBdOW9YyYmRwgwmohEr1NJj8vlJxHpkK8lMZed0TGkxgrKoN
zmU4ENdWTmLroBCFpzold1NhZ8T7kDgayUbu8NOZuHNtMr6ZcOJ1JLTYhoo2Kn5hkiDordvk2vkc
wJ7JPWizfk9bLYf6mI0PON6Gh74R/LCMlqRWdi93BdqdlUlX8IRslI2DUQ9b+sbuTRhxOxFFwfYq
ZWNvbJZNl36KsuyY2X6Jj6gl5Fyx6xLrQQrrnoZ4fKeRkzxkFUJaQJJw0+gcQHCNY3NvuVK8CsSZ
MKXAd1zsKarFGsZWQK6nVQ1k3gj3BjeSvdGxRqIzx+5JN7JFWBBY98RYjkc/avxbYTjkFjaJcxtY
ZXxFY/dJlO181yNKYXeLhvgwJK1vH1uJe5+ObaHWeZqI15496CpqJnpLjkH2YQ0v+JtLE/6bEZOF
3rE/O8vAil6TyLS28dDCPIOaZLJxo2kl6mi5H8LM/Q1C3S9F23Enu1GRXRU3JgQhUiBLCq9X1PXd
R5OdwlZo8oM4mGftQ6hGexKOp0+hLcbPFT7hO7MEEwUasfA37qBSRBspaVEljvU3K+/6U1sO5WVw
1PQiMRxeV0Mc3eDCcR6LCNI6TpDQAHRleefJjvWtM4KzihsZ3tLXqV6Q0k13Ui8d/izpL6pr/StL
AZHp2sg75w2+SqsF0E4J0H9otAMTbNYzhRcDc5lnYgFftfQ0scXYor+T9GEgO5kiD1YVhoRNGjr1
bhST+c1NfZJnwbsmDy0xUl+82e8O1sgglGOg3PNqeBtFFZliY9Pt+5rG/6Zr0m7DgtLdDqbbnovJ
p3CW1G3yONslJWQSPPidnkj8TRYFYg2/Zj5xtvGjjUHmRI5ze/YyYkwLD6z8Gg69yX63zKIjUEZv
VxM2CEw8xtDdRfUOzWy9bczY2Mskx11V+Q7vRIibmcLHEoajpTzSUC+4jBa8lkDEsQ3EIvCwzSJa
j7iBKN7WLHDsCp1UxSLgdWr7nmFszMEiuuE+yUy9RmjYfk7TCFgvisED29Lxa2ASPwaC2juDsav2
U53iSwyNrEGTVVuvfVDh8iqiVHzraPI/6Y7iAdrt/PT+43YFYatMkA1qBRQQQUIw3UxzhhEYHvWW
FLRab3mH30u50AGtGNvS+yHTucGlhHVpXA+asPCVU/Tma5733cdAkUkzegk/6koYGu/mV9he2doG
BHfvVko8Z25SP41pWe7fLb6eN4ttOoPvoiRQgqlCJGeqIT/59fCCUrY/ojmH7REPmbchewu0FDgs
Bk85XqLe5Pa9OzlRhKTXfq7Ga/qScbTSVq0OtRFpexU2sPJwShA/bgLBPWWdhZMrqNl2b2B0zgTE
NJywqTCgRWnuP1iqMz/13TiTlNTx6JrFXuk1IRazabGOzs3AYdMcaKnCVrmy5EA622K6bFIf4Zuh
ePShgx2rDnAxDoWTfIkIUDnlReY/lNL3zsKqIyKmCEizW4CKfP1GiFTHk0enMfKnKSJrssL6/bBY
57beYrkOe0SIcU4OEbbz+dBFhBG9i9onPzDAmGHOqqMOtQeBYLeO1C7yMERA2CrmE22R/DTzRq8D
0+23pWtWXzPm8KPdmd1jl/vzEy9SfOsnRnzTZ0P0UC2gZ9/ton0qm2ofIjv+1LMX7WnC2OKqAISp
111ZRXtbGEQq9Dj6ZsMcv46k4Hwog0as55642c0S1/X9OeW9Et80EdRb5TrTznz3I6QFWUkiZ5AB
iH7K6HRC1lTpczV04V2EkhmV4+B9dAbtfhyl4X7MvEZfmKn8XdImxkZDCd4YjZscEP+RbB8b8h65
ECxfNGNb+ivq8n7Xew+7BxiwELQcpcSqqpn4uuzsydoiPRqTXDVQA695EXeK+tY5aJNqiwmmP5a6
d6jsl8DhpUmmvQgifRpsXdwgtY2PiIh1Dh0Du/ocWsg2DJcWPqWG80xx5wKiXmzLIoCK7VKbX2Hv
zW9M8FtHwq39T5EQ477H+OdR8mMyNGHcPU1zC/+qI3tgaZMAUUZ7sDZ1njAEWtZ9YqSvMtdYzZNW
HyGYVTcBqOINOgYKSRpT/JOpkOWuKsLht/Ogu11goaQvIp3R/wiyG0p8xm5w7PzkDiVp76gkbq1g
MrZCNuqmDTqm7gCQ3z5A8kOG4FwG+cbGww19G7zglrlpPEYyJpFXuF1zTaJ1hRA7qOrHoVbVbmDA
YQ1UBd0ZSXh/08bw3SQCznWMYeFaT1ZzaoU/7RwbTz3tocp4/E4VoSfFitkFAleMDBvmu2m49xqi
ALvUywhYI2isbRYTtFUVT4s+d1s20OWdKLVezRjivFuSuAemG3drFOJIVynABsMlCo4CZb9NLc8+
zWqa72QeBCd/cvU27LWkUG6PSOj12LSrMvJHRQGvZqRDxTffmb7imzccYkrWgv/x6BoEXqwikYxX
Q29ka8GP3hLBSN8Ek5o4dLQu9il6dBhOwt9PwMKWK7oJEgUrKQLmgakbZ/GQlg+2yiV5w1m1nZvE
2LO37yX6EG1/1pUmityu2geHDgbyjdQ4x2K8HRoy5Kk3JuspM76GLZJ4y60+QXewKI9rccVlwOU2
4erCTO3kLgzltCVu0d4LkY5Id0V/pjYuhzVim2DLCjE5NbNHmTbRt5DtiW/t/PItqIy3bvZulN05
O1uBZmfd1h4JGrBXpJg8TnUyr2VoxAdGqz03YlxbplttYsH2LsrDTzCbJewjp65phcLzDac4XuWk
QW/MsDeOldfQ0wwarrdqgDauBjJ9GLGra9XAmELrBq4hrrZ+SqDlijDkYT/PWfI5JtUbVhYiOYjf
atwCuq0fGpA7yA5iEyFxaSfnJPOb26rKEU+DLVwxq5fPndEMb80Y+A+BJV21KUJAs8Oo55OdRjku
5GQ4GEnuKai7rYsCU863kGLlA4EGpPKVQ6DXSklS1mbf36pAirUA8LsvaAfuxjanGmcW6SnOLDQl
Vg8zA2jp2YoMONZ54UUIwurYITk5HFSen7vqleW99QxpJ7y2IvpBa2l79d3YZhSM7XqYUPYgisVT
EO0zI+l2fTjwKZalSa8kMhK0OpKnuFHCe3UTtwW+l8z6xrX67K4ibG5Hgrt89iXrK4T3iX3RJKqj
rUmCEyrz6iNmKlOs2mpwnsxlhvStEtJXEiYw4KvhnKShe53gNPhIIrIHFrKdToUXj+fJ0Plb72ag
MxJkoat66MXtGDTll7ILzPXoW+5L12W1zSfSBCcrt90r2bMD9yF1OjQfKpe9bkf2mybv44NTBeU2
F6iDl/5YcqkN/TUfg/CTXQeEuURzSHYTwSZeV2TrbCz1ijXezFQIM2NYDfRFNr6WjGRZkR2yBoI/
ClaTx8tse9LsKkhScUgSsNC1dM286dLykSg8Oow9BS1G+RU1W/xUEQLd3Go+SidzNrlPdubKdAO4
Zx4rY+DqfvlY52V91c+FfZRSsJTCcq9FjGI1b8IByHFHzM2B7ZJvfNV9Qbdwkt7RGvzwqTdoC7Pv
DPfsYiZgY6n4UDhGf8WkWNyyVMxelOXUH7IWzGkzNCrYN4anrVUqEHXux3ppUtBYtNlM9dUdOLmp
Wnd1qj7n0kcSMciJfHZ7+BpP4YTePLSuMFFUZ4eV7VvV0IwgnKnb+EZ+mesR00vnGMW+z9HQTTyq
K5T8E6TOtukvFALjS8ZiiODaIuvQGnvttYxJPe2AGd/z/X/Bgwe/jTmNvnAAYpJI6/lEa2W4zU2K
DG5cJE+KFhATV2BtiUQRdx2uplfKYJ9d7DefXa0eZsQe7i7wE+j31WTtM6KQ9n1jOGs+teIBah/5
R0nSynvPLLpyLfyOyI/B3M3jOKw83nhQFLW7TxI/uAIaqxlc5BAcE9oyB1qU8aunAdwi5a5pvxjx
LoxV8MhWh/kkjsrPAqrBpomjj65yp7PZWPae32LTMGv7B2LVwUyH8makqPUaz2LcjQvZmfums+so
mqf9KCEjQ88O9+0ilKO+wk3Bx/MxGBP3MR1rucuGlA9WRslqqlhT6cSPdp7hARNN7Fv2IE8MyPmN
amb/RCY9Ku6p97dNUYmXetH4FXIKKRM62cVHkUCIAHnmK1uyulWdh/htnKr7au5iVrgG9eayP5KY
Vd6J1PBvA0JVNn7m2xcrGZ1vVlxVUIgneONDGp9ElQw3laeSq8LLvQeXvMYKn+AsjOE5qwy0gzn6
Nobb7dg4DbxLZWLYG/wDhhIixPu83uvRKR56RlyapxUMeYIp9rIYHuOBBqMiQw5HD6EEqFc/AwEL
DlmcMGOxEDwxkBqH0onGK5ZywWmCxnHp4jZn/UtS79BnUMCLvnl12gzgWNhDvke8meSvNcG8JmK2
QZzRWGcbqiVIHuESPw62ofTaQKAUXSCbxTaJ122L4EbWjbdrK8rIsL1ldKm0LB6rkmQdooWifZJ2
8aahhPXo291XEjOGlTmzVJGtI0/mPL0FHrsGr7ABGHsem6R2BEFo5RkJx5FFRoF1MHBrnPj+vU9B
6T+VMWtjV9TxgVVhsaHc8dZBdNrQNRVrdEi3gDAAiSr/JWALghvhypPmHWsosq8CykTGEFpvblRM
Z3cJK/VbAAtmXsmbWFiHkfiXbwmW8VvPNOy7TkXfWuUaTzGf3gcbD1+y8bq6haEl1RIOYC1aIK/e
m5EakOC31cbvlySZigrA7wuhv1ZBYTYhKUMbRikUkOSP9VenI2siSKm/Bi3oEascP2BZmw+xz+42
Cijk//5w/9SZcGi2wBmD6mn9bLyNZWtaRqg5HErNx9Zu9+wA1LYVgfmHdou1VI5/rpwTamhjBPXo
uPxsy4zm+a+itj8P01v3XqTXYviieor0BvolhFq+uffD2XxJxLKjnKjH/f5y/6l6j7wOGoDrIN7/
pXsQOD35mCZC4SB27zxUP8QLUCf9/VH+6abyCJcaNi4V+73S/bdunAsXZXBLejDv7RAMkNQjI61W
lps1f3h+/3RBLmrD0AWhSItxOZW/HSpXQzVqsqNwwbRkQE31Z9h3fyA4/OkYP3V3Uq+3fb5WebDs
HnGg3Lth+R008n82yP7x5eD9g3DBq+ihg/zxOqIoCydp9/LQMIFdx4Npn+waFfk8TumnxKDV0lbj
onmi1tpgKzmGAhXg7x/br58erAgUnVCkzIj9y08NCBfJs7P40A8x7hk8Mb2/JuauvSqMrD3mTVRt
fn+8X+8rx0MhSsSmZ/+KamiXTA1NzNShxCN+dn19h24m+MN48uu76NBDR59Cfcf+NTIEh1WP9KVo
iVBDpNI1dbqum/EqyCho/v5y/uFIXMQSqeJbnoND+adH2KXprHVYHxjaCDs3ujMiysdGZk+/P85/
sXcmy3Ej2bb9lWtvDhlaBzB4kwCiJRXBVpQ0gVGihL5x9MBv3U94P/YWmKkyKRQl3rzjKrPMsswq
CgwE4H78nL3XvvA1abYJYJLvipXrVfj60yMvqjw13NouYe2r6zp7VpzMS1Ii7ECm/flK+u/DRvhN
P13qbNjIQVUEueBSHTx83wQsu6QD/CWY69YEQs2Pk8VgGslvUPvSBCag1jL4BFFUWRN4TjAZI6At
8IyGLr1BFyw35/RgEYJyaA20uSEJoO8DzH53piwMArhoGVNctetMR8F5sHsIWUPZ0cYikglLDG2H
1SDi+Y0Pes7LYvLOKJPmPk4JKDPW+dQvy2bFcMlj381N1D65eaEetd65m4SIn3NiMQ94DRmiZMGn
GjPRxkbMyeBK7IXICXJhPKPJKvX07jEPqI5aEXlFmUOfciBucrrMy1SCCR5oOsSGvQrqxNAXtFK/
qnvdPiiJ0nmjWZqYCGaY562je1wn8TnH29epiZYhSd0AzVMZ+W44eLMdjkj9cK1yt3SF4nFu1C92
AKryz0/AhWcNX4OGgoM9i31/mZb+9KwFeS8Zw07cl0RprnvNNfZ86+MuTGoi55EVD7s/X/D3yS8E
Lwg/lgneGLf/2eRXlvChBvJwdq7TgjyJiW+SCD2vhVG128AJ2+uI/ssDzI7wDcDAhdeXsbYKtxAt
zu/iizqceiXqRLHjrDt97FHcfQb7iAdIE8m3f/whmfKyGnHg4a/zGTrDEYrOqQPI3de0RvvFBEo7
GDErtuw9RgkQWw1TtgnjFJ27P1/8wuekrjIAC1lIJBg2//qV2mj1OHsWBaZaHHNygBo2hsx7k6l+
Yz/5/UqwOXifbBRGWAXO+T8cBJsQclq2I9L5aZrA9+pQSnmLDOMfP6aUGwimEEYhw1DF2WeqmrIk
Vb3LGC6SdDQLui9GchoGS4C8Fi//9AaasCKwI8IYYpT0W8kYZ1VhkniEWyg3dko1FSWDBBq7TWak
zRv38PcXkItR2lAaEIetnydeSQbEkcA0s5sV8yEylCc5Oy/JaDyEg3ijBlne5V/rUy6FPkfw0Vjz
z+E7uOXjqVCYxhJrtTZomLglhFM76+fVXPQHehVvVaOXr+hSirqLAO4cwaMQquCUyxWl1h/wlD2X
eO6MGjlsR8wGonT9DfDNpSeSwhuJO1UHV1zu9k/LmdVw7mgDO90pXXeYsn5nmukpFuobl/m9sDFV
C3qoCViI6uNcWYXjcYxj/uhdr+jKg2IX5r4a2RH//Bz+vlRyFfxVGiuzSijB2UM/KvpY4E1Od7XB
sZbjnpcl3Xe7ELek4zFVw3mCveKNVfIMHbRIc7gqCwdoKsKCxfmrFuRz66J/SXeuhSVlILicva4i
aWN0GdXNwCpWAHZAgyol6WWePbsgHhrV3rajDPcZw6TNQFk0T5a8c7s0JeSVyNDXskCWunWFNkY8
uvogdrAMrTd++4tfjOMuhx+8Qeb5F8NcMspob2Y7WlTFOpmgMSsjzY4/fzEXnzJ0lcSduPqSYP/r
U5abkm0kLLMdoSgZ9IF+p6YYAO32rarlwgsLo4valnWI4LKzBwB8qFFUsmAhGiuDaXYQ7Uehjps/
f5pLKxAcevSIDody7t2vn2ZOVH0MOyVFQUBGaG+zTY0WaEpiPr/0ifnPq2jOjMhE2TIgc6nnJ1Sc
v6JHdZFydgxelntXx+I2r4OnP3+qSy8PXFQBeR8hG4D7Xz8VyS0FpFNeniy2nJt00uizB9YLHddy
U4eW83XIqmSPiqV5Y6u6tOahiAVPx+b7+6GH/okaGWQowuzQT22hPM8J0NvkA0bje5brN6526YHn
2EMSgMnJ8je1IImq6MiqJt0RIphuybm3bwc9eTOX8dIzwk20dbYjA5nz2brqdqABCE9Nd043qB/i
SC03CorjVQBQN6NBbw+PieaU5Hu1/UlORXq0MtvYRg7CrnmqQI+HSeVrkiTpbHAYynZEXb2xk2oX
77y9MCShy8PVO/vK66BRrSHP2W1Gk15hK5+11i2J/XCafWw7T91Id8KuIjqZBTTXdOhhqRKrFTHW
nUXVYmTJzT1dJHclSAxYuRGf489P5YX7yGCLEtS2DfLMzjfEzOZ3gBpf7kide6lmrd2oFYqqIGOI
PT3/+VoXbof2KjS0FsUqVfevb4CuTcD34Wrs5kB7UWk4+LmlPgPbLXY2/rM1muH2jQrjwkuH50ET
VDTsWL/pm/s6m8Yakv9uSKyPURwqnm7FGc1MfL6wNOSjrAfpM5Ltd//8s2oack46UhSI5yulqbho
jpym3HFWO5KfgoWwzm6RJYdEB4cfsCKHbzxtl75JSjbaALrG6fccMcq7MrSNCZZYUUPgAlrPaLIw
2tsB8MQuFxyk//wJL+w5fEBqqMX0SrF49gbmQU3SZ8mtHfsQCbdJ6iJ4d+kbyOL+N5cCLk2mIAWj
c76JVtiT2rzgiKa5ZXEDZmGG6dCKq7jTtDeWr0vPKGA5Hk+TZeU3HXCPLqaY6Qzsmrx76KLym2XJ
B2DU9SoO5a0Dae0fH45YwDBdAN3U0ZGfv4DaSMNdb+ZiNy8cbxX2cN3VJE0L8caFLizMaItVy4D6
aGLjWL7PnyrRah6QgQQcAbPQegpH6PezfHjjkTD4M84K+l+ucfZMuEqSJib5qDtUvRqJSHF1aKzG
utM76HEEshCRFwKOsIa68hdGzWM51DaKAQY2nVOnNP86ZV0XMeMekpbWiqFpa9K3s11stPVhNs3o
VnfD0SsmUOtBpRbbHDIYRCZn8tDCBfvIIgJiVgFLWFqNYC9hhnc3u7DU1UIjHa/Mm3qr9jLAA4x+
7JRkKtVhSaBKkcb1KQKAutXqZgJIj06rN6L8fa/U/Q4S4AMwisbjDqebnF4RHmrUQjsUSvmqHMjy
DrrIQjGYDtelaYC1Byaz+fPtvfRssovbGs+JwZzibP0kxEC2k+DZRCv4LMf2GVTOyTSUjZGX60AZ
/k5w+7ct4ktvODU3xR7t+9/ZqFY0FTh7p2JHitXSczriEdsPbfFG8fp7y8+kVwothtqENp179rHM
MY2MGo/5DiXpbQXZHuGQ81Wmj0yi3jOV9jpL/xzWxRtHJuPydenSckc5XJ8XZG6VyxwbNT2Rcpo/
RqOKS6g2lVvU7mq2ZnDOGUdaebCGMyr9DJAOE66ChVzq/R4cH3bSQdkbKokQWmsWXoA6jAeu2mL8
YIzlJl8sreegDtHEIzM+9N1Ww4/f27MPhOteT83Gc2ZLrtI2MWHqzRWAQn4fH2TIN4Tf2k3iLN5Y
CNEbHF38ewArXtS0ydpWbP2DNKy3vopL37ggWhOOIG0GQ1tu2U9rRKw2Vl6kfbFT2+cJ79BqGkj5
0tr+jQX90lr003XOC6O+6sHAu+TDOVamQoYSHTDHaP3n1+XShgjQmNOqzrztN3qnKgndkWZd7Bg6
AZAnnoLD+FOZRghrm+kN09nFiy3MBwpf3G3nhwhRsxgVGe+KEomck+i87c1qgwwMQWX7Fub60kIg
aPuzW2DZ+634zWAgigQpxa5O6lu9sXFrBtNTmdXf2hjzViTeuJPapefC5pTEARYvFYztX5+Luaky
7i91WjJmEVYPXTs4cz3sdXrxYOTAvJmVbD1Yp8ZdrAbRbgpRNodlXLx3QifduKU5Pdr4AtBoB6E5
v/E4Xfz1WBBpI9G/JYTn118P5EGjpBFlziCrb4Ybfoj0/j4zGCb/+Ym6eB2bCAUqSrH4Zn69TtMr
E0wyke84iVZ0c9rnYlLIOe/qNzbSS2UrzSnca+ryN/vsPTQGFxk3Aqxdi3A8atC5DcVtXVqHxNFO
WSkf8sx9o1Fx6QH+6ZLnBWsymxlCHTXfKcO4DbvyG1H3KFzFoS77N84cxqXnlxMpQzLKR87CZ+ei
dnCABox2zjKjT5/bqPpOsLbwelhwHu3b0FMqJfZyVuR1LBfBsaIt8qwa5Y/bN08mTZWnQDrNrtOR
LWNtwWwQtfV9OLul7xSAKUADOJvRHpwPjsWqiUW6QTWhNKM/p0trs9S/q4OOpp0A+bFSPydld8ST
WK1bSr7Y6YdVPhnxGiyBfl+hvGSz1603nqZLd8FdnLq0OHhuzwewWVY1TYFIeTdX835uZ23VquaT
VVlX9Eyf2nga3rjgpa94sWfgGLRptp7f9ioBOAwVM9/F0lUQx3Rkrc2cfn0DyCr+/UWY+ucX5sJH
ZF9f3MYuRpzfTpeumJy81Y1sl8LgWkf1JN4XERXalJTNUwIWb4cO6cufr/mq1zgrQtHekMkFs5nW
3fm+HkJPYTKb5TuRz64XDZ24NyPiwQtjsq6iMss+VGCSYcMh2XrVKb/Gz+Ud4UstWqKtMgxIZt/4
pTSWhvNfaqluOPxwZvrt7At5bK5gerB0zAF6NiM0N6jSjE0TQNxziVJY8aQgn7KytRvWESiHJkV+
bf7tqv+3NZ1xYQ1bfOHIMRYcu3neKlSRRoi8jXN8y4nBaGQRN8dGNt8isCysK74ue09quXWFzwIQ
a0YTWVNgKUAIjPqbwRjUzTQF6sfIpPAmv0f9SFlMXt3AI4VtgpTx0bW26HK/TSgyWbL7tSmSaI1g
0CQ5vFjo19Jej1Fn+054pZepcZ8axXjitcWJAlNifoqczj1kqv1J7ab0jYP5pc/PBAwPur1M6M8b
R7TbkqxpDT5/lo73Ef5cklfH+CnWlGjz5y/90qVQX6I1wI3OtnG2azJ0kjJftiW3NCK/ks5i6SFx
Ejh9Fj79+Vqv39v5A7Z0fw1Or2yD58f/QhFZB8mRw0FvBc6qZWCM42M2tW1QEQhd2Jl2pZVqcNOO
+nDUdSW81VuFbDojq7ZVQcLh6y/0H8zZW/gGyAYsg/9CCfyOOSsH+mbfXlEQ+5f/+39oPC8/8De9
wVXf8VjavJu/AM5c8U4gvWXPxG7HMHWZbP4AnBnvLEYyzjL7oVf++pj9yLBR3xliQabR1Ea1sfzU
PwGcnZ+YaMAgVGAVM6iAdBax5fj/0/Fgytu2L+zYOagyH6+UpKn8IdXTu5ET/Ete9PN+CFoToylS
awStU5AeDSOvP2E+a+Dk2I1yo4W2SgusmvobQBDBh3SGznIl43H8GrVxEu5LaUi06Qi7FU9iedx0
WuCugzGzP0xWO9yyaWGyqKc8wxfBAeml7yfruped8yEaS4IqSVZw8lXLkGTyi5Ks4xbwUOSa8b63
+mydRIbsqAdcizN/bogXCpXsWwFUMUSTcUxImWfvleZdip509jvQyd9bY85PodK/TwHHgikl1fLT
HBjy2ST48WkMZe7pUxN9VwwDCKUbWlKu6tG+qUTvQmybjAZQSzi+n23IuAgczem7nSvKbVkkQ7+y
ezSkzO2CvWA8KVYh4sd4NZQGOPyIhgrdylnDI8qu9MwZkQaOCJq11QfRJ42NZPQMJ3e2DVoTe+Xm
IruftCg6AXzaW2WHmDMGpbilNHIOCLD6rVoyu/HnPMfSFYUQ1OciyuzVNEV43EsMjjMdSiBVPsFB
7sukqSNWYKdGHB9lfXcFxqf19CCVhy5Ik0VFKmYE/6XAkDG6V0uSGAdjSEQr1a2cI3BwF24TQ5y7
3s4RepHrtUshwAORC5zWc2NOgp5Jt/teZkN70GxH8Up95Oa4GV4cpSqyk2Yjjlw54ZwwOp3Kzgst
u//IMX1awctunSstKtEzYyBA1xiEtntgYh+0fpjjI8oosk5IhmsvHmNJfpyoJDabMUKcGuMpbRPm
0CsRjeGN01bfG/6UjsJ0lrHPRKH8PoQp8H+DxI4Bd/Tcfi1qqFE7Mg6zDwHd8z2BnHJN1mQCQbMQ
/XMFr+WGjm/vl1VhbbBQ0ONKDGlsMM/BzRtjbTjNbRMmH/BJB2OPAc2Jy2ytzSSmbW2tj+8YWEY3
ue5OWvbCt6sPJvThOubeEmQXIYwh8nEq46Mq7Dw4hjhYQfxjWli8Wp8GayBgcdL0x9DhGkEj/SSb
782G4JShIDbJazWNQ34ANnajlAH+T95Qr2e0eJhAcm+aPM15vXHAED7rkUY8rLDV4410zXLdqFXu
yVYLNkmUggW3W2JER5dSIjSgmafald66eMxVFLxjad6BgkF5rVrXc2UG3qTW6prCftqJUXLfuxGu
96o3p8AvnJonEIa/elSWQAq/aTrDMyCtbIhCbw96XiN9oqO3N0Z3uO6MOfYHmRM5anVduyrzWV6J
RnYHPenyu0krzIKsdmFtRVK0d4rb3M4RL2ZaJt/BkD+S4bwSmZOSwFKafiJERIRe0jwonZ4dySy0
vaYgvT0eLe2+NlNWLScHr+U2JlHqIBC8INWjVTKEjtfrZgseIr0xzOKDa9aZF8682Epp7JI2vBOi
iNY5BxsvkGi1kljtrRX4QGdXz4JsjVQsd7scHphiRL7aT+7eLs15jQ263zqEh9yJRarD8pSuJxNX
ho0CjmmJCyIsNJvuPYxXdS3HZLyecmt+MjLTRNCN6yxKkVWODJgONvDkB8Qs3VU1iAxhc9iwpkCZ
Yq2MrUD5qpI5AKMyDecThm7uXBEmNzO07G9pCF+spPm6IxgquR40BQ5G2ITjJtBnEM/FYn8lgtbD
aSSBCffx1q5z5yqt9WdaChMau7jfjMzxV8AccHE2PXgAg5uCmz+CeDkbBcS/MONu60bCiwpDy/0a
E7zCPTd6Om0ximXSLJTiOrai5pQ0zvDSqxaHmCKd4cjp6lrFfEVNb3cbYPn5R2ByDrkDIUG7IV//
x8SxNrrVKUcrHYuTBsben9D/P+iunn1vJrP9ZGuheW/LsbiVMgrXkybVTVaZ3ft+bp19opoNmAfA
lGvEEZil0a5097FplAcnaoxno+GRpuAbrkdd0vXQqmY3YnM/NY2VeviPOt6qYboPtVw4nES1+IgD
BbAarL3rxsqCnRpZidcnTerjnmbJzMKT5jbJDnZwTEJ4ZzurtHdssMFG6BtJC+kyaKMZOEcVbXKI
n0d886BtMU9GhPJazWfoXXG6mpU+vtb7tNk1eoDDbNbGL3nbpR45pvMD9jzdg4Bg15BcEKyubNk8
ynDQr+coGK5nFIPhKhPqMp2T0Z0lOu2exGN9M5fMTyc835MHETh6qmTV3BjzEsbUlFg9WJjkjh19
fI5SmT0YkUlweie0cT0MRuqhYZlxDXTtwarb2xavZ7JIjbW2/ahKsbDJJvRwqfpxUkL6TiWOtfgJ
Ek7AAKYtRcdOlKqgo+Yy6vVVYXT5utOE9CcDSPa6Usf5xWl7scaiC8WwjlmCGYLDHqjrIViF0dRt
BzWH2Ew2KY7ocM1DGuAPbDK/o5F3aywgUDAYhy5UKl+K+m/VwX/q47fqY4C0HI7/fX189Vw0z80v
FfJfP/KjQjbfoUJmqWIiQetEX5rUP0IeVR1WGUoympGORq+SAvVHlUyP6Qf2F0AaxzLUKzojvkUY
8U+qYhjCvx7tqYqX+T5jUFrmSBLO+w0yaJ0sCUdxleuVo3kMYjVcfdrAy+F1jVLh1AOLHwD1JLek
DI6I7NmCa2wwgB/nlqfynpaequSHphFMQtbKPNZmsHPgzAivM3rO4bbM5uqYRjSe7Q1pALk5HFsV
iMcIgNemOjAbBX/MpsX3L657UzZf03C4bc0YVgSkKNszcZqBCHfdadNIfEP6PN0rzozZf26juPKk
qxWqXLEeJvMWyzTQ7QKfKjpgEksUsPYNsKlMOp28SZQgvUd07X5qstkAusimq/GS9Ul1JYo6ggc8
uR8VQ5gll5jEvB6RZy0hh3AYMCpjcDfK2DmlshCfpG0PvuKWw+e4N9lx4M1sym6yPPoN9QI11kf2
diNSONOWSrVN5zzbJ10WfRb4yD7qjQHtVytj9ys4kq/ZOB0dwN3xqk/zac/fgvd9J4xTbMXqDjeH
tsbUS5wRXCP+P4Yrb7ukiAh0nSbVb4ewJy+tsl1meh35W5kZCCSxmtXviCbMbwhuaD4QkBvskSgP
WHrt6dZt9OnAxrgAhWMKVwDrSrwjLCV+4XmwbpO07411X+rKCX+/sx0tQbxMOWpQedviIZptSnCn
K2/YYm2vH0PEH6gk9Pem1etPSpk1C+9KN06lGXa+W1Eu56C69iQHzldZa029H3f4UTW9gEGwrIaD
EowbYwC2kNEqRW8SyPmzQjtm44At2EKpmfcmQb5foQ1jOWy06n7G4nXsFFlel0rYASualek0dtjJ
NG0z9ma7pDz9+G+wrWYfvVcsvcJQF6u5zRYte9cs6kOCAncoDvRfh6z07TaQibsBIgkXU3MGddUP
DNPnNTnXmvr1Px2H/wkwktizxdzz71dU77kus7h4/q+Xb9l/3Xf1z2vr3z/899pqO4TeotFB3Ac5
Ueh0tH4Q1o13KJhoNCw2k7/+l79XVsN6h3R3kYQavNGvFPV/rbQsx3SjrCVUdJnC0QH7B/0H63US
/HOPCwkoKldzkekJ0HfnHXMIHrgJk3iRnLDGrt0oNQavKGCORIRgbUShm51H3ercuiQ59ys9LuLj
AOvG77PIcfza6DQSqWLjSTTRdFMKvbjvGxF8pk863lQz/vadPczWrqqX0AzGQNYVGVo8xymdBI8g
bQzZrQIvmmICzuW1QwbTMdVKItEydqNDN8uMQAI3DlGoTOAivLTjZOnPfVJ8R1FCsgIQDnOTKo15
IrxrvEmjwPSUcuyVNcAy41AHLI9QlC143ApO22jfj/ROes5D74mdCipC6cG+dyRgHQaOMXt3jBmT
jJnsP6k5v5Qv86D9xlWWWscsXM1D8wFexalkDHdNZNPaXeKSxqAQtZeKlvD1WBmsXUwn014bM5kP
MV84+DdrvIHmTG0E8SF4mSkAOT1pQ/NUzQCovIDf7Mmk0HwqBjW94wxCnMcYR6ehC4qHqnHKU9vU
/XQFFz60ADrpeIyDyEavS7g9kCxVk6UKqbhybseU30sKGDKrRAs4kapGHHAYBAt2OwPu+ayF1PNE
lCJyGOda1fwACVThYzYtN7aTNyuyLvccJatTqkn3BkRvHF0nkFB3Dfdv05PhBeEsJkg9iobrqHP1
zRj1ZNHEVlHea5p0bhUCdI4krZK6hDxrl0MOYo5Uaw8LImNPqJ1xwHqPRaSzy1Nay165n818Wgs7
0Q5mMwxEpqSd6cco3hvU83nLZ9aMjVHEwJHmXH6qu1J/qtTJJKRulpbwrJBINNrrzhrGAGHQDpGY
t2MVRrRjTPder+PwdiRMACT3WNOstXrjsx7AaF7x5Fm630bK8OzMqQP1QnOvqwqT5aab1PBAPFUR
78iBbOd9B+5oIoOkU4jdWoIHBh1qgaGOThGtGpD8LbqZ1CL5DoP0HQ1IK72OOGPfVCzaxkqrhXgs
tAmgQqOoQ+hxvlRoxxCwhR5BaPVsbEOQa24A1weXNj0BbgRWTOJbnE+yx3OktC7FUFQJI+D7UTgb
E0vTyWFN29zZhAyC9I5QulqhHcNZV91nUk7xk141LgcE/oOWjcfnox2ECqGQdePpafCeKKH+Ku7b
5imS+ZGs0fCa8HcqgcRSqBs4TOalqRwIPbQL39Yz9RE7VrzBMwcpnDkD1Jgp3aiCf2wNNdvLORyI
59Jp/LhR+b5JIixUVXsHgD/y8WDoAlohMm8y66LhgxBMUna83spDERrBlliFuYZeALjfo/qs/DjR
pQ/aKdwoLRipF04Terab1BhHSt/pnT9hw71SHDXZl51q+ZNb3IEGvG6TJtjDKm081ynHwyIkWttj
nK3NNoK4VI5bXLoKSB1WmiyoPRnMWxLCki3lh7aaqtY+NiAKQJGHvh0OW6dNrA9ajbcn6bpuRXur
PA2OegdbVF/1NY53pXEhdZsyXAHMrlgqRLgJisZrEqu4Uouq+UbX5ajSqv0k63TYoUjJ7ml1Oaek
LxvkV0z0zazpb7SOkRbonWw1xNG0NcV8jOGHbTNTXXAITbaZtFRbjQo/paXgh+Iak7ufOvMnkqEs
j8ndaa7q9+2QBl6lR72XGmW9lUEBj0Ao6nvQFZDEaZ1AZSm/uKy22yLWnHUM929T1m3iwZFrGCLr
kiEvzsus72G+57F2NWXkKHV2+LkEX4MCJ4pR5UyFr7uwJDMYhU9DIocdGQPtI00IhLBiULZhPX7v
akEIXwS5sa1fYw714LORWuDKxyAy9yIx82SlMObed4Rk4WbJTcZnMq42rlvD3aoQQmyrjkhNggky
b1QU+7arAKPE9Fz8JCcNs6Wjw1MhZvs4NTSJKF/nOFk7Mm7vXPgzH1yUSGAQUSNxyomOdHPll6Ik
FXI1E2DxsbKzfKN1aD6DWHc2gE/cbTmTcFkNgfoE8QhzZA/Pv0TmeywcnfBBiYU5N3LnFjhN8b4R
owJBLfxg081WPc2lYRE2syCeNIDt2o1tqh2sMQmv3RSm3yosgDhkbdzZHhx1GDcSjyRtVQgnVmuW
tMQ042gEYFbmPFoAExXpZHYZOFu7gvRI0Hnm11XYrSTgwQ9tpTZPPHGFpJYdqivVqO9EkJS3pMSq
RwOvqb+Y8wSRzokwYXDB9fHAwpg7nfiRVd+Yyr4O7OSb0Zj5t45GoS8ig3yrvg0Gi31QTIdiIVN7
CemcvrBi7bGMuv4ugvXzMjpduK5c6VzLQP+suN33mO7XR6a5uOSnQvUa03osTEt5zzuF59JI+1Wv
sc7Nkwwew9rcjkbyORDdV0cnJWMu6QbOAeNRI54+TrTzUHSVum/b9bPMMXX2hkrs4piua02vvoWB
3ZPlq8CQB8C36/WuKD1OZ+aaVBjtJmtEvU6bIb0tNHEkLay4zue6Wy9Nr2lFKyYmESCqgWM0ECGP
JHsE6ypvXrokephKn1KK+iKeDW01oIzf2SRp+1ag6pJOJotratESYiTikAtRNyvi84x1VATxs56m
D4ouSt8Abfc50u14x5nN/lZr9V3Xa98hTCKXAzXoKvYnUiBVX1qEfo2pah/ciQySSu3MlW3IT2U4
ozNwu8NAlB9rZ1XRtpMp09+e/ug45Xujr/bWRO5VIrTHeJjS64xnfkWmibbhJAqrLWkjr1KTbd0j
vCnbkbwJmELavKQq9JbXRcn8wknaZNjTlfeBMzLUJp0iXQW5Mfnosvq1JcBcTkWTbzC15qtacb4G
of5Rk2HwSZWWccIbinCEE5vUWp4r62uu59o+nrtmXXFCvqoKYmo7qX+z8wF4kvbSOKmMmBBlmHGL
Ztg59NFWjQkZKpaIzHqHZA0qFvsOVljoR8RYbFSqx5Ne2MFNHZSHmi8d1dYW+8IxmhrTw9fLI6o5
oT+B2/JrLdGORpU8jmkl7gJm5tuFIdrRTyjKu44IFU7nnM3pc1kiJAyaLf1akQ2tc8h4bRJvl2JT
asWptFuICIN7hSbuO1G/O6nn2N0U9RQMzYmMcpI224aTPJOKKv9cZ0BG5mZ8GMDiVFp7apUCphvr
KX8wjMk2IP+CcGVqwG6JaOc1t5wMGI5l0EyGoGJa1wUc32uRy8KLRE2UhU0bQ0nz+QbCXfqXeOk/
zbQ3mmm6ycHqT0e/U/0t/H//Xfx84vv7Z/4+8aHbf2cKrIno5pDf4tv515EP58I7S7xahhlRo2mk
0fajmybevSpsFsK+rRraclD8MXPW6K65KG8WsT7yG9X9J2c+ONhn3TUGzpawKZnp1jHIPhctpWRm
pEPnxjf40Y3E9VCUjExXw1ScIHSZ5q0pJBKaMlOpEUjAoXpdDX0svDToy2E8SpTUnLrSRXrYxmlr
3EXUztn4ZDm9kqqeSGtImcwRduFcqMNNC1fuBUrZoDL0agp80bUWESipd0T+MCIiSogcldI1w3Ue
yeSQJ4X23QgLxols1M4XRSdvbxSwh+0U6HzJ6kf7387uLBzYjGHL2SfERj2laVwumiRBSSb1Omcj
z6raWs2GqSCVVL44o4gwyCgJ3W3XPoKailmM5uR6BIC2t3ur+zwknb421colcr0Q0V1tO0Su0Fua
bnpIRi5dPkJ51kbFJ145CJycdSOzygf2FF3JIN2we4Rei7H3Szz07WPTiyg5WjSxAI1V9imGGznQ
1RqplTJI0R5EYUpQog/cHjEtErV72wLv6fNNTB+DqSxWiuoCuCL+K7xHsIDMvimRASBnivp9TAjP
FTaE8SPOAI25nDmqryzntSvQEHEeTHJtg7EDOhxAnuppqkfE4KFMEEozJT8oTQEPi5By2k55MDsn
Jx3sDo6rySORgCUkQXmMmtlPrKapfZHZ0ydGC1Lc8EmIAdPTPh85M3Iij9WOiHGV/NBcSaLvdp2h
T2OAtWtis9sMoSF8S8I+6srIvpWzORJTznDM1wljv6UNUB+m0iTDMpfarWK5w7roc3EITHtSFrKd
eFkCJ/2Rl+aIX2dmsvZXInwI21ED6qRU1+ZraLz6V4I8avCBPHnXItTYWXMjzMrL+6iobkw2mXI/
U+aay6l4CmGxOTFLapc3Jj1EZvUk3hZohcmb10zDJIeTu3fbNUCrmPb09n1O8TX4NtH01Yes7m2k
62Wjsse42DJqlQArzxjHBbGmh015SEC2E6rMMfQll/YEOzuzoRxn8LmU657do/HYYctjw9j6ui/a
6EoExfCsIzyGUdEMsPGqgu7ryLDfAvSmI5pXmCEhCwaUCmhBNcE9ttpEFtcA+bTdqXVub4owjm/w
omkk7cqeDbSsA3DJ1Iw2EarVFBNqjU6TgFjCNvvreY476esKh2lShTrDR1Tea576muGYvOY5itds
xxpotP0eFuhwzJYYSJAenR+FOBt44kzIj4lNbGSm2PFRKcsMWNpruORihK79fMmc1DlsQP3FTnww
1eZuHtsEXmqnfFVeoyxpvdMdclA9WMe2NJp5g2EibzdhN5Ufx6BUIUMueZnzTOG9NYOqLrb8yyUC
Fz1cu2Mlmu5N6Y7lXscCRzZ1lulim6mRPuzthHbP/2fvPHrrRto2/VcGs2eDOSxmc3jyUU6WtSFk
t8VMFlOxyF8/F+W3Z2zJnwz3+kUD3QbaElOFp+7nDlYt2hdOffcOfnxn7LHdfCtzbD/3Y46NIbXv
pNa+0IyT1XU6DiCZeW1XI/MxsskY32SvqpsB9B2f6Gw3K8s/ZkDzFGGjptSZMkhp9ehhznAW2nzn
+zBMCiMm2TblW9W4aM/Z2pxt6xr3AV1urYGkIjfIzFMNlWZj+USLbrRUYFZrJ8q4E7OdrnWr4EDa
53acfWkbL3vOKH/uSTSXnztdyXZD491mrtkKF71stjal4Wr9ocUtPCysAfs+N+ni9sRfsBHLQgou
Vo7pCszysKwqE0AXQBByjW3PEfgwT4Ut14oTeWh2Lv16gPbYWlVSSIzoWguNTF+OmJ8SmzvY53WF
oyF+YlFxZxA8/CDH+ZPNEMb/tcNxZRVUurl3/dG7Xo4L67iPJmKVkuaAVtHTN9UM7wEQBqepWo3q
pooIdCpKc5CrsvVK43xsa3x9+9nNdn5TW49Nrx5jpbAd7DkqkbWURgXUAan39EVlpobzcskjniej
uykzmEwEz6MduTaUjFpKY7uYZvzUyRLwaBTb2OlFR4LLRjg2fm58py7+t6D6XUFF+5Cm4f+MpZ/j
/vn8NRm6b33/U5MSSHT5yf+UVW7wF4xnF+KzA+3K0H8MYXrl61loYH2HCBzHooD7p6wy/4L0D4GT
HwM4R0vyY1mFOpe+JY1GN0Bk90dUvvfM1MUiBU2ygb0Cd2f+TOQLrAkzTaGJPQ2hl6SOIT37dbRK
fYqeH97O1Xdw/n/huXeFlqPv/s///tWVTGS9dEgpLt9p1gpIOPasDK5kYrpMXfUkgNJXY5QM4Z9f
iWvQi0UBi7fecic/kBPjXiO2W+QCEztSO6NBv+wkuIzbzA9/fCEcy0xMKbic/k4MI2HSBnU7i/3U
5S95kb/Q73vJ+O+/uYzjo8bii7/7RlRBOEM5SuxR9gUb8J5m1eFREuYq/RevjrEKZxiuKO4Rb6W8
sdBLG0NkQWIWYaFKHzg316Z/1lbZbx7K/bmaZ0yjJUTniiKLfjlk1Z8/EkWcv2DBYp+MYw55b7qZ
YkUk9/TAlu6vP36D71U0XMyil4W5EkechTP744jQSBBkbtZiHzSdv/a6kogdH1yh1tJn3QfdTzH7
XxkTURcfX/gXg57Dz2IP+CpAeDu93LaGQ0bttqfnUtOQayyYT1r+gKud9Zv5tbywH1tiry8U9SSr
gqdDqXsjpZmHbJhSAkjxlyHHpxzEtMlMPbr9Fw/0w1VYsn58kz5CAqkNBVcJFLENrXqQJV3eqv13
r+6HK71Zmca8TGpZcaWkGKa1q7LnGTiZCvR30+u9EGJp3xERxukSD653g17g9EVW1pDvk7K0j4Ps
ypfawg13NfZjp5cw63DlJOQ2g7SfGf0FVDgGC/DVpTAqE+S6fC5VXR3B/Pz1ZPJlOTNVZVhMg3Oy
ceU+o1fZnuVuF4C9ggav+iFyyA4FDLZIiak3NtzNW5wR7Wcaq7QrA/61o+XiXU+R4Vsrijp0y2ma
PaU4ydLoJECKgnmhHf7m8+rvRyxeHb7PLPECYuK9N1MFDqjjl7UoUQ+Y9VroHI2XTgKZ90uHi7jM
em0ELQcXTLeo1hfYuiAS1Wrs6ijpZOHbWBPk5uPbErZ1hfdskpbha+26hPRtBy9/maC8H2IOJOfC
6zh3iLlz4ZvUzaoW/JUpicqNno9mCF/D2XuqKa+JRjU/5Z5ZHxwSRp8o8Kf1WCqHxhaJP/VEjMMI
GXCde4rwn24awOTzSvlr2cT2oe+x3Bnyotogaqlucbu3j1hyj1+biB3P6F3uHd/w6ymz69PodzIL
6U4mNSTLQv9CJ5Dqt+N+NOQWz2XEQ+eyF9s6iMVlbM71GtSeJp4E5s5WxlAEatVYAO8uaQTbRmf4
ZNDS11ortLDUeTp6gFj045Ubej1DKPJYaDl0YhOPNzQxBMrYIoare6i4hnW0S5iUGFXUJ0Pv0bWV
WPH7QalBr0fHGifSOanYyJ5ivy4e3DHHWq2zxOfGLc1PEc8O6jEadABKe5i5JxkB+Hki6EPLmlj3
lGvTm9Bgqz4Qw+qcfK0rrzUt7Z8iXg0m9I24dIfsRTf4pkPmmp+IE3lR3Rjd9u5cH8Zlm0i6jlYC
h7p82xaEtLHOcbwmb8dVN/hd2gd2tx6UsEx3Mmb+UBLRhSYtozqmMbagKxve3UVsieAyc+PqxSXo
68IgEGsH1o8U2tRG31+9LgFFF9tH8nb8s8TlleUpLwHNPdlNdjKFZSPiO3/Gm5zYtjR/CkhKIAR8
rNfkCmXwkslEmInJWFo5aWXq4pxuiQhoE0TyMYkExxfTkJ2Pi2KezisXNOmMfL35k48L8Z2q8vLF
9JL6yDNOG8zXOfrrfrO3MyN4qBFu3FlENWYhhsgO7u5Qd3LcWhKJj70qg7MWyj2KcJNPAHSaw/41
aQqtsPfXYPe7wUPXtEw7W5+1UALTYlET+LveEotZOLbVyQO+PbHcDX6VPQcIF7dBxTzCJ9MgOTyQ
xa6TkboZ20A+zu2c7zBW7TE20Foz3WZEys2bOQOtXrWwc6A9q9z4gk1W97c5M7c4S0zGuhid7l56
vfgcZ/SvvKlgP1E1N9sOtL5d3U4nGjypRueOL+Ekcf7UxGZ1BOupNq3qzDBvsxfTT4KzyHCtIzcC
fI/L/FqjpzWuk9JNLgiCUXAtiyUVgC80WJQBSD2KMPFbf+0kQXSbyZaogESo5FslaOBXuSthgybu
fGYbw6PoJrmjs0v0TTAwEObRr/DhTl86go9oJxFF0BnFjp7Xt35ovXXSqduqMfd9Lb8MyZQey8o1
N0Mk3BNlgXedDExKo+K2dKOQ57Jvg02cM88hYUUrk27VJ7q58wkj6i3IysLtVqIPyzGHEJynUM2s
vmBQsyrCfS0EqpMhCy4tCuxtozHr86GY1hIdycrq6CHOLatbOfZyB85P+rHNc5tl9pwCp1z6+NSQ
SUyGjCV7A0kq/cbMjqyjGhhReJFGT0MQYWBT0NuRGGVsgAKYRqXfBJd9tbg8a23RoiFhzUmInLs2
3JasZ714dhwWyrZl/aBlvbAqCBMy6QqvIQlU0cqxBv8apkN7ZgC3IqNYqs4haBtwiHIguj5jETOH
eu2OXJqzbbt/3ZXwZB6/JjgRINSoiCToCFHAOnHTpsWlJQhySEaStJIOZkbXLGeMmuZjYQgG09gk
Q7oqDZtGLG8njYJxXUIw3ryuumOSfu5z3/imj6xWchkjjj4bF3nUQ9NwaKtLerKscVRVK03rHRLq
nG1HMlKIfb0ZOugDdk0PMiNnt75PFW9o9qJqrXSv5fxMNNrAFyamXW9brN/c6k6KOAp9t6qO0TyU
193A2qPFrB5jwKQHPOSdB/WwtTJcG+JKpnQ4Tf1LYAz9SWoOtXk9gEl2xR78Qe6yBO1yGcT0Ddv0
0kot+QhBorucVNKfR9n8iZiV8ROR1/7aR8wB6c5w9nOQzpsKQsOlgO5zVeSfvYZ2ZmolL3W82Fr3
6T3z+aGVerw3MTMEtiybsNctvECmzsT+bYp3LO5fEFEMK9Nj01vUtwctTYoHAjOqI1hx8KCXvnGX
6oZYrKbGSXxfZElOolfHN4BUg5tF7iKDYN+uQiyv1bBHBG23uyoJVqaRiHHVd0GGHqooWMwyDrwN
QyQLytCI9fxQ0TgMIBN4i7lKW7brSTYwJAphofO04qbXyTNDwEFOlXnf0Ww7jo1VHmlV6SKsIZoe
raIDgTUQYRfrqFEYi52m0VQlOjMdHPPcLb0xumnMEXRTzzMiaOxUgguNWQANfEVwmvSPthwWHMwd
LM+idxugeF3NuBnD+s8SACA4ot8E7bOVkcZQiHxPgEpOhCxR3TjIKjrFuj75i54y7Nu+vyJtm/SS
zCYsKKRjnqEaTlp7TWCjIUvWnu7Jz/W8BxYqbsfMUmR6GC51JQcNGzKAN8ljVWT5OhX6F9sf9iKj
xNQm4t1pMSdbE4XTmoVDXjvk1Z8bVqVl694r6UXb0HiYp6a1qjMy0obCp1HZ4Iynmug5h8NDcKeZ
E9GGqp1cL+ORJrG6GNij4VzExHBWtjloYVBY8wXTNf4aFx42dLlBE7HwVECZrWkHFC+6v/XikvXN
dlm+7ZjqhJMjvYDRxplgLXjgfY7ctAz9yZG7j6vR91LWgL3T5zgTYHW6EBR/Pm10M0GHQ6cX+4YN
FEx6lOc4aese/WbqBHoQ6cWE5wRqkZm6Ig/a+sSEd069VcYpgSi/O7Sixvz5jLXcD2gJBnoLw/ut
jteLCRP0WUL3bWkQWTmd2pw1dfTS56oYbqKJbe7jN/DulMzRBLcyroTYc+Gqv3kBtnRKuFjFXjYU
YRW5e2xQbMcVXaaThqTuu1b3fxSFv/f3WC7oOYs5ABrPd25lVUuBY7v54ptL3OESq1Ov0w7kdJ1x
zOmxaIeCwMnHpYl19brtjCSOuTsAamObGIWGGKpwngmQkjtFXt9vzifGcor96ZTL/YHsGrgzLrKm
tyZZ8UBiBit2vu8xjVo5Wlevergo4WjZj01KIodGqQQjLTG3Ths4If7Nf+p8CcsfpwoMSDky8mne
fBJ8l0YXI4h0H3De3jlaXJ+EPf5u6L9DLLgKQAVmyXigowJ+cwwb0kFGblWne5Sg1srFBBOnU7cP
GzOgtnZzAsGmjII5ySn0Ph5z5vt3zLZsLfgPpnXvzeQhZtnY5Y1YuXRjHEEdr4MzjYbqE2C5c+rq
0ZkuA1pdD5U9PeTB1Lxowhk3/SSRfvV1laTLGgNlvykG39rEvaCEsuEBUnMGZ1lddX83kRH1By3C
Be874vJfvPp3eDUWgwySD/Dq9Cu2hs8/MwC+/9B/oGrf/AsXCNYZuvgYTcDt/n8MAMToJF3QMYcn
i3PFTwwA/y9s/zAacLEw0QGSuYv/zwAgvBQz4gW6ZNKQkPEHrO+3JpogWxAREcODFmJc9z3E+gdc
t1Ea6rmiM06VsCXNMRmXqdq3DofjKNEr3JbqZCLaKluIpZR5WB8rMSWixSxGOM9eKivTWJMIvJQE
TgZ/BTKpjTLiFJsNHaUgqphbTdXBIvjhTf8C+36zjJvsCeDQi7ULCwf09zez2e+GEX7m3J5Iz1A3
RlJpoUNpcjZJT78giIzT4McXZDP6eaHkkhigL/sUuL7L13yDr2ppYQkN0ffJdYOzuvcI+CuQcLg7
bPniRic4W2v2RquLzxByg0aFgy09ex+4LDxbJ156iZGXcoieJbbtKwKnwQ7MHlWfX6WetamrgUMO
kqU7Wnv9TDOzqk9owLGTB8cAwzLyiJ560zaQ7xyiUuAYjBXvWnOluilmoDK64c4z0aV1t8oan0sF
HMHjTetFS6HtRAYCFlfjJO7yRSgo+24Ythg8TeeTm5p3rWExCEaL7aa12P4nWwvwsu+FcdH6nN1D
L6ZHvsFQaCGuL3euJ3ZBVEQSm3eGARVulXodz0YgWPNZS4gDjt2R21CkZSsolqb4bMqRBCu3Npvk
UiUld/RKmWejT9R92ywJbhw0TePOzBKjw8OEjsQFNBVP27re5IpH0xqq5Ni3HeMvRiQFhEQY083c
VuYdERem+oRSTGlPltnz5r73GyEW0ABuhU9VJckPmQkN07h0ISR3C32UuyM+F4RRzY0Op5pAqeQq
gifs0imvls4rwsp0CeZwnpElRw/DRJ0vh5YfD0aDQ0SDsTFea/xqvWt4Selk8xVcm1bXYzKy3e9t
6P/lhvdoDaGTWryWVCs4uyunb+bbaUZkDbXTMY0ThgJFcpyXT+IteoKAqDe+H0lpp6DRwBPSokd2
Rt7ZeJ7EpFZCdEatBiik9rjfEGjXkJSNqXM7MQmLAFBh1eJh6q1racJ1jrx4XTiNQYrkqKY7tzd7
ZOEB55EyI7uT3N+hfo6z3jmfpth90FCEXIxSFFcEssbPCObhK2qF7YcpdLvnKs7lJ2HpmYI0yJBN
RsQKEs6LHybZUsdiJ0GOq6lcR22c2gseNOwW+2sznTWYINJj2MjW4/WOaem2l3qvHMx7nFhDulwO
jWUQ6Gj7yWxxUrY18ysoJd8OEos9vkzZNIjP/LHMXnDzUzdpqXOsdxHchnXMGOnMyhxCTovG3WQu
Xx6dceOuNLh57irHeQDokPD2z7wZJpdHmvi8y0U9RttO10T32CHVuKGCZSJocD/UPjUFBIKc9LiT
YyKwWKEZ4IwrM3C6LDIV3htOsx8Ww4Qzi2xy+Db1wFUAhrIZW+oOOEypjPcCZxYlzEDc7An+i9ne
5fOsaQ/a4M3NWY+wq72aUONH24KSfLyHZDEF96mtl/lNJLN2r0qtbQAALeswywXknqeSd8k5aqFJ
6SOweBDEvAh6UO2ejnihqBoiZo9o8IwMXwdyrjQ+HKnIzGNXLpOib21+ixot1lB8Ksy7dECqENJ9
StxHVfiDeZlFAQuFHxt5/dWzRuMicX2KR78ouaaWx5kiejdusycYrWMsVmTQ9n9beFLkn1pWCCMJ
ya1z2su6rCok2yrW8CHxCoJ6N2aOSRlkHD07do3HN++L1rjI+tlSn/whavJvjleZUGztCXbpptSl
aV6W7D8zAsuBWM5DVJk+4dXYZuj6ITEtzsWkWoBpaxikPqVqxik1jf2LCh+jR0cO0ZLwe+vhtDuG
RlkP91M9aRuiq5M1A6MLrSFODlYRRGvAaETfZYqFmWEZk7NOcALYg3a4izFp1mgp0DHHqy3KHbeC
ZCOmCBKtqA9C+PpD5wgztEr9SQPeWPUVFFoU1HAiklH5e+Iw4y9FF3nfFJKHFZ4Q1SXxb2fD2DbT
Ji9adU2WWvzkWLLalGxSa8o+64amW/Vk2Em5NSsdiMWbS2el9157FcSIADyR0z0xyRk9T0Vc3JsZ
NNRA7/othhgce6XC8ZXQXmJMR3Epi7k8czjVb4bRK65Z1sVTFgzJrbSLq9HTFSxheBHbZiJDT6fu
3Mm0Tm/jzi3usdPu4m3bV9UZilQwz7yZj4UW5Fvf4mwuySZBnOSBWKTSqu/YdMRj5ZQiWWdzVyGf
1OtPiesurxadycp3HTj1rjeoC+Eqa4XPQUmErNe9oDdv18WAZ4K5uK2PhWlekGfr2etEdypSQCfK
gXXXmhIQsqx3ftFMS5fLqg9L0O42dozrLKrFTof0uyYTUDxmeQviokzpHir6Q3Izld5w0fR2dBuI
xN1p3ZxvHQ0fPcJ9Zh+XLte90JK+ObFgT3vsKafDqBkBVnP5uJm6lnzbRS/XDFO2T6rOvZOpnP/W
9SI7BX4wn9qqDYrftGTfHKWpTyCG8s/ruRZ/+DfHqKYuoQoVggDyXgAhQL4J9dFiE7I1YNBMh2Ed
Mcv3H9dFb5qkr1ddPLhIEzCI+nnbj7WjOfGS0QmOTcEqmuIm3YQCTY7/Z33f1+tgSU9mAdXewnr4
+dwuk9odugBejg02zJqqt6zZlRKfHRWxYHz8UG9adq8XW1q+vE78xd8ZfhnMYS2mCDz6BUhtXaNE
eeUHaOkQbD6+1PtCFlwA20tqcR2jqbeN9CYOPEE4PKmY7mRcVIvDh4NFJehXX5+6xUPxj6+3qE8N
honuEgP1pqmNbz/Ttiid46yS6OH7FlQlyN1D6JFUI11KzN9vXuebozevk4db7DaRqfLx3hbrUxnb
PdZG9rGFNYgpk6ZT/LCgsgNXCiQRKIyfCrVS8mcdHFf98SCl+eXwnnWMRaE7v3nourIbXRW5exyG
dAkX1NBoLrS8j1/t+6nAVXC+C4jvcExOJj8P0SIyR9QdnXuMezC8CYHszvN/6zT5q6twoPTR/QJn
vMNr3N5CCKPxLK/MCzela0JiyL8YJk4As4gEPD6e93aY5A0dURK/naMZtekOvwAGhZxG+tBQOoyL
Xig5/+ZI9379Yk1nDeOxMELjsj+/viqV0TQWrn3ENsl9NAZo3rMuKUUG/Iw3lb+IWNxuZoh8/Nne
T3ZsBKHMIHompuHdjCCdJtVnQQB8PjC7o5p1skd/t54z+KAfX+oXj8jggNpEDQ5//+1i6RFtyaVK
86hapLCkTNWnuaMrWNgL6Luc4NQyaj6+6K+e77tph+78IuFK6mllwUY2jgVs/n1VwhQodD/ZcdD5
7Ux/RdF+QBOZ6gHohIMLvhd4/vuZtrQaddYTOpRd4CM4LtG+Ypla3Ag5txd1BncH8gVlshqp6+h3
Td2FbKSKtoCQNoeLmiZdbCLdxfqHqnOu6Hn7uSt+F6byfuGFC20hzWBFgvVnvtlQqtQZ0R1HjHD0
3laYRqn4nC3qyRU5OIteKqCs//hLGO/n7hKEQ10JFAnP7S0VJC7ASyL2uKPma9S6yrc4P6BU7THK
MtgyExEt4z1LjYtmKJrPUjqwWa00UDdNZzYFidLD3GypkpA14l+WrD++wV+9k4U5CU/N4tu94pg/
4EF6g0Ob9Jn15exTdOtOhjicBjVZaBW2eY3+Oxjn3diEVLjMBqAchijuMj/P+SbtlqJ/mo/SjgiH
1zN6OVNTMUzVwvf5+Ol+dTFwI/zpyNdiO3hzMRgMAfEdwXRUcIWvsioPzvTO55Tj6IJT0scXe/ep
eTK8UHF8QOrLcragST+8yjLXDNFF+nR0I4eDZZz2jCwmIqfEjy+0OPz8COBDhWW5XIoH+Ixs6W8r
owK3LOUKb6SCaJPuSucMN4Sa3/W4/GOW3p1EBst5Y8c29I4xodlVCM9qwZKXbbBu1E2S5uAE2shh
iR7bLD7PHm1bXXOBskC9rK1OFh7H8ybncDzSsbnqqzpA6Pfxk7z/PktSFLwx9jXIn29LobSaaGiW
XXdEoemvRxolp5JO9S7Wpz+uulwHp0AXERU9dORUb4ZCH+tmL1XSHlvdtQ74wPH8BKwEG2LY6pNd
qd/ih8vu9cPCaLOtQZVk6tMEgID89itVc2kZTevYR5fAom+EBskjRkTBwysg4nodqE4zF859rZT5
mw3AfDtE7IWkCVkT+8GlDYGX0s+D0S7o60MvyY6GAZI0r/XMRxW0wz5owKIMj3f/i2vkub1Gcm50
F0EMA6Gy2jjdm/0EgYEo8+lGH0pQxDlf8JqGxFoOFkPLn2ePcdSWbpftBn7/lddPWsVvQk25D6Dh
0J3NMXu8drKO1voyvAqNzWA39a0hjrKdRLcy3Y5YkVEBjXURPdNTDnAEbaGR8WJlTOf1HE+nvF3r
Rl5ej6ANF63baztlp+4VOYPavKu9ip6q7KuZpJfG1M+ApfUqxLtzCFaJ3Yoz1BJYa3gFcS3rGrdu
DtBzehz91AhtWThDscKMoEGdOTSp04N963Ksn605W1jVBdGXczgIozD+Hls/BxTXMuZLoMQChk5x
nlzJSfFnT2ugcKGIBfQO2gDHfjLQOBVVzcz/nRvvP8WnzCOQl6BY6ppGMNeSqnCmF9DydAxzI16o
rai0gvwQ+5q6EahskivIOUV9lseN7K87OC/lGhYNs7s2SpFjcQCLY90OvdFs6YKqm5ygzbPYdev8
ht5797ei9TuD8GbO/A2XQKQabWMsUNRY8JmVnvKDPLrz7Izc7i12mzbtSTOzzyRvU4JoYMJACmef
qy1iES4PDgJy1c8JQLhfTi52TFbEb0QqEkGEGq3qgHvioN2qOuXSTT6zawU63fJmlRRWZ15Wo3T6
GyPVkm6dM1ySK86reGMakzeKENacfZAS9Wy+HnqphbOoBB5g5pJDM8eMoKrCZwYyxph6Z7aMDBxp
lYbneq9w+7yo2wJMC1Vbh5MDnt8mzjUBKCNNb9XeGZXTFjsfW5F8cU93zQstbdkbXusAMHtG3xy7
QA2JSxfuaLieNZ0wTFWkrM9TrV6Cfo6u/FnC5nyF4Jxi4GasRadjZ6bznEYJnl3d0MHL/j6t3IWp
pi9zZvSszH+uCM1qAecJyzSQ3dMFZVdssP+GTxC2rsMoanx34XgVDu/V7BbM3Mq64Qvk5BHzR/iA
SLuW1gzx0s+RYy2FRGxT2/m1B7nSyBYktgWeXwmCs/bK0EHgX7c/zx0AGROwK+/M8ehHrHIsNLJt
DcuiO0GvYZqWQqPTUEw2L9aOpG1ts8CM0+uuargRQwc72YrC7G6q2WjU06A8S5MAPU6e3/g1CXnn
jiqMOzfLKjsc2iidvvkanYwNfHHTvp4MAQqcTNTGJEYbo1eyH9MGQPOZAFcwVmy6ObAh7d7yPlGY
5xgp4mtY08QtUinQcEYRXIWQJdzJjkXbgdZPBaAk8vZq9oEkIHkdS11XQG0g5L0PQDajChq/7/j/
7ZP+tk/KrPlhp3/nyn2eVtW3ru6ff5JKwz3hp/5plAZ/cczk4EA7dBEvIMH5xx0r8P5a1Dm667/2
Ql97qP9oeoK/SCyjr4455XJ089h0/2mUWn/ht0ccJKc63wn4zX/UKCUv7Of9W0fFjULaA8PgBonu
fVMxWNACSpKI9FOla3XSDCFmhtpaGVVEFr2hxCbHc7teTfgttFulgSttXNFb3xTu2t2qnNOKPtPU
nSuYSkENmRmOmppxk30wAqqr9dgZX2LfjO9LPJDCNHadT9K2+/NGj/urmQSAaJvWOF3TkdW883jk
f4bSRXW6Q2NLamyfVScvUzO8Uue6aHvrizba0XSiG6V8ABazP5MZNnL3Vh4N3lk3N7MeDoU7DnCj
Smv4O3tt3pod5rsu1lFBBllt6shfzrtpbbW6BYHbGj5DohzpNQ2y1M5z1JJLLUBY1zbn296SdVG6
oYWDQk7eQpTeG8kEm4/+1xy2aQa8aru4MpE20ty6mFYdOq9PdqbK/i6oyzepl+KCoDcpBg/A+rvM
TO+m3Mqv3IwO5p6/Yp1P8DQxClNWuu+J4GsxIHGsTW9oz2i31QrHn3I8sFuwUVSBtSHwPICl6OOf
AFDZOJuZY+aNoRfOuQzoRxn94BmHIQgaTv1zED3Mpe/dCs+J7tp+Mn3kn72lrbFjd4oTdoGszF4b
ZY9ybBMy1EwsWtBA8A6EXDWDqo5uUBenXuD5irJrTJfKJqI3jGHZqR96DI21WCQbL3Xnm6aK7VTf
RTHdmdzABLDH+HBl9iNa3nHGVsmfZBLa2Pxt/SmK9nZdmo84qU0l/hHafBcUHu7ZSMzxD8E1yi8e
iEUcKpyp8TDUNwN7rNI2Y18EXbejNzLp3SGJHTzQyqxAd/mMCU0b8+VQDDtkcuEebIdmI+yLGfLg
RukR7HnI0Aew6xs/iVxc4WyImHk9Znh7tfHKrrFnT9ygh8fcd/6qmDUrXXWOOW6KOZJhq3zygjXv
LlfOunTMQzy0587kZ6t5nNGh1xd2M+Pk6eQ7MukiZP3VtqIyvde0BHMuXK5bLrONUQWv0Cd8NvRx
3tJCiHA9n25B07tD0xJuNbtNdtaUmn4QDh7bOCOax0X/i2La6DadBpe1tFV6tIGStqNfpycNxedB
b5iapluY98FkPlW9b4cNJvqrLOk1yKCZ3NaV1+OSZVnZgarsS0s1cWxTOz41dCbW81zqm1ZMO9pn
GNmIYWvPgvejYbVTalUYN1qgwVDMkhC9+Ddnbh7RIWTQIrCDdht9RpbSYjCGXnFcQ36KzypHEaWV
EnTWkCDbp1q3+G8aK9oMUWi3mXHF3WenzJk07IgA+g8QPIZvYqFG+4nFy2Gy7RshkW2wQVbx3O/r
poEv6tw2VnGToyqfjYi6dNDDzJzvUrdHL90FR9ysbrogPXBQMde+Pm3ijLcfI/j1pX3fNc3On9R5
Zmr4WzuD2rai6DcymskxiewHF0LwaqzKbm2UxbfC1tuVWY0uSpYEJ2cMTvzGMMKgd7tVQ1tZTal/
bgto5lmJrbzuB8aK+C/7WicDYFOqtqI5KkfGliA5h+/h7qh7ulBLgmHvt8VXzEGhCZh6cHRZLo9D
S8dMRVZ2kQR9tocjlayZFcZ1nDTX+D5vcJBa+3NdXSjfzp6LZTXLh8jDjwuTl5MQpn2Tmo17rMVi
hmNklDQEbkEPTh51raOcMdVL0pfGPvY6jihpU6yIjSAYkcblEdYafgcs69e9NYpVPLvBIc+8m8ht
r2mD61uWCf9UZ9qI7zmugJ9YV4a1Kb1IroTVZxeZOciw6fN+p/OhtnrdDHS0nOQG54DgvFU67AYN
x7us/NzFphnSkoPoXG4r3LRX5Nx6RLp3N51bsbosHhKDnm0zK7e4vdp+Tuz0IrcSdgfCH1An4I2V
9XcF1P+tWc7R7ZiP5wIRN6ZPfXYPreXeiQPweU0+d3Pw6MbmwRwcl3E8COIZMTiHmrjtxvZQo7/G
0zbiLTb2hWnEzW7026+VMzkbp527PRlUd4KEdgZwTiejJOXg5DQjjjyGdTMEAi+i5MHNTVIOCoxL
STJbsdJuUKo82cFI69V2wnxZS4XmX/mdteswvb5RfLrFV4QoVpZR/ymPYuOxcHwXE0qPqaZhHmF6
8hw28EY2+ZHTcb91ZGOeWjfzV40UWCuRBZyE+VT4O8jX8yGp+z0JRUeZRvmuL/Q0jANN0KrUtmxm
RYjjBxxZKLocC+3B/mprfK/FNde/mGbdvk5KW+Mk3DbnxYCMYxplvRGZk3wRyrXD0RzOVIqLbTUW
94Yt91VUnwdyZmPNAtQxbX8rwUGhW5Zfpar2gT89Zl5ebCTPA3GgzkNyp9KTnKwDZBNjayeRbxLV
4MwXyiFdDLZ3I9YDp7CTkzrxFqupadUNsfU5qgdxA3qU4x9Cc1Zs/JyVSZZWdUXqBjTkuk3csGdf
EymhgVONtT3ZtGJbDWI4M+MqguVhcngZ9HQVWdp9oo3L9jzG69oNsGZzLkaEvA+QNapLPRZSrW3M
AiALT3M23FRYIRyCLp+P/5e7M1uOG8m27BchDY4ZZm39EPPA4CSSIvUCIykJg2N0x/z1d4GZVVlS
ZSu72m4/dL+UlSwlghEA3P2cs/faY28/AiWp38j8NOJDVKCN2Ln+YGsgI4IQWMeppv7APmtt+zZ8
L4z+ViQ+wnBnaO+1W94OpUFuiTTuiinpbvDqftbKVrtu9KpTM3ufA02sGsS2k2UgfqFx2W+sMm++
sLw6hwGJ+CthH2qLDkoRc2BY26zqk70HunIVBLVcF5IQhVT3L2FMtmBpBsYlRq30hK9rWBGOFnz3
yMXedIzxV25i569V4ENpGQyEJF3wArYOrkhQ+E++T3yCEXlQUfwkA2FYmugpaJ5CwUKeb+N2G4EE
DztuWLayR1vuGubfvNf8ejEVzLbIvsKKeJtMw78Pw7L/bOt+azKJv8YJBs6QODe0KrVAJJ6SFUxR
rJxVbar8jMK7OgAjdDgjlPFFgEVsJZQYw/XrLQOO6h5xBDRCvETdndHYwWH2veYztI1D1U7jQ48V
bCfCNEzhaMr0CojG10YG76zOORZFL9xQw3WPaSbgUdvhvg6xubiIvLa4ftggKK5BOdj9OnEt2i9G
lVkoLQhtrSy3ucqEngEC6ukKynZ4GCoxbvykec/jQqy7MU/FbV334hMLpEYw1tnQCL12SPK9U8bo
KgpHsnlpo3xpGF2eY8A5u5yz4NNiZJlwNuTBouWfbPJXbPFGQ8V7c1JQnM3cxiSYJ9hZaJtv6XvJ
nYWLDK0TRhTsgKQ4zMYq7RDy29ZNRKFi896WqiMKh1F9wckDH1Xaxwl4HEFf8qzQSOxk0cefQoOD
qLhw0FqT1POkwvmIsv4rYyxv39RkkhbMy7BFxYs4hSSReXRDoLbmnrt2cjOQdiGV7CavqowMku5L
3zrkwMx1tyrryN64Od4eRb7A2pDVIXHKejVFdbtC55YfbIQGq0RlGB/MAeqmfZ0lmY1MyFP7vPaC
c5oUyAhb5k3SD5GZJbu8b9Q9iWPO3hRv0L45MKGH2GZF9EjXqVjljbWJYL9g4KvJEgYQGvRZxPB2
KrfA0g9zyXNX4EpbMVgT68ooa+ze/QZ9UcNykrorBJRAjBpk47NMvgxkMXgc8HdmwFdchPUj3t5q
C0UBZVBanAcPw1ImAkR0I0dDtG1OjtOwZk/Mq2NFzkmIuGTvxfZ7XnaPqGrcG8Ob79qCOsVq3Wk3
ooNcq7rd1A7AUbt21cVQY79Ts2E9MXTTqzYvisex1TRQLPAfsPgchlPA1+0KbUjCQHVlZRWdtWJ+
xO+IIgqd1jqtovSrVABFRn/G1sVTPubeajIJJvbGIHr0RX6F08q5Vg7mz66BROxaGhCfhjM0V+vE
IG1hdHqkjjohELArHpWTpZscb+YOg2+4dUhR5dAduKvJyPILgSBLMqwsdqHpNtdeEL2ZWpFvK0cs
AYMc75oJKWSoPbEQPTn1CHwbZp1dl+PUXVsmBPOqGdazVkvPxJyuMQ2d4IObWJEqe+33PQP40B+u
mPp+rag3cmG8WMH8Gtce+Ti6u6LMBX6YSZQ18zEKZL9FlbbPiWAKSHcSHvR6obP60Eh126T2uRwT
lscEzCHiBXNX15S3iOnsvd32e6tyBd2q7BwgtuCcYOLyDB5dPyGUL51fR797j7r4raokz09l33Xt
BZLlY0UwCGDMMv5iGFaPkjY/tgC61rHtX8HnfA5qfHJhWO0lmyOkxqC+jiIQVUZpiivHqe+ygdOZ
oTNz3XazTlcyiE3sbRUg3tm47bymBzVbjDNbQhbxcdkJGqQHxH1MQaCPiif4y6SSb7bEs2FHwwTI
0dJqNTi4XVeJW7zkVUY0NLCt4potC0rrWNk5B7wKX6SVqPJuQFZ56I2xWWyocp+lRkzgjwUTal3h
gXzB34FMj+YnRU7dPA5dkNPohOXFqVoeQz8p905YOrt6muMzjmBvp8ruYVIziuoqvAmDLrstU0PA
HNTdeU5S71TbgTpY+SRPXRVNO3dw1INT4nki/ueVGj67yNKhwI/NG4xA/brXVXxl07FbdyjYL7SM
nW0zk19uVxi9s55qqfcdY9cy1dgATOYAUKL5KgFhxegGMQEzryPoicyDDjgXirob7EXIi+vM3lpJ
Ht14yISJA5zegoI2fGH5iHZzvjEOtZeyI31EZdORPHBki0N/jfyOY4VOEKLK8AvWoXTTBD66zyJB
lFu7JccgNROMxo/XISZD3p3YGznuUfXviB8kyHm0cIfRw0wqsMOcG49+UaLUzot+t8QJblnNJ269
W25zbN0ZzhuKqeC+ywxnTylMx8Ues5dehiEnaceUF7ZqdqGBagF+bHiGpBqsarLYNxZY3VUni7VB
y3uJ92pw9moTb0meHrR0ltyGOiOCWpvnVjbtSVf292buLhMyLGInkmdrTq8Fq/uWMLbiNlPcxkp6
jJ6ltRV5PqwNVGUrrwLPJdFznwdSHFILcaOsikvs+U9VEOo95+tmPdY8/nocd6Uw9/FAv4P8AmoZ
ksZ3nWSiYCDcRPjYfpurGiVhe5no368U4VBzbKMJbqizLLtcF0ZRroY24ePltGtsvUZbzKrsmtGB
hE/04LJ2ObRMp4E3dd0t8aZm17JGEgu/4QD41vvZW+q7x8BpbkeU18dUT9aGEvLMEv1EVGe5c7px
S6nFk0yXf932GvubSM3rWXTWPhgH2igzmy49X1Tb4h6D7DEA1Tz3nlw3QDdDCp25/Nw4Bm2TYRiC
nUWPmbXz3priiU/Ut1vpDVRewYBjiXKwBas9w4rr6AhsRJQOp4QYu5XrlG9lW4V3WWxwIwN33wyA
R1Eczo/EoNz6c9iSYiusja3NXatdf+UoRaIXB2Xjg4K3osDJHooo+RaI5lrP1lkG3itcR7rir60o
9l0bfAfVXlPmplhdxZytdQFLPivXIquzDcau73Wr5Do35JekMZJts7T+F5extCr4yXNAr2TOQmLj
INWtEtCsK1YtgnWzW5WwQK81GOURma/j35ARZYEATsDFjXGO3r+nKO+bSfGX2MkRvBfoP+tmW+qx
VJuk9Znre2fwWGf89WvCt5jdgIzvdnRxUODknbuSs/DJORNT02Hcn9XewQtLwpXnqGOaNwxAWNVg
f2mh3IKjcYP3c+RE3j4YmBz1rghQe+6UIQcFYzKh1eZRI0wsH1aHh94JRWOtSr4jF0K2wpk1mVcd
Fpg3LUdftlje4emq7vdx8393v37/rbp+Lb7p/7H84HcOF6xzSfs/f/yj/v3P8bdq6X7/8AeIBWk7
3XXf1HT/TXc5//R38+DyN/93/+MfmZZ/24lneP7rTjx+VIayPzbiP/7Rn414rKEwRq0/kij+yKgI
3d9gOGNJWixH/2Rqmb951ILe0hdHk8kz/c/+u+39hkbTMn3+ghkghfjP4il+jrVmbA7K0TEXvRui
TEyyP06wlfDgfTQxrgjX5JSJK9rrWzIMImta1Z5DQENc+JgY3Oo+rafyeumYr5oAM8C6DLtsK/zU
/JS1cp62yhrlTQK5HUiSgUo79NV+JNTihMdf0GZMyTB0A7Q5qyoKHTYBzCcQVNzk3JOIcGXGjApW
lZVf4dSVt0vM274ww2Qf+ZG/dwg0bNdxYUQb3UlvP6eJOjIa8C6dXpZauFMGinJm36tiCKyzP5LO
IwsPXOCIZJ7osw5zu7GcHMoquq8aB2cwGRLjsTPfpJyrV9oCwWWWdmSvaK+2HCCZKg+MAnbkHXo3
QzQGzKM9OKikulXmcbFGH8iLM96HSjXf/ToNb+ysDI6AaSDcjgSXrZOiFrdpUndwMWx174C+O2XS
NxlAy2yCYJlZ3zKzokJ18TDQbbSpo7CGXMdmGZ91PRvvpYcxdIXlnRHq3JTHKW2e+3Bs7rNhsUsk
Qf+Y1G37KQzbkRLDmNXb4kN5ZlWQIR1gzpweTm4Y+mWIBCooEakhNVhZZqqIUAilz8ldQPlmxt6t
LWf4DEOcXaUr8zfC1dpDOKftTkA/fZ/NLr9KTXVjzLF7kqqtif6Y53Md5VBhXV/v/DHQIKCpO2BL
TJ2luJ+xfKbqpaHGt9Tx00g031nazs8TEZmAdwqPDzqGbLIi6q5E6hqHzDWTPf7w/AGFafJZtmki
qRlr2P/TWFXbwnMzQSMAfRE9M1tiPODZo2XtdJfOCWe97irThgYkcIgl8yKKjWnSrwddJhvinwCQ
4MoZvpN2QHJfPS4irDJnkF1nSXmb4qdZOZQDV7GCfOvOE0gCFRSXGhrPlcUIalrLYqAvRV/Nhx1f
1fETcB/LA+4RO2/NODgwRbEq7P2cSghSULHkpTPz5tDHOSwoQSYWbngXR1OyHgIDVndBYU8qkqfc
6zQP+/fSt+XRVLSPhoym/abX3UStnozneabby6y4LR/DKouejcKLjROd+SbbQnkUX+kD6m6VmAPx
pWThRdt+kuKlDfOIQ13ZdHeiK5svCnnEOqwH8Spp9nBkndrpXuNOCA4Oh3PiaoOwwpQzaQJa7dFZ
gvuwy3aRsJ/s3oTFi0ftjQM/gE7BKDle+2rOD2S9Bl8yCMwX6ZKvcURmET6Qr1rRu2PYxEyMXmW+
qWG27oKkLF4RA4SPtP7fDHOoNx4pNlBuvOmbWytGXFqIqtxGQVQ+ZzFHjHWuMnZWemLqpfUp8VbM
repjEFXthsYWM7fWdcMrYmGpWVt1h/gvdFZNyvvMLtzARFDONkCpAvTBh6nQk1E5OnUKATTkGDS0
zUlWwj+5psYHZhPWy/fgZPuq61jRaIX4ayOszX2fO+m91RvuvkpNORK+0UYOcCxlvlgygYWz0H17
yyTKMSyLNNvDqMmPxCA21zTDUMQQr93eqyB1+GL9IvsMlIWcVyjuNpNBgteOUTzSdg6Mof7Sw7NV
TKICfYBOEcM9MSd942hlvFeuT7Nfi6y/nZqJ1Ag5A7qojCyENOM4/c4IkuYLrIzhW5Mnw8vklOJi
6xTEC8SwgGRZd1LROiQY+CaZwgi4qlUvQQRDhMXHACQlzPpTLElNDmQ40OglVJA8AEJCyBl0lsDB
fokeDJcQwj4mjjBbggkr4TT70SweiFzo9loRX5iiVqR3oXCZ4GQi4DBsQcAjH5+/zriMim0viEKs
llBE8yMfES1tdjOa8G26s5M3HiGKDpEB6ef5I11xIkpHms/wYOlz06ixRds+d0yCs5tojAwgXZl3
IzJcXrPI1b1X5Oa9J/z4lmVxRD8u52MfD0+cU8v7BsXhfSd0ZBGvm0VPA3r6Zxu1DI0iv+REiwrp
KQDBwyI18FoFQNNuTShJt/hom52OCzDTqXQQeDFMocamBcp8jWWb3W49FlN63RHZQTPSbzIOvEVB
ZrPJr+tJYyc0EPqVRrvFqx7SdBJKe1eYCL0bxnPWxXXLiCpubqNPTqC8Y0b04wNnuQCdD3nK3+yZ
2DNISySgtUsY2mQSixZWNQFpPOPHmA/+TmMe/sik3D2+5I5cU8LV5EfO2twY8yEW+cRxcaKlwtx2
27RRh09rSWnrlsA2qyWniGwiWiBDdtvkHcavhnC36CPnDRN+dD/M0TK1sBiqVHG1Lmdi4aYlIC7G
27dfvs8HtcTHhdmsDiwX/j5rlAFQvCdnzrIGRuvhnHwliTs9pCPV2Uo1I3Zo12yn07RE1llSDUQD
hOGxFwTaEUVQ3PZLyB3vE3l3iBoVDaolBU9/JOLNH+F4Hzl5nU1k3mCbBSPUJUgP16HYJku4Xtbk
zg2VZnSZ/XA8ajZGxDxkzZfk8plLQJ/QS1afq93mOV0C/Ezg1Ue9hPqhOSXfL/3I+kvUkvvn5La7
JgHM36V9Jm+ZhAxf6iUqULbCe7GW+ECLpKxtmyyLJmYU8gXnYQB0pZRlVZ9KEghxfuK+65MgqXFZ
LRmFJtEnCYOFIXxJlxBDBJi6ufWUTvXB9vGtrmbPky4WU9GYV5ZHP4fm8UcwIhmnpCSy8fPNV4g/
PylSFMfQDqadvUQrAmH31wlWwWidkbw4C4sZaKtyXRy61kie3dp2SdXweMXXmDxNd6sGJtu05QlC
nr2LELCBmXPGgM26E4+spZgK9SVW6FcSfl449o6fGduW71k/Wk8hmoAHsivqEzbah6b0p21hN8WR
+NZ67XeAaPxqvPfymaDy7ruTJq9Z67343dC9YbfiBOEodBra7V780MgOnh/kt43It4MD45ubgxwN
mOqxRBT43Z7dvly1dSOpY+nG447rUmgo1dTe2e4gpzWtfFpTtWIo8RB4ndoWszXfJTPnHeZPg1sY
/3fqokv6ripdfW9/rIQ+qps/y6T/t6on82+rp1RDmqx/LqCWf/ePAgp4g4mgHZSJC7rhQ670jxpK
/IZUECix9WcJZfN//5As2eZvMB3wZbF4hiSZusF/Iln6WW8cuotSyRGQThbnlc9v+K/6885sg6Tt
kxj1ZTlfzEJNeztbvPhOTn7dxowT9Q74rHmvhYr+BuiCNOtHtRQqbpfcC0Canm2HlG0/XR0hT+PK
WssjtO354sdy3hmWpqsxF1iV3DYxD23jcr6FdLDgm5pJOgTxWSU+2mp65L0CHId/20LvJD2CtkOx
xKXLCOMIhzC5IQsAmXot1WyxWKbdfI5Sf+roatTWlj12voR+bB74LWlPTYkzymuI//03PwvQGDdp
Ou9UYodwEqjN7jHV+2uVReM+GAaknD6/b22TsuXjSzhV7sj35pVjecWv6eJf4Yz/aoflvMPbJ2HS
IeacsHrSqkscpiGHfCJ+SX0SoM6MU0B/nOwwBDr+1x40vrcbQp+5hNlHcbotunhUNAkTw31JzBBW
GUCBEO5/1drIplcD04jhtrH8joTBOBhi8qmMJNhVchLx/RCbHup8WTTOKiWMjT6YRnGwMRLTdo9s
YPxN4rhC/3lUsi73HIPxIhiSGQ3RbPScIqGBAYghmO0A+KAn4jRfFV5EYQ+3I34r5im+4WBXbStz
ibLR/tTUKyb9wfNMcJVBP2sgdrps/H3nzZuWPy26afXuZk1/7dPw12tpxvYhR53OBAUC6hCBhVSc
xYIw3xMnZV44/SLCDXe16gNyuvEpnRX93MZp6tsGZzwPTO2bMF7Tam1w+rvrvWl8pHKRz2YyyZWf
l8naBlqwnG7cb0Y5Zvf4H0CGUoBuytAId4Q4pMc2CO2XzGXoPaAv3aS+Ko9pWLYnJwLPJER+T7Ss
vOtHTMy4FGN/DWdtb4jBo3VbUiNMDz5tKhIXwlC/uZWI7guZ+JuR+eZRxh5HwqEtzrid9FaDJFgD
s8iZZRD53hgiIcmvCt+9mMxuxnkqu+0BIbzGnA4E7dvJvCYbkdZemwnjVGKFpmgwS/NOaRRGQwNr
27byh8yorRcq5TqmCJbvqeWJJy/gpXIANpFsHjnHmKEk8qKxOCp7+BZFOnid0X1sw7oi1oo1oX1F
nLEl1IMzTjI41IDDuXcS9yaHr7ez+xlemgdM96CQER9BJ3iXqPLFy2h1wbXgpEnDfWiPYSbzI8Qi
yndYFw8aNsqNPbjVQdqFfR7Af1zDHECRGNfuHVwzcQ0WNHtuyiR74Y7m+3Hs7HNXUY6RC15fy9nJ
3+u4ZZuPVOyfUmXPtyRf9YyksMbBFuBkHtWBTz+4RSZsGAieDHtML8Gk7LtwNj0Iw7wSh3xUHK3r
IE1P9CXsm45x8lWv7PQzAvixX9nTYF5q2aeXlgT1h052w6c09eoTfItya4xp+ELNnD2p3mvPrVuF
xhaZUXYyZ8rnnSiS4ha3aXSsIaHu29mMcVSEwU41vfvd7eE6YgeZPo+ZJTdxaLDT18WxdaML0Ihy
A1jV5FS1iA/L+GiF9XmiUEKQYjNWcLqvXTkg8JZlfjDxKa1Kl1mXELrfq7T0d1Ziknk6es1bHbnd
2WyGdJc78PO80hnusoqhYSKD6VCpzr7DUDk9d6BW32G/9Hd8IdHNiIb/MydVAUtyKDa8J+2mKsbs
MMDt2ddO5sHR7Sr5WKdI47ntvC3G0OxCX9ZfbZKw93NQMPsdI9Pejh4Vd1Oo9tYXeNs4/k0eurI+
WQUMQr/PVkIbzoR0w6PMGIpx8UM9yv4Cj/i2RuVxbdF4ebYC3v/ZDZvdaE+Ix80pNS9eKs1L2MqQ
5JDCupvGvmOj0BPsnWphkObjTd50dU54Bc9KR0djMyPPKdbR0DJywEBxqisGQvi4ocZ2dnnpGgbt
vs1SQ10ONQe5uNU44pM3IU1ck58RrXXjTe9QS0jVGwwi2BgXZNlBw1h9Q+eJJDKTxH9KbKJNZX3J
GHgeyT3Bl0ff6UGoTN/Hfutf45pBhtBh6Fl1k2weddmFCHX8+dLT1n+tqw6BrRDDfZ5WaDF4e/yr
chimrxN6Cbo2cQOalXjYkxEX/T7Sor/uW2WfrNxaSAlN8zSAHL0dXVqKk4NI3yZH6I6drX7xiFx8
C9rS/z5h00Cm1moQNWH8ldlxtoXsgQoCAOsABPI8jdrd+IL8SINYcEncnGbOImQ2rEyd9681HMsc
Jg1EoLU3G6jrE6d5IvO23VY+VIvALdJo7XqZ/F46OEd02Defg7j0vK1TxcWbHcfBvmzG6NKJKDj3
QQkLcZzp54UBgiIJUHOy2N/QQrT5deuY4U0WFPoiia/ZdgFxOeRdgvNscQhkjkRplJPnZ/Rl9zmA
Dg1AFlUOwksDhbO2h+6Odk1wNRvh9M20u7xbILZs12Cw43M+tMZDkrikoqcVS49EGsfEwsjKZdGu
6bHMUbRtTZJ1UaHa1ynqV5YloNgyyCexyiKXfEWiLJdnYkjBXYYGBCVBtQk8M3iVGHt3Zmq/Op2u
LgYNhU8BMqKVMEf7amhDh2Vwsuh+ILuOo/Ky3ECYCbbYz21HV6tMN+ScWxe4qdkxtqDRqaQkuDy2
7Ec/aPvt6BsIcJrK3RtehgQEX+UWF5cFaCPVG6Oy6yNKNH3nu7Hz3iYqp6xv63nTDX34SbjIuctG
WzsTJ8gDxO/EYdJXO7cyakiYs/oxvMvj0t9juKvWg0n+cqQGbnvhmGjQEbc43ngKW4sApdRovkGX
tVp6wIh4orbxD8gG67XO9URI6KTJe87rWznVzQFuoHUYbUa3s4swbhgoXPaRUP5nzgLWw2iHGbRN
1/a/B4XRvRRV4O4iWT+7Te5v6Q/d2ZbS5DVXZsu5A5I4VM6BSXTWZsBIa2UcvdLSoKkQvERs2s38
ntaKAEWaR8PJ6sYNfc/hPCEA4NF0GEZl0r2NOJvuRMpmTW/DydAEK5+ORzNz/kBH3l3bMQFIkKOf
SlMVN9CMyIyKEPrt2e/KXQ/bnvkqQy0jFf7BqvLgxhf+yK7gpy8c0Dy0OhlSpGaKDl2dReh/ZWit
fKGEPLp5LNZLkuvtUNUovJUzZi5Ei4rja69hvTAou/eUSlYDsdlHz5wgwcgGaWmOxZOHI/QRpcwJ
rX9p7QmFnC/YFjhMj5xUKSYtc/jUm3n8aMoqf3QszoAOUm8iEKOmuallG55n6XFaid3oaPo13Uji
smxU6rS+0ez00RFYInN2QDTZKWsRx9M/EGnHEZNeK1O7WH+zYa3rEIINPmRE3qRcXkW9yxSjDdTJ
zdHdUl3bF+Qt03XYIKEJ5UceWjOekpKU+piD//OMPilzvIfYgzLbWek1rmzBp3ROhfTFlxT7JhPq
PCeHFyH6yi/gAsy9dZwMnxjXIbE3TWcQIWnPryqZGDobd0GNFCNMeo8GuiCCuUFXV7XlsDdtAxgy
IGEyq61zmotim2fxI7fF3nUwSNfMGLuNnXO4IYr6pndS+6Jd50Vo5KS0D7pVLGW+kTKgFV/kfDG0
OkjbZrCLs6Ve4bUqT+iNbZSTwS6Jy+mEXIxupWM92QrYz5pcr2JtemTpCSgV69kY4ZBJ0rVmqn2a
9AXtPviehNPaL5NhjUhGkJMX0MrDyPVvyKyT69orcarx+L0a2t9CPoseoLh5hxrO+AnpkXlJijyl
xTk46zlQbHM6Iduu9oHW6HZe40kmCtjphlVdtfF1CYFsFzLjuXFNPlwW5Nt0bgvqhFq1yDjQx//L
vPEvuH3/XpZ6FnJ5FJdQB5nlLYXjv9iiSWSf8rQL0iPRvJR1BkOvk5oDVmmXcdknxyypSDlLlWzZ
pvwbe/tPBmOqUs9iWMmkMnCJJlzojv96cTw4aNjmOj2KsVLvc6bKqzrNE7DSobz/9ef8yf69XMpe
ElIwSJouM9OfLpXiYfHA23Gp2mrKLe/IBE1riqtvv77OMmL9wVe8XMjxnZCGgxkIz/tpMCor0sxJ
XYuPXY3iB/zCEuU7Ep9Vpu0tidKY3PswQc88OcVrvfB2WVXi5MaIkqW4RhFZbj9+pf/uufr/d/0j
DNZL5s7/mhf6OdXvMLnSH4Chf/yrf3SPvN8CkzcEfgxPzeJ6+9MHtwRYCc9a6CignhjP/zmH939j
xm6BbeC/wLa1+TX+aCo5Fj44Gyml6zGND/7DOfzy1P5pYnfIyHJ9rPkWPRGM81jKf3yBLGEmsnMT
7/xhZUWIzo4noDXQxMZSiuHZxQP4zy/oL5aLv7ogUgQyvrCuk6O0vGb/slzQALFqBj3u2YaAvhE9
3Is5BJPp5QRExJMW17++3o8rxO8fkJMC3xfmwYBY8R+vxyxm1iGYq7NfJd4rCBAygrNMPGgXLtOv
L/XjSvhxKW419xqQD0Gvzk8fTYFiiDspnDMzWnzCfqYObjvDzyMoEsDOPIdPviSjWEXu+DeL0198
Sp4kl6chMKGF/YxChuPQT6ahnLPG2X0sA+RNK8MtKbH7+G+pG+JHPsXHB+UJFGjrsMSw5v/0QUem
L4VPXsl5qDwu5NcKI/mQmSA3+taH3VXaWZ2cMAJhXEZz2etnR1Q4f5GDE+FhleHfUHj+/eND/gs8
j/XS9zhC/LRkZiJhsolr6Yyfg48bLuEvwAX4n/+zay1JdctGsPDRfnqgYo5VecISTXjkQP/DMXA/
tsWI3NCqX379QC3f448vp2cCUoFP67Pl/HvPFeobYZmdc2ba9l1bRCN1FokUv77IX313LEI0qbkY
q9RPN9PsM8dvrdzhBEk6TRb0AGwCD6mamCVN0l9f7MNU+/NHwhwloFcsffOfkXZBZIt+Bj55xgkK
AdVGr3oWkaG9FT7v+iVopPvqLNy0D0TOlCAXjHsyPf/m1/j3J9hbUvYs5Ef8n38DlEeWsKKIOuGM
3saiR1QKtEVRGFzVFMxrs6HrsJUAPFGGzx3N9Y+X16018tK/hwj91R1wHLrq4XKnodT9uETJnGFV
IWte3iWWxjRNpJMLKsVhRLT99Qf/q0tBDQnAY7K1gJ798VJQxVSl/MY+p8hQ8KEsLFHinVnqA487
8euL/bjUs3w71PcmEVnsLFitf75YnbRVDpIfiQjgjpnmnqpfSjunyz8E8GTLidXh11cUPy7ByyXR
rfkmWzBPMz7yn7azmoYj7VM/PJkRkDOH9kTO5F8z2yO59T7VcCyAFs9QmYPMeiCbF4ssgtazT49/
2ASp1xyQOqnDxwrSOgw8eADA2uIzMeBwpKL6uy+JY+oPbzl8NA9ji8+DCGcLWL730+0vgzHDKkuF
pMmO2ZlzMu+q1DPo8mvZ0XovpjFG7ZwptLlVVk/eVvDD7pQyYNCSEczvGBURNzJyYbLS6W2/jsys
0QQlM++VBbY72Zg4TfGUiQGIhIhJ6ELRCWJ64YeBaGq/qoWa4zNqVRuNaPg4WPCe296vzpTY9gl9
LJPxRTp2yzgB0JVnW+ETjBCQ2aQQNeIgtMuP1n6iiKUJE1S9uUpRtMVdapPOWzZcI+Cb9nQy3TZN
YJqgXahkVx1N4GudVIsMzRH1y0SkybwnnjL06AYASEaMvsShKAGuQ+ZJ+1VmgLT8urTqUyHS6V5A
h75FYEefkflRnH4RE7EwCGxtb5nBBkP09IGyLFvpvcrU4mn/IHlMzLO/asJ12KHhcr0Wk7Te6zmy
Dn3jN/fKo2xyBx9/eBo7/Yr1F2U/bV52GDEJAZsa3aszBsGVExFNhVSJbzRKoycKRHDrtq2/Kt0S
aVbRJG1ni+8H9q9/r3U8P1k9tvk6dLhPhTeET2JU+qssMIOuPLtFx6PROxEYosKnDgXrwjfGKvg7
fr3IJvHwAfF2OmgAv++oJTv1robbisSvwD50IAiYbuHk+zzZToI+d1WUCBpOyXIwMTJ6G3FD2paZ
WVBlqskjv880Fn5zmQMrwxCbbKRtwuT2loyvKcvIceqrAAFNb0Y+1oRlvYQk3ei9dnpQZtZo8csA
d5DFVrXsix5kAxJ2zBh69gd/LDEKyCiTW8AviSrSM5j6OQswTRIiTWqHzbPcE478pE3MUfugJRAO
8sJ4W4uFfd62PpQavIgcOtrShdVT2/GMgiKf47VIgdz0VeO+Eg9HZ0Z/AFndSahPsT1bhxlWDz4O
2C9fyr4viT9Lp0veIAlr9EjkC7QREdBBMtUpzav+GNMj5Kfk4HSBHVTdxtSR95Dnc0ov1QtAE5Es
PF0zqjXPhZPg/8bhgMHI1QhvXDoTUzlPDxLTz5ZY9Lo+SZrgnIw8idbb1OVdW+sAhX7UFd8q8Cff
AwfIkMtY8Dr8IOVOI+PLdSdZmdZArYvtYNb0KulR1c9eLpXeaXfy3sfZFxu9QHpJKcdaT6ns497p
kJaJD55v1VXXYdaLAXGMTr7EtkFrqmprCPG4sBvwuGe6sz52cD14L3VKFvdU1vMXLx6qk+3Q5MTq
6MxfMF7KLeT+eU33mtsYRG6PNX4ov6B599tN2S+4H1P5++UwqgmXpzu5WTK0tlj6+1XP4QXhOE1G
FiZwyJUZ/Rd7Z7LktrF161c5cedQIJGJbnAnBMGuelYjlSaIskpC3/d4o/857ovdDyXZvyQ3ijP3
wI5zbFMkQSAz995rfevcp/Sni7Sujgmks91s9vPnICxHP9Ji7W6GSPYhTgcCrmes/+Syp5ukxvtj
p82L3ZFl7kAc3wZkqXu0t8Qup4WdNI52raZIZ/mXAWr7FLOA2Fo2uODOS2vmBfhzkHCEBAe1sJ4u
Oek6B0Ou+GeQleNGvUGhmaoHW0xd0dFZmdFYHKO1raP5xkqUrlIaKt5QtDtQB7RII/0TVJDyg5vF
eDJcMe1aDaMf2hCdXk+X37ErAayG5hRdWqqmWRPq/KJU78klAHVEXV1f3WZtx02tQTnrXt6onJqR
8Ei0K7Lcx8luJBd4YzhgGxI5FSQsVsOw0VmQysUFhw4rCiFZN7hPjd1Poe/0E6FMaRytTcSy1knb
tgOYTQY28udAqOkWgx8RiXPWHLrWZT92ejNAtGqoNSVo5SzpkFDafRp3LEGsxhzMqpLVdqKOatuE
I5w1LIIsMMWj30dw0tWEvOtgirR6ripuW6+0YZBtCJbMUCLVIee5iGaVkESb8cxHbZV/NMmWqr7M
1aA27WB3gZ/ZHX7dRI2fc2esQ89MNfO9awXusYnc9pCR2hVBmg3pYILxin5jRP6SVGBDTBWHoRfM
LB8fYFdAqaLjVsoDSibnemgSpmpZnPrRONLI1qwFc1hRPS7I52wmSWp8HMwmPzOM/YJ//cNkKHGT
rq4v1tUVy+o2va/6yngFCBu+LnE83oe9zS/HE5/4NfhNd6NCGxTGEMUpssqstU8Wdi78wWNWEXhl
sY5DKiBZ8NC5k36h6nK+Ap4vz9YyxajP8rRHdcCvQGw5/QRs2PjHfeRx2dXUNOpmiZfspgZofM5j
IsSaUrSf1KBlftkt8rfStYaLzqoQUZiBEVub1sGpmyIT24w9EvpNXmcsF7QfsWA56oSt/TfyHMf7
sQtT9Lm9foVbwvyYjlYaek0WueyVTNo39SzDa5exJEI7U540JA0WMsCwfTHisbrIbQJO6fX2F8LS
Nfi/GDObvWDJ22kcZkmaB9CDFhOF+LSLskI+WGlFhHIhl/sqjoJLfe7xf0Z6iS87HJ9xXdS9r7et
ik8gnibTc0odW7YTjE56bcHCr/Zu1LcHqlztMrGX8hFZuYGLKO1xOxmaraeHnpvnemSH/yKGur3q
MSKvWW/zRZG0OVJgsjTaDTN/eQTUVu/R8+HfqzhZaF442MNdSLQFyA0GRRX3ZdY8p1PHFGfOTLz/
Bsuo1GdMosA5ipFUQpzFXoYb+Kqz5wX3p1sLB8mvjQuN1fdzaVh9sGPGtOyY9aujUjXClsxaDm1v
x2coYPVjL+b2iemU8sHfp96STBgdceWQSRhFxJItib2VFSAMDyVK9KrnHftQp8+DF2hDnG0Vl+p2
wB65LzLYBZ6J3fUGT8f0qDejdmXGnSQCU9LSdjSJHraoCnNXt7Y5eiUUtXbfc+9+CbJoInNDdp9w
1tuvo9VZ8U6vwHUzEBI03JMyA+EQwAD8snRLHW8bwhH6A1LjL2Y0hbdtkkt2OXyEJzlOgL/Ksqi3
EcCEeYNUGdkPu/ONlo2JbzBL7rZuyJk9JGABdEhU2hG9Y9U5F2mPvEFTNqGj5Lz1pJUsyY2OK0NH
NVBkN4WbMRQrgOLcRZrkV8toIDGXq0YQEE9TxKBSfa1g/+2F/sqJJNEXfVeN/YkJdv15eHn9EQj2
9SXfGqFCqHe6XOtcOjUuzh/qoG8yOhrd/9v5NLAZwby3LUOZ9FmE+0fnU5r8K9OiNKAnalDDWv+N
nA753o+FFzHW9vo2iOpA1hp/6uhHnZqGoqnklR209tM8KvM4S6Gh/V0yfTtH5A9jFCxPzB1qwTpR
A2xY4EgAq8z2PWfdSzPQe+MDCTfpdYnjAmsCTAyIS1UNHalviP6Sgxo+dCkFTBfOyyaqACV77uAM
hNR0CUZECw3bvh9nce5lWz4XQzDcLDAmJxT4xUjc4NLYELkY3e5iWAkHu0mw8zUpWbc2Ivi95fIR
N1WUTKkXhnD/toQjElkyz7a1iybkZQf6WEu/JayEmOaege4GO3H6WjNZvWGpH3IUNvl0EwQlugIS
OPjueUUttGHxSe1jOTdqQcreT9Ue1yf/VrZmZZygeVPIsePPR3JdYIzkFKpo4/iAVEXBQrh0Wee5
vDOwdt+5KgnPS5ION3XG4SfBlruFXOuwV7cl/qixsQ+5S5noJapcQqTYHbpAh9PvVlMNWKQrmRqP
XVV19lIhONPLrj4Ewoz7fR4YmMj3TJzScGc3oL/1LWksTaF7KcX1tSRAoxAe0WvaUbWiJIi5CmsQ
KYlFg6BI/djJ6IG8b6tMtfI8pCypDcMm2mBmHAzTdVoPyiWYJIsblyEbQIVdhT4r3PSStjqHE2hU
wU0gZm03BGzHo2eynzOLqXsOM5etrg3RNkSnZ5cHnaZhQCY8TuptrdphvXHs5bAwL0b5NCUE/OId
G7Ph1HV9X+nXYs6TTgJFa9thXAjsHg12tA8hwx5jeZ5iTsbNazfWXY5Pk7iZLLh7e4r/XfB+veC5
0N7/mG38ecHrWfH+c3jJKwauzecfHJgrFfgPAbH9ZqqkP8+aZ7CGflv1bOMd7T4WMuI75bfJ0O8Y
RPMdTGtyByhGxJvA+I9FkPEPeXH857AVBSEduvxvFsEfO8wQ+bGA0nRySIvjU1C2/tgPxGw9Ifzk
BiQGC8HlYqEDtMKn7y7LX4x8fmw6fnsT2MxIiPmef2Lkd+WgVdDTlwP6oHoz2e1CzM5ge2jjOv+f
34rN4buO+de3YrDEeFYxgTHlT/3Nktz5OqHcP0xDTAwPR/0Lw8DKL8oKiyLI7kMOImQ/LabagGQq
f/H2f7qcGMz5EAxg6KRLpOI/Xk5KBsccLYPSohgfjNx+7yDk+edv+HO3kIkhAyYmVnQLidj8uVtI
12/u9UDUVFjjAyfxp9YVpdfTgd3oS/35n9+M1sDPFxRLPFNGU1FzrkkAayP9u3EdwcOohKANHhCj
1id0qIK0YVfLT6kZ5KcMkJx6SyUmL29NKJYgNCh6XBKa8rRh12s5gG5s5l8Qm8lUP/YjRhnaSIML
4OAtCbl9S0U2alERQY+FrMGKdIT+IH8zknEfDm2HFG3t/jSdbjzNrQtBeHb7fIu7Q15Hde9uQXlS
auvz9DQnQXMZ07kIN0whGlLeaOU/WOhz3sezTW2RN2gow9K8MTk5ny2qts2gIOQQZxUiZi3EJsyp
+9dAZSxAZr0b+mU5IjW6Aicx7GSef1F2di5j9QlQ2V2Hi9QblZOfKn36GKK/5C0Sy9eoIjc5RNBt
Wi1UFvWac1+Irdkm42dK2PpoJ9ENvVxtG7slKHcj7/2xHK3rCXYUsj0rOLGrPdmaCE5JFFNktLDt
4mEA8qy5DxND6e0skgTteB0+dBYUx95JPZ3iiYwrnHrTGAwHxMqBn5CKdFW0JuU5XIeA/JILE5F5
6o+N1s1eOM6hi5A6AQEY04p4qG2iMiKOX57hAGCuSM6DkVqJQOwKKlDrURW29j5Kh+amKIFc+g6A
84dSpMMFLd/+wDkSW2zTwNsm1yS6CPK6uSoz+mBGUac7NDbcInmNn6ssZy8ZC4FPtDd21C/6kypT
Z42+nsBBxEb/3Mc6AEdPn8UlYW3hQxzVBH7H9OsChGzbqLZW7Xe8BjURAH4ZBFFzVy1Fc5s37WUA
XvQZBVj3oKBDHQAxiCsxSeuQF9wL+IjiXd8V077I5XOUNiYUkRiKT2LLiVzX2L3T8S/vScttrpZQ
K2/XaHoDO+wVsu+q9twq03fNSKO8tMyQusqqaK5PZrxvXNVfoFZLN1Rp1i0BabsgkOD1g84W6ERD
hKZphG/NfD8N4UnlwXrSHO+qOX0EqBWiiEyI5wY9dYEUKCVPbKAx2uOUIuVO7A2Jgwx7ZHaYQfsc
mUvVFzPtNCjUoVne5DP7Bnc0AQ10jUP9Tgb1/NIiuFuj8orLIUy0iy60jL2cXMgYGTU03QCY0EgH
7W2t17xbmEp6Zy6KbCpDsjyCKiJmQXOCZyftCi9wQncfBsF4MRHIjX2qHz0LG8O+pTnMs4+HyVA6
Qtign7zcTN2NtLLxhHxYXK4+sF2QWO5TCR8LMExc0J6LXjDAv3cFfv6w6/RzjIn3YAzyI3TWS83J
wvu01PEo2lxpQEOnTlEQDkHabADAdttgHFLQMgTRWUtypbU1xCB83Fug569kw4EyJRJppn8QDscA
z6IvNP0OwNKuwzdIKwgpcokpeb+QSo+c06of4WvbePraUdtWdVPueiScL7QBAOxFleW3066uQvlg
mpXrFSLFeVDYQ3vba5XEuaY7xzgfJUCuCIHaEBl+FEFWAU9SLddBRlMJCFE1P5bCyS5ZkJajIBkQ
C6D53JSYoA3X0ZhdBKVHABiueD26DJ1iH7EBQDTQQSWEITz9LBfFdZs7x2wwHtMcHboRCNzWSPYU
jVAcvXALmE44V2GQfg5wu3tL3fp2b6iXXlcVFYEcbuje5e7GzHj2WBKsm3hOpksCZrKjlRvNARNb
ui3HZfxQTjREOA3xzjoyz9nLLB4gIE1T8sWlg/5eECnygCVd3UHZtxDfucITWZ7QZzEziS096nwL
TSTPiTW9UjJgxawLhnRt4aUoNp/MyIRZ6KLo9eomW6HMk6ImYPVAIELZtdjqMpPxWOO5XIabvHW0
A34pC4iM/ckWEu/r4PK714GZQJhx7IesncQeJjtDCUPN8LJmQhBSBY/HcqMDDhRanVNvotUwzRsr
Fukh0sLwo2P6BKTP+2yOuPxDND0KVq4tTi9nx0XKHiRpiZ6pCwTrWpca96q2fIuQg/cdnqKP02BF
11ZjLe/bQm6JWoUcnFRNc92LqgMyl3Dn4SA/gJdoNkCbtS2b55cibY1NgMhrh1ujPWa0wo9DIlkz
ajTJ1gX0GUqwrZG1/ddzxb/H/F8e85mDf3cq+stjfvmfq//3P1P8qfzxkP/2yt/bG7qkO6FI4nDX
OJof2hu6+46zKANpjm7EDH+n85LovJj62q7DAW2VeXGi/N08KN5JAyOOg9DEBk9OetbvnJlvZ24Q
NX8bWm/+dDRF/sTbmxzkTPomZFT/NGWuE5UxACuSywZCz/yiSsUuXTBoUL6OpaNggR7Zy+ZDjOM1
146lEQHd8yhFigPBH/oe8e/82qCiBqqkV6Y3JfOwXEyFZX/mQbW3MSlZzVIfCnaWlLlzmo2zukes
ujg9SWM9yNH2NcNtxS41A7Q2farVJHJv9Fjr7Luh7AcI65XVgV++lwWUbs8acb49Q/7P4nld5XEb
NlHJuOMUgyfwJsdmlxlyc2ayEi5mOjFbGYq6cu4jg44wTGtEdjoPOtgpTqRo7PP2gYa4JXwnUTLT
38c1w+Z+X1SDY9Cc13Nw8OTWpxAZ9PpTpLXNzq6r+dY0sgIswzwmvNSateVjVSAMv3q7sf59Bn/5
DFqCwuLvS23vpSmzuHj5z+vn7D8EfHTUMZ/fKEzH1//7fwx+MF7+7UG0zXfKxGwLz2+trt+etm8V
t6N4pNYyHFUVvR1Ul3+0HaEbASJCbYnOShq8jLrr9wdRvuM/Jb+dRAKWc9f8rypuqtCfSip6nwYd
R/qNhkOWlL22Jb8rqRhhY6/K2uSAsJ7Zt3BXw+HShkzDjaFxJ78bKsYgjm5H0EWhnyHoQ8YGg2+B
jeMZI0SvnVyQDPmlWYb1QctKAW2XKUSu0z5HdpDHpnM5B4RcogkX12y96tgpiIC4cziuQhGVxyEW
HEfGhN4Xzyoq9RwM4yUjEZqQrcPwTl+I9AC1jTyCM7pzKSLODJglxXXuriz0sggta9OX9Pf2Robw
w29TbX3JW1pMmsTzrVF3yBcI6oNaVq0RkV2L6iQElvqUx2I6N6vUJEjXYCBZTTYZLkaRlthzm9IB
GGcjz0DvCNk6X2UrEXMZDHYoXSpFEPkMJrZnlMZuv/kqpDCMEDmLkOJhXQtf7DVRpiy1/iCHSD6+
qY4KSRBSK3UmknDMxHW4ymM2qKiDp68R0wACmLjabgJhvwLo85o0MVfga2xyi3iJwzRz1Ek2/Gdq
EiRalab5Moe8jjM3H4DCnE87wq291SUx6kkQUST20oqWDd1avrVaw7mcVJKblOh8dzczyXru8ehc
Wwp8akEA67VMYf7g3BCbZoynqySIh6MsyQ4iWp7X2G+Rm1+nwfmUo9vgvuYKf/1BMz1EyQMVxX0y
+vUXpsJCRaEvbfuBSQpB1iPickFTmEobZQOOozstN/gKJWQ+SBQDA3gcf8gdPAJwuOQjMblgMt9y
eFjYNdOzNcLj9zQeQWFU69HzfWO1hMlk+aLBC2WOhCqTK6EPhfs0Z+O5W1oTaQFSFO9NJrMYbXJn
01tVeMgYQwM/Nh4KxQ24+qu5a3Nu9BR8brDDfc2fhDSHv9tRwGeL1puo02l1Rxye6DF0A3eD0bT8
sq7sbOm/pdAT59arK0KK1xDbECFYqBkIW4KB7W1DGlH3ihIfbozeoUKKxnqVpDCWXXORCA8Bhxuu
W1lS4f0ogDgySmXkBDKGW9TaiFVdWsKyUAcyLORRSwbG9/Mo+dzx0qOaySF4weqGuQ0onEbiJhA9
mU3TSvgq8N+xMa73yUwT/7lffyKGbvKYm9j+HNHyh3W1Hu9d0yBMW5EjOQ+D67/JpOBQBk9vt3Cs
EcA+r+LNcn3Yk/UmDaxhOo/QlntvXNPd3vLxwEzQmY/ICdoZlnIxH7tcuDV3ByFN5nDD9FiWLjIo
GtwB6yPRZ1W8h6nFxQPQzY+ts3CwP9bPDBebQ21WRPNYvSUeFLinJ41AKUy6bcLEL6nDHAkYcgNo
l6S9LTQTQM6aI0rhOOfr6KRAxe3ED1rDjeF50HVuME3ykLcpMHLIxwphgdHxrd90DfSpkKhFpXs5
lpl7udTAjDfdW7htCeAfCjX+TpC1dhvJ2+QtZ0xr2pn1NFzcrU5E3oHsJR1zfeJemvWkbeUYMe2Z
ylXnKqcmHHdLO/eRDwGfJ8xo8jWBXbJi5UY5RucZtcgVQDPXj2cExpJp5Tl1WZ4RAxEBn4uMPwc8
ojpClwG22uGG0+nVPXRm1XMFCaw4V9zoINDwKD+naJwOLtX+HsCV8fCWum5xagrAUyXNct+i3VeH
qWeJlAtfeEpXHZbmrhq9DCD6Q6CDvzyFpY04RBZ5huI6SFCo6ku879UqcxtGfqUsXoMYY2JffUFO
p6R2V9zgRMXxszZtZr7oEGEA1xZo2mrUrg+EUYy4JBuQ8pscgzPGuhZJ2ls484hBc5Ws1eI6xkf+
kOeUvnQPqhUe4653DgTlcj6ppOGPN6hiXsO0JHA2Mrm7scg+4ERAn4ItLEHh2jeHXqwoo7d7XhmK
FyGF4VMaqIeg2IIjvO7jgVg9NK18T33dRoZR1N3dAJFiwqHZsr69Ce2ySK73o7sKS6t61U7INVz2
65KWtCjEtpU9shmZgdP0x8RpYdgw3BkbvxKauFUWT1eWpRTJ/cjllRlqs/WJywdHPY1FN2Hrr80m
2r2trKRICwt7pVM/iRiM7tMYEtD+3hzXaMVMravUm79BRZ354q6500lf53ci6g0PT+0rTDX0LFW1
bgYYMtmcwUdgA8Xmdj0uJgtZxvmhR/mAnn8zRRAPIjg+0Xxg+ZH5uBVhzxFiE8LeFp6FBOgiL9oO
76cdTCGXJHazuyXJAP3Fme0gYdLCJ7ZSkgA7M+cnKlZZbtpPrLU8k6BDWWJKUiMNM/Fk3VivZZE/
laFoTswje2TJszNOnENk84B1BYzAuhERUpE9xHNYXbDHOLeisPWAZ3eQmOeJjqmF6K5NfdVxItH3
BieMHmO7NlEmFsHHujMIaCxrhmSu6TWd7ek2DIJx0+ci15DIdPOxjfqKqAuXpsMt5LfSAzj4Hprc
rqLvtdNQ195WyDOT3D4HzJT197OVVRr7BIC/4AjGLWdVTXjClWVtF8nEdlvpoMaADS6kkrQdaB+r
VokH6TA/CDBBETqViuQNlcpdWhiDS7DNsgO7NcJ2j1LQ+/Y4Iwgt6IntZgtq98Hltmy8ECLrxOWP
3ItOquXGmTr71CYu21w81StfCsh7PopHJQYsxTgHb+IldU62ETjbTCgOJZFT+qGDfWKjVxOZtand
XwA+169sGUJvbDVzeslUmTzOdv5IyludXWZ1q+7qlJwVrWtHx1PMj3fOIIcv7dy4v0UOMtB2RBK5
cJP5NbETW6eZGyIlEvegD/WwnaeOhAKnmggnUlA0GUUnV04TJfMV18t6TTqn2C09Qlq8frofxuOj
u8ZJpQA39nYwfkS47plxYv8W1tN8jsy52Aqg8zuZ2skKdG/uWvg0HH8KyzenfPqU9MYDGlQmM2Pb
XjlxtNwBJjERi/X5DpWd2gfuQPPZjZUf1u1D7fa06huLk5Hf5nV5RUofSxRwd4/0qsoPOTec+rwR
JwM6HZSYsj2mbq8uS4k9m4tW+ANd+HuSJUpItrXja4QhwGW2NIZDeXqr4KORzX7SllTcsAkA9lJg
jQlqtI5ZI+e7ENa6LGRxMKgK9866Q0gUa1hq3f4AGgdnKunDzy0TqC2NHvdqScy7PiZ7B22mfk6b
xLks56x7RCarXc55lUHcdGxeNyIC/q0bMnqxAUPdUzcVNU7RrvyQrJZO2A0gTLm/jfTBaALnYI9S
u9YBv3jsvDZudrXrbZj5SZnmx1G37RctzT9MWp2iryOfwhsaxKIa0VKkmdmjjqS96/d6kEae6aT0
sbM43C7MSAiuirrjUJivVRQq34D94olKz9bVShznpJEvQQNpeItUYPqgSsPndN1wEoz1Yjuneup3
jIsegpoVhZW/yX0a9fFGiw2bwfck98TFzNvWoG9ojiSEXEa9Rj+8kn3i9iwkTsO160z9TEZHJjAz
Zw0QSLtmOn6OAzHBqk9ylR3spR3CVxb/cBclRr0l2rgi32AgtSCMAir9MpTBvrMijYWpia2DAw7k
SaO35rDtBYYFkktE26bqqECi2qdxUV7FLc9FLLvxqULfcVyg6WxIwkh3YC8XH8IH/zex452FBOJx
DCeHW5zsTqWdYqZIAwTvPgfbhgstvERYfR0NXft+jTe6yBvnykoLwm84DdznvaF/IArHajaEdwTd
Ka3rmeATq+r1Y54SvXXSarEYxCLJxN3Rburr0U+ExskJor9EadC5I6dZhmgbhg2l8xzUyIEPQZKM
FXKpcQZkgtS/Wei3JtCaTA97D7DssNX0MSRjRu/lsxPl7LprhpiFitaRSCfGwMyBazb8c1rt2B30
N6H20CB79M2eMygyQs5rxdhyELEGxd4U11U2n3SxTOfZGNHE227m5fXIsZxpQPVVfPW3XSz5k2QH
bjT1vDKJXHfQEdLJ+ql2HpBA500dHSorZMOkPVquUIgR+cjEIi3b4r6C7a6Oc8kuup3oZaUnbAbD
uVcDbKhoQGqv66uenoEm27ToOFVrMWe6UC2cJuLVEpIFWPk3zVp6Fq6O1FkDBs5OaTcTqHfaE69f
z8g0+PF9vQn7i7mazlEQg74aEvwl67byEq+B1IiuHWwIhLVwIPuuCfIXg/U/W4UFfiH+IioR0ZSw
fxp3D24YI3tzMtKHBmic7jwh0cN7wRyqMV2oo3S8SHyb2voF7dB8rjuK7jqiKI3LqTnnyG1+8Yn+
6gdC5QUlTCFdYD/58QfSTKiOPRsgKQDkvIJjJrK2o7fy1NKrIF6E9GBqY4M0eEBn8lgNHJQLMMbZ
XqCrJCuwrdZighP6P3+wn4xB3DjEKZFJTusF99mfHIKMPrO46uLkEJSg+rd5Wcrp/aKWHmvivJDA
rnKXc2xZMASxNgRo/coc+he/FXpzsX6QFa2Nt/fHKzNGligXowsP5uSiHQqKNoy3vSsC41rQJQ0p
U4JqH8s4Ci+6KlgKeqFtcB0WnXhw9F5cMxqlHvmvLwvDNmnqFHxM+H++gQrZB2WUqPBQaBQNyCUR
jU8x4Xec5YMM+JbBmbnPySneakP4K3/j2+P6v25Ac70YvL21/kXxhibwx2tSzHYKkAW5lzlnFNGJ
qGemKS2U74QfJJpNEJNydORDagfaUayFW6GAGsG2qivjBqPgkBIOTYBsdOjW3ktV0+L+ssrlz2Mh
2aL/+XIZP8shWH9sPJ/YXgECWi49+R96d5HQ6ngebG0vI5M10CgXTElOv5Y6xcRywcLvXhIGN2j3
hbHQPJnyiHVgBmd3P7kWy1MoYaN55qKhokVv5nisTvx9IlEj9N/aQ9LAxLQZidGYLiFQEtldhnTA
vNiuhtAPByxby5zz7kQc07yx0plxmkNB8Pr2Zf/tRv+iG819uPoK/74bvX1Jib5960Xf9833nehv
L/3WiXatdwoH/2rLliYKmtXs+rviVUcMSwsaE+w3Mv8fnWhlvoMHwHiXHjF95xXO/53z31lb25bk
PtRXedFPE6B/mggZcn26vnv68GZi96UXLhCw4oQV683+XSPaxYTUBUGtXSjKkTtGR7m/qMY85tmS
+kBk2i0dGeOMRH3YO6VafDHMLjQpBzVjWo4PAJBzXNAMTqjGnQMoVvxxnEIKj3oUTYBVRMB8w3NY
ScachOwEqskoMCiU+/R2pNZHzbjmp6bYAIkDIMamVS4CmnUerGAMbmqVGfddAYC1qghmXWSYX6tx
aB8KSZYLUbNqO/dN9qpr4Mgc+Uh+xhdZdfWG5GvcQ3N3TtBY7OsR2DKZRX1+jpOlJxPSQTBhc0Kj
FMjT/UDWJcGWxXQ5j5Z9zEOg0EmyQBFsApeIkF56SVou1jbkchJTD8mFQzukrmGa0JVhdELtDtlv
Piycnny9InWuMmvzUm+cQ5YZ50pHniU7V1zlqbgoginfJhNH3hD3sZ9Gq1GkdoJdR1nqccOUPqD2
Bi1uSlIARz20GIR9FLCNFjypO9vU7FOeEFkSQPzf9Iqw3smA2n2YCkRpqE9ZxdNsua9NVPfjHD3B
BzUex9y0jhNi+udClICr25qu2CzL4BrguaH7Wclg3/VWlYx+MRQBzoyikSmzsBi2mPaJIQEepg0H
Lm3Z9VabcIAtynbxdLOk/tZo3XSbDk/cuZaFA5GamtgfnVpOWCaGetznlGYHdNhAsPMCHmPMVnkz
5UV31uyOtJE51vKoI2GslQMhuLF5ic+LhAKBDtnX0oVEL6xNebZJepVea2R0VhpHs2kKl31ZNUuD
zCiBMBAx0CgdJowb/qDWdjkqQ0wtTnZQdFbzXBqBeW6WasRN5rZlrFHwNmDAkvEuQKkN3owUwPAG
2TCZiDs3iPR+2RMD23RnFwH0bD0S3dTq99owW05IHZlkuUunKwfSssPH7yDK3aRWSazF1RhzMKxx
WAQFUoZMF+/p5Ux3IxDjHEtlQYlsxNj0vFQLJ+zFpht4Wo8kjhbjoD1FqYnywljsfN50Vj7BUUPH
uSnc+tVcwnrZlrURnIssAuHNSgJ3LaEQfQqQQufXWjIbwsvBUN4sw2gNu4y2BfE+dVQCzqcoPcE3
jQ5lkWkggmgveKPTQ2oOIhuFjdYAUCYQgJNrbcmPdaTgkoV5eFMTAH1jAbZf51SVZ0UCFBMfQL/C
1bhqJmrdn3CfHGJchLdW2xRPMDup3WxMS8sGCGNLWeqKBpFfAuvdoUnjVLY2wrrG37kJO7TzdOM6
NnaaSfzkCwE3iSm7mXbaqqPR2+6Msrq4rZ0q3NuAUiMxmDd4HMOHIKumiypDRrOptXD5CmT4d0v8
xZYI6GN1T/z9lnj7uSjaGYBgEb98vyF+e+Hvo1mFdpmhJ5woFA8O/+uPDdHR34EPF2xEloE84S14
5ncxtPGOf7TaPvBgolY2v3OEuO8of9gRsXjj4WCk+1/tiG/i2e92ROTQ+FPQVeuGQsKLLPrHHTHL
ZbvklT4fUD2k87Zfk5oJaxzltRFAel0HA5iy8xwB1G7srNrdsKQ1R+WUQt8tNfoJL8JEzSLadpm5
jWD4aJs2DXui7T5VQxfcjJY1X+Sz0LFq0XjdEE5uElGjtdBbxQzwkuzqiilIKzTfXmbahUYU0LWj
T4EpHkz6EyONhie3jq45pOq+rS3LY2CsKd2KIazfuEQH+kwca8ITGvYEvXZBrYpJt1+WRFrIrARH
/k0JCwgjcwXtmIUr2BLTfIhJOf2sCRF+GokuuZp4zQdzLpN+C3BXXUZ5FgDstFudhxnSMihMM6QH
pI3mLSVNdjGA/ruJy6i7GsZW24sgAYemB2Q/lt0w+RjxU8SVYTKwReEunMh92WgMDVGx5S4p1BW5
6kNmyken4TIjv6OB1YNHXZGvkPTwwR0Mow59w+XKq1iJE+zB/LbTpLXrrCW/A2hc3ia909yQpgtp
btDT4oRKoPISZwm8dIzArXIW6rw1VYXIklD38cmM0QaWMileBd1jdDrdZV+qDy04hXuBMM3ZO5wD
UF0xr8Pljc52T4qofJqy1Nihn3P2TD84vQzwJq+o0lDmSp3w2RJMt2kO7dm2SifxLSswT1Ib9S+t
ZhW+ysXZHm5X08u2HUmtUKF+q/qViNyWhlyLwv5ZMPh8ZA4z3QxtYgK2QVrcOp1n5qnGIBRAgSym
7ERJG1y6VVLcmXqnrhC3vY9HZW1p46Tb2epnSJFhcD/3Zu1bmpkfRh1uXSnwQ6dJcobNrd+A3bO3
AZPJY2iRwphIxyfRdfSiXi+3wVLmYKyHMjgkeEfZ/vP0C22XTyJwtV2pGNpuoi4TZ25yKBDTVB/b
RZBqn7nSF4jiQQkYamsV5l3J3eaB6LhAsBptcqe2YFu3HxY0C8SokoQZQfDYECnPp2wj0wt71Myi
FzFq80j7QBEbHitohGczq/Cwc8AmDrql56pFJEGJaWD00jA+H2ruG27bcTNZs7GvZtTPfRFx0NPB
NYDd603fERSK89iZGxJEAJzuLZXPoXh0gmyKdyjrRzCApliU1W8T6E6Rcx4t8kIrb9ZIa7w3jNQc
782WVpVin0wj8SQU94L//9k7s+W4kS3L/kr/AK4BjvmlHxCIkcHgIIqi9AJjUiLmyTE58PW1wKys
kqi8Uqf1S7dZpV2zm4NIBBAA/Pg5e6+t21l65UjdvWNAEyWflLWUxF8aWQFM0K/pjJBRPHP8Mb3g
QxCffGzVelAQYDpuZGQipoCYpNlPaGWr7DitaqygqJeMs2G+Z1V7Sed1/DCmqTV96JEtY1GNYy0z
CQYH6fM5z3u5VCH5NxU1W2J3YjM3RPAR5yMUb7YBm/Rn6BnxmpVqwGqEnlpye071zPI9LwbdeiNV
nL43zfDEC/KlvG1bmn0eH+besz4PdTX1L27uwxj/zDXyB0LVh74+pX1lMgWporyn9CPiIT+SNGVr
FQrcoY8eqnxwZhg7pnA2opci4sEy1Pafb17/z3h0D3XJ/34ZefBvf9FaOPxXMsL/I4lxFn7GXy3V
N3nxzOv/x2X6zx/6a99q/Qu9E4irv9ZblsH/2reuKkfHcXlpvmkS+U//uUy/SRnXth8dWvHfm1bT
JFEOIhodHtA7/Nw/kzHalAjfb1oNHVaODzKPrqdAyfMeICXH3KuUY7Qnq9dUaBJh3bOPw5jRe3d2
UiUgNHz8iCiNkgWJoXQGAs7ZlSA9dAQdSAWFiLEfC04a7eEDMMsc5rYAc+On2W0Py/PLKFP3s704
1SkxWNX6KRMsgHQH0WKk5Qk1PPLc3B/Dfsyqc9a0wBSqpKmvGYA2y57VnbjOZdzESyKaXckQ3v88
pjPB3J5OQCbNotl5GifFtHQWtsvYKU3OmaiRYproFwkoiuF6P49rEAq7WzJRalnjbWw6gJpn5iNJ
H++A/+jWBqImcAdGinTwpwswZyqvHTrppbnUBAfS8FaddDduNWdWdMBLYEq1JU5Yx8FToRX1ioAd
BKC3MB8Y5l48QVDDFEQF1xNE7FwObD8j29eBuY6ji5abakR/maaig/iaJ6nNOInRhs3Qpcpq3qvl
QEQzyW8Do7KAABkyOFXvg+MPEm+BzR3CLbaWTe4Apms2Mm5EQtGP+4SX21dmejMcoU0PdMQGeYrN
JnCFNcZ7katIXtyy1476hL1Dz7woAMtLnAL+nSDrkuqYaNq4j/Gmfsg1Z2Dg2+lwGNie3BnFZO8c
v5mf3SbD+IKiaTPncxKmNSPk0Svzs9RSc193Vkk8NdOxvBrZzbZVDZhsLIajNyqCYgjWLsuqDtFy
xTe28EHhJIUKHSvOQ6u3zSBz4vrQLQQayHIqP0WVBuM4j0ibXbSxuSky5yNBr/GdyUzzlkhX964A
Wv8ZI6yCK4/XRzaJuuN+qBEe1Okj2vXothD1/ClPGk1spmHA6s+4OCRc1b34fh49JsTIHVTiaDca
/ds+YP7p70ZXmufIiYq9hp5rCQ1X5vMjogjYL1HhfGwdo/qAOCan+IySmOltxkZ9gwrAVZuajvix
kogkAx+OAyHzVX+cwHzvpyKPH1mqzCt/cVmSjMaeHmjzYir2Ghll4ZDL4tWg9igCNtAsA4gTqi2p
pxCEUEffSnaaRznZDxlOk46NvBlYpnLPa6EDAhq2BWEcchhvkNKJK0Op+mBZdEr6bOa7xr0s75LC
qaiCFbHFkdv8MYnkk9GybPaF5534poFiNZiw564hVRGR4F0Ec+pESrJ8iA1zeRoQhRDGPSnxktVS
v9KWiiF125ruCWyAv7Oy5hv2tOgAwLLdJsDR+Abd7IOfe8MTgQTFJ9CY6Sdz6lN6La2Xf2qRTxNh
zBPmaL3cM6kRW9+d+l3aODASadSUXlrsmZ+Sl+VX9mlSZB0Dj0VYhnfC14gLoxmx2OihA4B16W0V
ZQq3TaPkhowjk7uYwVJie6oIUshKoaW187aeBpK7IqpXrksfuJgrNrGm03rqplOt+1VozrZ4tFzN
vOk1+TFd5Ies0dyvyq5JLsMrprO7n2gcbATV7wPObeuqRIx1poiEiZV1UQj66uhbnXs9T7Ll0Ri6
DwsRECFCqvrFGWhGNNNS35qRv/zRrnGUwPsLSvkSJkicxdbHOLHIoG0hyqzBJwT5wlq5Bhg3fO6J
261qNCEIQMkyzw1j2WRKngCCxc+dmaTfignFdze2ZzFE09Z2JhUm42A+sSVKD6bmMs5V0zSfhVrT
MkgHJhW+FxpPnJXgnEbitQOPojG4BQJ/l2cdjJqmNxjwrZqXEa4rBpqItmWQkC+mDiLp1X09rV35
PJ7MD2zYvD/yqWQYOKSrJslbRTx4zOZ7S4sY5zMqfx4Qq16BpmGkOPerpHZYRYmxUZF8O3gJTp4J
4Lq7Kp9mavqLi15gBotG3J5hMuFGNoATrPQY8TdAhc/rJu9CxFbOLWqTf6Krl5Y1796YnNVpH3Ub
filT3Ax/CLIDf8/MXZ21XqQb32u8F6uW9mutWV/TphVnA0tSv5lbGkiFD6GGsRwPuZZfg+Xwrn3a
e2eYK6RsZMtLomPPbfWiRteqPta6/ECbSt94hkxgwDNMSQcn2aVYX/c6qQN3rSHrreaIxNxY3dQd
Yi25FPkYkwWdRqGspIG+3rb2GRPnHc/7S7ZU3n0rMMgnANkeYhePvZHI5jQBEtpKuKjFNRksOOq7
aryuKz0+aJOCmuWUhFRYSHnuuHPLsNL96TZlEPu1Vcy0A9EYBWWP5T3GTmSd+IT49KYGibLdUBcX
uV3elpFm7wox10ej6smG6AjdmDs9PWsydgOnqup9P6ghtAbVfxag2sPCo082uvmXvjP+yNoGHAvL
43mcyngInG5Kbi2vLYOqq2GklwkFtqm6V8Mc8y0Yl+FDpjv29k1cVsdevqNJ4IWm1KIPkNe7CwTZ
fj/5ZsunSOUNnjzTIMDFl3jmRElTXCbacUL7k1rINKrpD6lbxRcSPoddDALna+kRJUc8AN+r531J
vOKbJDXgSN9u1VDleOFs/g7KuB/M4AIP+KH1o87IKUT4TdexT43z0mjZi595ZAjSQtz3oHQCq4uK
u6wviKYghWkHpKI9DhQk2wFb78Ek2GLnKiovbSK3gMb9eJWWNYlMhUIX0huaRk956TdAKcat6XbV
S29P6YbP/oC10tgMc+IcptFsAaVdL9bUHCqrzNc+hNjVhv3S6s3dMMBFq1Iy3q2Mzq7UIQ+a2pOR
grBLEkybKaG/gVPozjbX6wv42TtX7/Z+1+6XqRwCvcynUE+qew9f1gkBRLwD8+EFrY+i10krQRRo
cuqWIt7Rm7g2S02js6umfeEM/oEGJWoYs7zT8uoW9Uiy60s9DZYaybtTzHf+OBhhnubFvuvJcemX
pgqtuPZIyR7wmTFL4CXsmjdar4jA9jX3obdEeiDeG+WabXwDfK9t7RmfdIqwJ0BzbbOQ5QnrgTnc
TcLwX9JyRpSicfvVnXZwoJSA3h89FmPChEZ7IJrPb4ajKqWP0zzWgjhdvFNJZnWR2l9ALH3855up
/5tt0ve7pP/9/1N+nIuR61d7qfuk/vrtfx274rn6+kPb888f/KvtafwLws0bXRvOzA8IcNf4FzGw
YFJpePwYxA0GRxiYvlahC2ay73ZUFr/O+tOIQsX0Txqe6It+3E1ZHn+ZgFL5DHwu8/38v5XxIEuf
CAiNRzXI5qSmzOHdgATRR70l7KepHMdrIkIRoA3NUxHbawFOHk49kH9QLkkeNhTNPBVldVsM+iNI
nJiVrGgz2kKTF5KXZh4lMrSNNWvujqH2hK/AvTTFmAdCGbeZmuSzb5bXUE+uaY+hhm6isEe/ggi3
tCm/By9gS/Y66EN6KbmOmxZE1zp7agNd8xZEUII5mb5c1b5+6xidGfhyesaqqiCiyO1swbKRffra
EQUWlmY8bxH6XVxT7Sdm6tgCqlc/J7/FGO8jZRP2mA475NPXw7zcWtl8pcf8KRZOJLjpMy3ZmrEL
+Uu8W4rReMGW+dTO3Y6XYLGRZWJ+ilrrkEoPGYnOIKfuCFGtNGK2evMpH4tnF2nVTo+ne13m1+sV
6GkpUr4Ur9lKHuviPtuZBdlKSHyRYsYuz/w0PsTmdL9ufTcehI6jLPwX2qn+3kisA7JjUFmiPi4F
Ehpt6rgwur6x7PQkVrGxytWDQ9EyNdZTYuanWBXPss2ekYZd3MSkcnGsbmtxQpOVvtb9fGsxK9rN
Zr9r/QaZopWfFmwYgeoTFjxBLSpqLpRICGiJYFcG9FSTbZoDQxu0sUa/QnMr1tZrmZTPrIZ0mleT
Xk97abMeq7H4A5DQbqdOv+3FtB+S5crwsAxoo37VuIQ2j3nyamL829pGep3n6ooWvH3wANyxTeAM
a2t+XKKelad3CigKphbmHQcaUy+j824tZ0kcFFuZR2m1EcWzeih1O1RzBQgzkTjG6/S5Qg+2LYR6
8erlahRxSjdMphB/3KdU6X8wvLzxoQtsnMnYzWAAFxvBOpCnh4U8J3xBPTeqeYhLviNN94oNU27a
fGQX4nlIttPE9+mbhnnCyuRv1dKzpRQlqWCd/ljFxovPJiIoFWHSfVycqNUeWjk8WKp4LXVSo3SH
cOmhVA9mRPAJDMaGCoYxxOJoycYwUiq+9boblcNO0Hqq2yrboZ67NECHWbX4Oc6TFgDJf5PpPCHW
nVlNuB3pt10aCuUvWcSwAhTFHFKYjHcm3qCwUHFExUjZDtxuPLTuPJLaZI/HrnS8oxo1LNvJXGzb
pSmJ/21mEojgFZVJ222EVpgvvdF9mUfpnA0PJRp3TZ22VijZwWYhYGUzJIxxeo7cGis7+//C2WdW
Wz3mVfRYKnbupH51fhpgR9qoJLpYVf6FnROsUVVs2efO6ABSMrZnuaXyBe0pHYcCNsXAcfLqPgsc
t70UWnJbkTy5nTTrsdaoKZFmU44N9rOqZvlSVYKIZS1LtgXpaJ47Z0EDcXhXsiiHVInRrdHbeOwr
bv8lEy81BBmESSWx76O+cZQwdqbLAs2noK1MRDKILoY6ACO9G9A0w14Jbro5d59czSGDuZ2O0Shf
tUleWU7+u3TOn97ivmCgxvzrrcP2XhVJMIk1QI5iqzwyI0cv2uPxUJfUbq+XyHB+I4Kil/d9B441
g/4bC5qJiRilzHsCDR31oXJmbMExj3oI+YAQM/QPDoXvb470XrTHkRj3UcgiqyAC6T0YfXJdZWZR
Ux9Enz/7K05jfR1nxjRvTKiolPJoXXffLeB/o6n8iSC0HtMjgt30wL7y/5z9d6KY2Kz8xGNcT5Pb
TrZ2Nz7UigdbM63DpIE+XM8XV9yV7Hi7/frQP6lb384XuC8SbRIikSv+eGxkX9OSASQ9dGBqwoxN
4e0cOYhfOv0KaUt+0H31MnVq3OXTOJ6yseO59as1WIyMO9hNcbVcDTGSysW0Dz4uzU1GvLDwpqsJ
9mRAj7bZ0KYI2jq7rhyJ6Wa8V2X8qNsJQjJlXQZQaKSf1f7eJmTrc8zOYWN5vB5+faZ/cwuZFlNW
BLyGbosV//f9RRZF6pe1sKpDIrqdVeu3ur/clgvdg98c570cdb2ilgEoybXRUqG9+PFA/mR4iv/I
vepjgWUudTuzjdjqTHqZTPhZiDb3uo+N8q4Y51tUKOVdshpMrSV+bUfey2upkuUUEIZQV7HWYdac
hgfNdy6mHPeJx+veBpkMem9lKSuhnmJbzHs43g1Cyjm9GnTZ3Ve5elSSZZ9ELOvUpx7oX6fHjFel
r1FK7l2Vg+2Wyqv3Ssteo3p59OJht/SMbRTqKZSQB+w/6SYuISdjlb3KyY7biGG5Jb3VDHANGDuA
IV/kCiN2DWqsX1/I9a7/YTC+XkegY4zGCR7DI/3jdVzYjLQW3rzDMmGBopxQvNnotIIln8zDr49F
hf3TsWzEcXxb0Mns90JZKeYUq8JcYaoY78HwnMr6dy/Mtyfp3flgHBMW0wqDge/7QT8UIZIUdR20
gT82uy5VYgOykAAp8ZIu5rzvSVDOhXXwNXGZIj/ZulVxor36ifDIPzya9IEoRxl4RWYexoxFPPF5
OzVzec30/HVxJnPrRml+IN5tWbUrGJrw3p6L1NmOXvPRY1pNC8GLjwB1gajgtwsMw4Ty5LfNTkj0
cCTHiz3MxT7QRfpq0ysM2jS/HlUOeiueN56TUaAazANtkFwVg83NqPf3dSVIkTOX30Q5WH/zxPJd
IHgFbEeyjS1+vAEq0cDJmcvqYBRsFMakTDdpD0lRYDW5JnIW2BrlVljM3gWZGcl6ndQDJsA3fca9
HOV4k5xq2E3RMqFkMmr0BvrTlDVmiM+dBuvoXCK8fpshsi8JMgsajLyJGvT9oZvNj7qYXpZOD4ih
/oCon6qq5YSlpvZ5oj/OFGJBEyXNnrC3PRSf+9h2hiCjgx1YDS++zgHr7WvAMQlK8PfCXh79Ro5/
4hv+rTvhbx4S1oz1L8Qo7N7eXaMpbqFaTmN1mPCGUOLgSJj4OBZyiaiJf/ONQJT7+TlZ8X+81vDP
ez89k61lzszUh+ogRVdtDfI7QLJnp4iVyjf4fgBg0FMmgDgYBa8p9IJPjHtxolAADnXkBHUFSy0t
x3brI56AlkcTuZq9P7oc2Nbo3RR+iZvAp9pXVW3CHe5eymy5VwUKFnddjLnNYjN/Jp6VKnUSm2wh
WXKAJaVqsaFc3Y595u16vtK37eViKTNkYiQ2vsxPtMr5iWYad0009EGx9MlR4YV+2wRFlSJWuocF
UA3TQ9qzkfSQ0cAuYqtnL9OD7GN8TKta1BwfRG7cYqs9EdpH/9kdQowXMyOPAXUg/yYa1xuyGcad
Ycluuz5GnbIBb04PTrxuIKCL8zwReVO0VEt6lF0rWq4hjaVuKxnCt5nNI9ZH7ZmM3xdJvO6E1wf9
dnqdIknd+IpSHF36U5aMuK4tZ2PW9gEcwwmO12mBIxtInKE0p4sTm+J9GbGypOTaBB1PhzP111CV
vyTdVJ1yw6YxPYamkPNm3RgxdUn3E/ypK3KCLkVvPQmZ/m49dv7m8abWsRnk2YxwTf3dOlnMZtbi
nSwPnTu/VN143+mseyPbrMjmsV7rr7etdo2Gddf7VHpvz3yVkBUwdVPQZvwY6oAQNli29XM/9EZp
uiRqxpiAhVdtfTXMh8LoNDZohJsHsZVuAT/FL/AX/Gv8ctD1Y9ZFWlyI/HmXb5AkXoTGOybr58fR
pNzSpYngUE+HjYr7nMYnlXXMxpD1MDFrvpCYMtvNhocee38gBfYujy2pPxTX4zDcWzYW9rog6CKV
AAPbabkqkwk+Q0lOlqEhqK/nF6cj9VXiDHPZHaBpdi4jiwibzOHBdNTtWs337l/r6/8IC38jLFyd
J7wm/72w8PGbRCfVf99c+8+f+e/mGk4jxH+mbvypHPwvsYJromOwXB1d2J9yeY70l6YQlDTCQcFN
T4/tvcreZX+D9h7RAtWp5f6TFtu7YkbAPGVJgOzEU+XS6Fv/+3fbCQQ+w4JFj8YFsdzwLRMv4C41
g++uyd9sWtbH84dyxjEoc/HNeyw8XIl3j280jK0woT4ehqwCYTnqvhd4Kqq/VOjubksHp1WxtKu/
idSYPzWx/3bVW7+vnw7OUJLKgMvmcrF/PMXEKQCx5J5P4Ixfo06X3RSOyuC4JJDeZ4yznmO/bHwS
WVIz7JY5/aY05MdbRzpmWEiD0fAAt6Af2WeZrdaehrxObjovo3uSFaSbsslutl1M1MvQudF9CUkw
/PUF/NuTIDgOWQmvQG6kd1dQl1aD5GHxD5hNxVbBoN6VGiSHFKf3xxZJ1SYycqAiWkkjwtDBdUw+
XTv4O5iW+9QnwBAM/W3deR7AE7xUPiEnKAvy4qh4XWLHxhxZpsOarbLQo9BKfIe/Poef3uHcBJ4L
Wp2eLq+k95uqDjvmgL3Xh+BF4o9EC0nIrZz3LqaIXx/pp0JnPRKcJFC3EMVQ8v74jdvMr8rG4Egj
nnQ2ysAwesdrT7I32zvdZkX89fHePUQ0wdeCCv4sLjVusvdUX2F0VcUQluPFqbzjjdIFyxD/ziL4
N9fPAgxFPpFHA8B8b0bzJa+Lgox46incfx5XrTH99JB33sOvT+ctjvDd42oLlPouDx7It/cvhQzr
qj9xDx7YtuE0djtE7T73zDzzxc2lCSLNSJDFokTJ7+cRllNTOChMMiO6Twb2+KVtt3cSeiyj0RGO
W2OsQ+wRdcMhBhd5qotq3qfcmx/HGO0PYGfdoteWTch0rJiDqGblH3rMpTrhdJ8mZ0kPvz5J821P
+MNZothm04JOa4U++/Y7e1EkooKurlSHidFmUOLVPcKU6Y7aijesMWPTMqpfVSFBH64QRG7e7AAq
ctiNxopIbIAlNm/cRASFYetUaHNFnl5sf7a+uBOgRZwJKD4n8cGgrYhhF0/5RqJ5eRB67u8S0oGR
aAFuJLpZhNUKc0RFZWAT+MLrLD84PcDHeBCUaisEktUlIToiIpSD9OoDuoyZATLYSLhXxr4za++B
CXV2zDRcd5XRYlVBVPuS4NPalOiZj5A9QWnia2+DccVUom0tGO0xBW5GYdH3boaNMziQLXsDmVCO
qOuxh3tZrADMakVh2kiUvs5ooNhZAsqMUVDu7ciCnpk5DJiXvEEsu8I17cTUH3BolZ9ccshfG0Lr
VZDrPs56n5T5KJhqYBE1hJEnFzpN6K4YT3DjxTGbQXsure/ckCHlhb2Xrui/Mp1uQOG2f1TZyoOB
EKopKCgJzFBthYdqmESYcqbYXVx5Kktk5AUiPIQ9/toRri511EDMUUhCg3hFlBLnvUeIfl6vZ1gX
RMnjdkMLv6JNDXC7RM4StERK0xGmdEmAGihU7Y2KapT6cjEGDSXFvNo9dNaXTbaiVGl9e8dhscxn
iaTnFvxoVx17fUBu73Z4RK0dKjzuiBXROrSm+Vyv2NY8EZB+GuWRRyAq+ZHYwWFT54x7gVZkaJXB
v05wYJPEvBMRGGbebeOxh2ETzBqINppr4qsp+c6lYzR3syyu0whYOn78HIlaMYTDCqFNyh46oa6f
GgHVSY8tC7iEij9UWXwdxc6XZMXZJn2v30cr4jaTzqeZqlrghAon2WWkyzv+Yw+ZZmdKaZxdNUxI
9ADn1uMCQheUWDBk8Gr6FbDrYq7nFQV01yjf5uS1utKQMO5zdFGIk8H0aiuwt1nRvQm00w2IbMgX
ePtHbq5xckOWoRy7u+ewX5tSrMgxQGDZddqVvdT1uV9xwVLZ83PGjAaQRediPHojC+sia24W5Nu8
pjoDJ91sWCToqOJgrGBit+ZxcTSAxPirWrFgIBOItALQHfTS+yTaKD2rXuRoxU8ZPKyvjtvNT+Yo
p1PpeeMxH30YrnFjnZn8NwDG8oice308DgbPlzbn6GqKeY7NQM/czoCH5rtLGxqtA8NEj0sknov6
aI16tQP+mBz1HPWCVdRgZGd6AfAU0r3htNU5VTUITDJ0KPz5x6wa8gaMpWpPfoNu3qmHea85Xhe0
nZ4DLB7n17GXU32BX1mEUUNRsJB0FshaMAVFtBGmMSuHsUReIPSh2erjJLacsTy5Dka/CZpEiJ1h
xsand58Wf7JuBA/qZQZyPYR5BLECJUQ9fjMyUhT9Ql8OxO7Jl8SFdOHUqfsICbw6V7YLaEGnvijq
Jrkhgo3qZKTkq2vUmE6MIS1EwM6uc6AHu1Wwvu+L2GqfsszMSWhbpjDVqAs1u5n3RW6Yx8kCzN0g
THqs+644tinZhIuW6Icig0mTSU4S1vFy7RR1dFqYrR3m2WwuJjluJ7djgwrzDHGoY9o5beuq2fpy
5MzRpt74OqAiezABzxCBuLVsK75Z3CYiEcxa+BnhF92n2HHAk0uTTwLPT9+PY88paY4RBz0ywnjT
55m9xfNp3xi8GDYL+PN904uF8Eqn2PjuEJ2oVexNEzl+QB0pT6PD/WqYyfxKDTw+plAstmYt2lOG
jQlxom2JvaGX7R6Npn0Fx127nzkAPveClXeJXEhw9pzYX6BioMmhDd/f6y5ghYg+xL1EKhVKNzGe
dM++omGS7d2xrfdkZ9Lgol40r2ylI83ipWDgFbmgeLF2TdIqEB/o3sciS3a1GSVAtYYHAnCRdvZ9
yrx6srfgVG5lVPljkCfxuJfNOCd7Lr+bv0gkR8lZdmU7cjczoIIVg5qsL6UeSnoGuECiEsmTpWYo
4shvreSiJqHK5fi2vP/PhvW3G1bwZN9VQj/hgh9TGafvXHCm/fZDf+1Y7X+JlRPsrFERqwmODdVf
gFLE8q5rgRykF0Nl/T2g1AdrajM00XXSbakev3PBwS4FuEGjlHtaCGS5/2TH6ho/DU04PAFM/Eo+
BX7StRz/fs86wkgiYM9gzzpXsLjG2mNlg8+1VHN7TultK9Bdc+UB8SIFKPnIuy7eWCvjC3jFcDFr
B6/QSgCz3ciItpLhzG2yEsLkygqrK8hfAdvyYxv1DxGrMCHhQ/usm00uiRLjAn9Ew1w9ip6GS1NO
rDOj0ORXO6pgHCYU/tas7OdKR+e+UYKIerOh6gvW3cNj79Tat1yReMaCV6pvvsv2PDulnTVdSBbb
SnqaXqyyKx2rrLd3xqh6oGWH6CKItYEJWI8sh7d0rT1olk1feSGgadt4LOouhWvQlesw2xWmuhhS
FetY2/tS5IUnrjp2sFyWWogDE5gYZ4AxkN/pYF/H2lhvI29Chm60UOyjLv/DKpfqigUDh5G3WDS8
rfxJZrRybSOyKPN4JRaROT0KgaUayKhBhdmtHaymbG7R2+ruXq2IV50C7DOvbZZwBlwfsccS3Jqi
9CPhYGzdR1Krxx43voLqscgF1TbBojB+In+ddFFN9uKmTU0YKJrtGA+y9UDDN9ZKKy2m5rMVW96Z
XafxoCZzvcq87OIgWdl/fk57J3jj/hCtwmJaNDa/voesPLIqAqPsTBMJL2GOoC9NEtvKrcfuEa5m
4kO00GQLW/At69qQBfrat78l0JHvNWpoDwR0k/lzc1LyM7bJOP3cVOy9hY+Ee2P3JdRWywPjYw+O
d+5HazVWJTHknzfGrFfnIIpo3PqPFJQY06S3QpN8aRkPwrA5jXIY6a6SXrDscSkAWlxRfY2CqLa3
eo+0Vam65cqv0K6TqgvslSQTMD4ZdvAVEstFEa2ER9LnC/hFzZv5ABPC43iLzZGrW44RkFf2Ksxm
oxHpqj1LMws9cB9W6Lm1Iy7RuCIfux7d1LFvRrgecZ31XwE3odRFaI5lWq2/NqGaLfZFlsEaQYtI
kzhw3hiwhFjx65WznrxHb2EJIBJxBeWk+DdLS/PnDUqpqLbhWaJa/IydUttYGgC9IAJHdeulo3N+
O6LjDlCQRg3OJ7sp7s12ZM9FSgc00Enm5Paalk2OrjWJcdlTqFrPOnU40DkyMa4cnYjvVlCnBa2t
5CFOM9u6e0Nm5ia+8yN4G3rqkTOAHG0FApogNgtOa6byO8PocT5ZPUr/x7dP6RXs8g+EIabVBq4B
H9ZuHO4yDd/SxZcFOV1F3mEz6Zi3QQJmkrF86NFBsL0s1q8UWcF6TbJZ7y49YbLItKGkzrLmn/15
ZTX9yXfVajbfeb3iWNlIpnt3KnhDuRmkFavUjXm3Uq5el2VlvmaOtt5ThkAmjRjOK/f1ME4kiBul
GjZJkytYLnk/hb1PedIxCrzX3+LOs7n5jGQEloReD4bHfVqVcP0tvzn3HjuSxvZmkC5aOwadQC1E
jGUMTFYygEYrHF1l/uw/8mU6SbhamO8R7WCRL2TXfAbt3EU7NxMKybpvkqbmlbsFj/VGH+MVQtd3
L5mGDomWOdTcwi/UB8/Ryo0rJDe2kJPkZLgAZ4c+AWdX5rWJ4tWGWdZPsjBD26/QznPJRqKV2Oof
JqD1Ly05btg7q9ozt8QAIZMXXW4d4zizjma1Xt8ZAQ9ZtC5vkKGtRw5YTjeTYVtbTD2C3WTPaBSl
DPFAJS24o6lWF07hJQmk9zm+q4ymui/G2mHmmBdZTfJvIj769eISKyrnb5ZbmqcIcd8hGz3ja2G7
b5Nz5e4wRmXnVjrpNxPR9APin/kIDOstMZ0c9VT7iKJPPrK370JiafoafTyEWiT6iNugHJ8NNrP8
O1XtdK+ct1WsL9/AXOY8AbifrvC0uivry50tyNmR+RkzR4dXjMIRVZZrsFFF3lfaWKts8GTUjaqn
8EujxT3bcQtFRJbfGMgk1nbx2LIGam5hDPfKu9CEuod+KRQ2UgPyR+6NnXEuoD+1d+x+kyP9Xbql
jtotQB7Drs2bazQ5JB1rQ3RbjZK3yeyioNaa4d6oqicznhBA9X63xPuRPPZzk1e6+Bg1Zv04JYX8
UEzWbWKP7T0B8KCH4s5gl2q4HyoXmihmid67aRkNYxAv2NXEjG5jMSlS/ryHJRbOpwEuxr7GViL3
9lTVax4KDIbDKJW/zc3poBpCn4ZG3HZdXKPmbxLiPPREh+S74MSKyI66IwK+3irhAiLJpMFkzJQK
sVUP3LGY9EoP8dFOX6JGlcWG9Fs72+nlMJQHzHvEhGiGVUAeb+uNp/T+QVS59zkVIG5YCk3MzZk1
gLLVmuPomNzVIJq/KJb3K6xgw6UX+pdJeu11Q3e6D4xJNQ6euYjsPsJkwpGm5IeZ8fEVkdzGXW44
/euInejL7Md1+6x6vRjvUkdGgLvkkh/jIq82TSufxLxEd+S2RmHO1DWgFFTnscfaXuCdH6EOnobO
1G6k7J0tsFuCtoF6fmOGrM7tkmbbyJ7FHSDI8bOXOlEYl2QJ+Y1v39AbwLSQV0RUBjpkuYurRfk1
PGFRhfi1tTsrr+3QtYZpy+Vyg9Fy1KnpyuoLHWiLVNjmY0S4IJHk8rFnSdyCUbSxY+mfDREfsynr
ztpsW0/TFJvwbfJZkjfbGdtIS5KrLmYLZ9J8uB5cefAGWj65K5BA6Abba7f+D/bOa7lxKwnDrzLl
e6qQw4VdtRRHWRqlsda+QUEUjUDkDD79fiAFmaCSd8CLqa3lnUiqATTP6T6d/j9plIvaLRSe0CC+
cyFamDmJVBY4vwkA5ywVgYHHsDZo7ArEB8tX9KkTaCEVO4J0UkjE3nCDzcSkYh1IicIQFmGdI5vW
akYcS7uMhgs/AkZJAG1VSuQbw1E00IWz4i7O4OyeZhGtaeBQM+C+aoC+LBgnyZbqNCmd75qQgsHD
vB/zNw2IkSQ1jswiDO88n4Geqc/x40iC8phmvsCnVVVoJtOy0NR02uaue027JqiwstDeC1lWnbe5
LDwwio2BYvbvEgtUgfPK/M6sCM0buRCq4yQqYUYvJCU5l8NVeuuqYVBBD5/XMMNHHpmROhbPSsUv
bzxPI5CztFODyvkFQ5/td8DZqdWrYfm7W7okTEKyIarI9KPTVM73KjHTqZ43oCuluXymJWFz0ggO
Iw60sR2RbeR3KIC2AbI5pMnq0NBL+r7apauyE8KCOfgGkjM6nvGOkD0DuaSHwXFSM0uTmDx4xQja
neXH+lHepJZPgkWsTwxIAWaMgzC3aUEE1GQi0IdalE9BqQDConXyc7pzFRI0blueN5kSHwH518hH
/E9zqYeMHh3q2JsnPy21v0h11vQOa+rqxDWLYJ7oOrjYUKB+DbqjFZwdEORULbkjRQyhQ+r41bxJ
mnz1o8qDsNwoL+tElGYW4KqHAA1VsyVAd+dgo1VXK5gM5O/4N7q8IroUq0OAJsJrv/BkUMbV+Jbu
Wke7DRgkBUh2YmZTWhY4FkS18rikLdE5MhkNYgMJnAWXmriEoaC5c6qguYCqJ//alkuzOfRzw7rJ
OQZcSmASYHlb2fm3HlZMiq5kkreWYv7hACZyu7JoeSEV7h6ly7K9UHNVvUojNwW6MU0nszJWyzM5
DorzRkzbYyPymmtRLfJ7tw7P0jo9T4xVM0tNKYX3KM7nkNqSKynS7Az8G+s4c4zfOajVR6RkZgyA
KjekrAIop6rlEuANGv2CM6aiaWX2zBUTNLWSJf4htYLYp9lWW92WspA8NsswYAbJlIJqmoAqPpWj
EoXI1upiWWaTcN5WTX49MdvVtwnpfUYFEmi/H40iISHdRkt9mnmlYknHgJrIk1OroS/OlfXbWAwe
EhC13XO4tnXrQo4Eu6jN5LIBrWhK03ZangK7aHX9ti2kckvf1W9NmhJgaQHamZZ+QDoi6zpOGNlV
gVjK6IBTk/ph1WFCK3JmOPo1bXfpNd7vtNjgR29F8m+UWXfrUNSgVE3phiZofSVO36l7LTkskXgW
4hOVBCBBh+dzTCyBdXI22ZV3a6qdoO3SyfpC4NngEcCIk3arkUbGYT4NuFDgko4nTg1pjIhSzmr8
DB2Ye0cc4gDhqU1XGNxPKrqvr05tzzAZSFGYtjc7uqLt+D+ZtKIOmWIMhmci3Ws1zTcesIccJYLs
JGaAnnmBQuc8OKlDTvAf61jcbWsyqSQrkkCTMQCg5qtnr311AqxZxhi1mCAdJoBSudSXKdQQfk4E
RR2ch6+UljEDp0NKFLKoJAaIHD2gBN2In1TrdoudjMWolNXBGqCNQFF2fwuHfs8WcLXsRM8y5bSW
ST+onivdr1roScxM/LSMu1uHhKgJXAP6HmU67TgfdvX2rfRL4IIrpgp5fBIx33VRuMRrOd7YXk4K
YDgZvJmDMaQoV/T5lozWUES32kPwgtzw0ld9IOvXcLYkuJXsW5h1dC0TDZ6AjMmy3ysXHP9qGbOS
lFVkcVYPtfxJAFncJIsDS9KdpHUcLmkDoLBXlsQWia/adP/XxV0ON05OU6oIZvdhpNFI9CekTMxF
0mxOlO5YKuQQstNhyuMm7kNdpkoOI/sTdiL6y1hV0Z3MJCFDumnO96lgJ38IIbOmMNsB/NI5TIGo
mgzvzQrwm/zI9IkWjw0HypaWL2bflDgBcT9zRXp4ctGAKKRLgKzJCP6f3lzzJX2W3gSfizrt+/04
Dy1AP5Ez6MfZ/M9zdlPskC1VQHY1gR+QIOHv7CYtjHzEoIL8gmy53Y5DDowRBl3RMDqYpB70Ujig
oZK+Y4FBNXoAyJb+F6CXOxYc08LgHONutHgo4AbI3d7b2ltgW4ieaqX1VRk+OXkwc4PHLW284SK6
ovaW5X51gR3bmTVyECYNFzB8DcQL0BlN26uuPPPQfcZnfddJrA3B4Fp0enRIafQQwARCpnb4MC3F
twBmJ5FtH7RCd7AgMyJoLczG0jJV/8z9xjHmbmwZhUAxVsonK7y92nrRmSAL8LM8xRuoQyysS9/v
sZU5wjHzB+XCg7TaCy/KTMkJewQtWZ0G8PRa2b3hU7/CPcXWfZsWR77kqWd54TPHx1CBB6ahlUbF
ocSQ2NSQMyoUUqUxkQZMh2wSAQRh6i7vOMI4VUZFPKr0eMZNUIPztJa+jqiUzjIM//e2CcrzwEpL
YD85xdTgqHigkpzrYLnM1EZbXRki4Et/UqaEoGfihCR6Cilj9llV5G/KRE9W535hupO7miSQEn2V
KwesqqQrJRWNdazDVZsf/29ZjefqTlez+Lq2BjflImtvFzBvFC/Qsd2n17EXFffxj32p355vC3rm
bdvYoXkMckh3B44XR9s2hd25te9eJK3v9yMJgV3Qdv60+PUX2TxQ8dx650XXL6ocAZRkzx9PTDgZ
RYMaBxm29WtzwS0VvaeEj59vo82PvzN4AvsJgzrz8iLz5sW2Dkj+UOMZmOL1Lb1Wwo6ILSXoBxSZ
NLLz5kYJHLa2lSCKJuhMNOiIyqZxfXPBn0gJMpDKGOlxWhAPFMpjQDF31TNeO1pgKcjUIejSBFeq
e+F9uOBPpAVuvGt6G6UFyTgA8l/F+22UsKsFQzoA/1Im5nj+AhvmJ9MCKcbNT7PxkR+YhXd3hCIw
i8/UIgXZzW/Nit/eEYbJcL1BowKJ8M3rZ9MCxQ2NBTxqLSjSAYEdEYZMCaR77RhHODQ5vDELAD7/
+sUx5udaC5LCUWasFoQDaCDpz9Zhx+1eLK7BWpAO+ERmT/ztQv6pFv6B8XjxuIeuFzytfa23yN9y
ye99ofcyrz9/9jBrdlRc6eCLnevdXHvxEhL8Ntgwa9O39WFvCtfXef735wd8fenBtfqn6t888RaZ
TcMS9RIcdft8m1d2iMf+V2A/2kNcQuw1K/PvO/n1l8F9bv3+nwjOl3Yvp9MJQQqLZ7RcwMriaCjY
7LzVeMFLO8rtvJe0vmVilv7vN4O4F4PwkSoO7QAAh2ynP2Vz0hh718QOcWY/DTiyGaPGdIyXHEWL
eeHNy8EBielQduxY4bNFYNd2tugldcoGFGUPyu4PdV/iv76gnDJ8HIJjk1PawyqkyS/znoarcHNc
GKsZkHroZRpKxitwUB4r+QSNe14vZ728ZWBD+zd+fH2fPoFt2otZywXIew8m5BTglCj2hjtycxwZ
q4vT6AmckaGWu76w/ilGKCOud8SaBvmKsTd8/to2MUQt7kEwd1bOl20vaf37aWi5f+PHVXER06D8
Ss0Mfu9hbVzC4zWwHt3s2B7u+dKG8WoXWErgjD5eHZd2nttzt8wXRTFY09DAKPtQiTd3PccehvQE
m3vY4ZceviCHf6fXQrdKJOLXPWwYOP4ozEJongxsE61gwp6kx2W2K3ovN86I5I4NoXpimL2Ofnzj
XC0eM3vn9MQclLYX0ZU99Fsc6buM7FgDdbWov5zYYZLDVzPYmMg397B7OvlniyxftP29rtdgB5nd
vzFG4fWXy0XjzQdujKCvSwDsQzN/0OjQS3q+7y6eHC0a2kP3y6GdxXjK4eaUta7It58LbLi3emmb
+9c6iJCx4r+53lDjmwBztNgP0NZfoq8fC2u+ZQvAk/snX6tCIWLv3/jxJXj9CZnLyPv+DDRxpPi7
uHxnIXbsbHvwy5sLvF6Infg9xCP3aH+R54uB5ZKZVNqDZbxfNMOo8jm9OnaVfy9st1933UIE4kLa
g6//YPh/5CL5aEpjpOgHG78TOcVwa5JQVPawNR8WefHlzZsnX7eHxffg5fOY4amBWWHepJsBGbtI
Pigdf6jytzJNL9n51/mnvgDz1r8Nk2vdN+bBws5++w8AAAD//w==</cx:binary>
              </cx:geoCache>
            </cx:geography>
          </cx:layoutPr>
        </cx:series>
      </cx:plotAreaRegion>
    </cx:plotArea>
  </cx:chart>
  <cx:spPr>
    <a:solidFill>
      <a:schemeClr val="bg1"/>
    </a:solidFill>
    <a:ln>
      <a:gradFill>
        <a:gsLst>
          <a:gs pos="21000">
            <a:schemeClr val="accent1">
              <a:lumMod val="5000"/>
              <a:lumOff val="95000"/>
            </a:schemeClr>
          </a:gs>
          <a:gs pos="62000">
            <a:schemeClr val="accent1">
              <a:lumMod val="45000"/>
              <a:lumOff val="55000"/>
            </a:schemeClr>
          </a:gs>
        </a:gsLst>
        <a:lin ang="5400000" scaled="1"/>
      </a:gradFill>
    </a:ln>
    <a:effectLst>
      <a:innerShdw blurRad="114300">
        <a:prstClr val="black"/>
      </a:innerShdw>
    </a:effectLst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789E815A-8C1F-4FEE-A3E5-1228BAFAB07B}">
          <cx:dataId val="0"/>
          <cx:layoutPr>
            <cx:geography cultureLanguage="es-ES" cultureRegion="ES" attribution="Con tecnología de Bing">
              <cx:geoCache provider="{E9337A44-BEBE-4D9F-B70C-5C5E7DAFC167}">
                <cx:binary>7Hprb9w40u5fCfL5KCPeJHKxs8CR1O1uX9p223HifBGcOBElURJFShSpX/+Wk0wm8WRndvEuDrDA
MRIb3bqwWNennuLfP/i/fVAfH8wL36ne/u2D//WlnCb9t19+sR/kx+7BvurqD2aww6fp1Yeh+2X4
9Kn+8PGXR/Ow1H31C44R/eWDfDDTR//yH3+Ht1Ufh/Phw8NUD/31/NGE40c7q8n+ybWfXnrx8NjV
fVHbydQfJvTry0tZDy9ffOynegq3QX/89eUPd7x88cvz9/xhzRcKxJrmR3iWxq8oYgyJNBaff/jL
F2roq6+XI45fwRWSEprGn3/Ib2sfHjp4/q+k+SzLw+Oj+WgtbOXz39+e+kFu+HL38sWHYe6nJ11V
oLZfX27s9PA42Bev+xr+vHxR2yH/ckc+PEn/+ubzdn/5Ud3/+PuzL0ABz775ziLPtfVXl/5gkK0a
TP348Jte/vc2wfwVE2ATSr6oPEZ/sAnlYBHMv97wzCb/gkA/N8u3B59ZZnv+32mZvVJ1P9TgOP/B
cEGYIk4S+iVcxDPTiFeI8oQwzr5d/7L2l3D5VyT6uW1+f/KZcfb/pca5/egf/oOWIegVTQinHKEv
UfMsaIR4RQjBIk3xt0T3vWX+Upyfm+XrY89scvv2vzNg8gdVfxpMX/8HsxlJX2FGk0Qg8VPDICRe
JSjFKaLoi2V+C9cvIfOvyfRz63z/7DMT5f/3v9NEh4/Li/vBtL8p6X9fbih+JYjAFKLji4GgnHwP
AVL2KoErLEFfc17y29pfDHSYP7qHv5Tp5wb6/tlnBjrc/3cY6C8gy/eV54db/02gRsQrFhOWUvI7
EPveSpDf4qe6RMRXK9EfrfQcSv1zuX5uqefP/7CX/1dI7Z+juG8Yt3iYHjafwfF3QO7Pr37eMMD1
Z4/+GWj4or39468vMeYJgIBvoPvpJV+f/BoeH9+bB9t+y6jfPfTxwU6/vowEe0UQpZRRwZIYciW8
b/n4+RKK6auYgcUTThjAcPbyRT+YSQJwJ6/imGDCkzQVKWcIotIO8+dL8bcO5GpQoRr6b/v/+vlF
P3dXQ91PFjbA8csX+st9T7KxmFMWP6FP6AlIwkAwuP7h4QhtDtyO/o8icxSHUrpz0q3CyYu1NRgn
bUbo2IT+3KU1Dbrb166UH+Uc8TFr63a5Zdwke7tO5Y3qeLlmPYh/YVCTXGJjk3PfQA7KJhXpHFsl
XYaJibb9Ws9vqe26g+Hp2BQOi3krJl4fsOckb5mppky7FW80kjZngZHDVHUsL9N43MaOd1dtG/dX
07LMR9EnuMnqULV3JizLKY0MnzNvkv5tPC7l3RzLCGcjH8RRSd4dDZ7uEt6ue8uRP0lRWl0lI1uP
MVLm6CtSbokA8ddy8ptoIdNpq8Wa+4W0uUuQ31BJU5vV7ahu57rxD2najTvoYcoqo2vir8ZR26sk
TeSbsWvnkMdDowtSObwVMkU3KRvlkfmk2biYuiqL4t6fm2rB53y0rztVT1WGEE5NRh3BeUz0ettP
c5vHyL9vvTc2I661uzhy9flY902b9ZrZd3W/LjIbwYavVdt0B744uY0muZ6ajiKcyUCqQjme5k3f
cp41ZVRfYWGbXaSqy6Vtmm3a+LZYJWtymwixi5dhOfeyn8/7CNUHibqEZ1O3hJswjfO29aLNp6TF
l9x4uwt47C/SMV7Oqe3DjqOEPDSUDKeNQNNNwrHyeddG7abHemozIzHfd5rOFysa4+2I0qjoS9Vf
R1NMbqZAp3soX+pTwDa+xW6ui6T1/WVnWXQgdbqtWDy9BV3pkI++F1ej5d1bYmq3RVz3RT/heLP0
7XqyxCzaRMT4x3Gx9hJNejhv/ORzQVw9Zg04TpWJSIgPhDSzyUeDRplFK+lV7pVsNzTp5XVvXdxm
iRinTSi7NeviwW25lWvGBX1w2PGzfnb1CSVMH6hBVT73cZdHeJ1zaSu/9SgSfuMi0ZzrldKdqjTf
xS5RH5u+aq5iLXrwqWq9bFmjddawMvrAB8K7rKwsEtm4JMpnPGXzWV8nKQAEKU/r1qiMdGVTNJFi
b2vUxW+Mb/x5Itp4I6mdL+pUM58NenTXJqrW+1FpzLJIaX+mWV3dCtqySz7SzHBdnTiX9ld1bKcj
dhJvWkamkM1ubTvwyT7N2DDOayYnz4rETmmb2aWPlqzmSbknTVPusUBmz0JjVcZHRNes9KOfs8SU
3R2kEX0VerXu+mqMN27u2KaOdHyRStQvJ7PTOk/Hmm+MDONlV3XVpZEUF8mYkHeqVqLNILb9G1vK
tMo8n8NNkrSkynWvos3aILljSdmdzqvr+6yL0qXMXTQyt+11iC+bkiCUR6xvu0PU8uouRf2oszQZ
Sp3TcSwhk9R6LdZueFTQbvBsTjp/Qda0C2AaVrdFE1x0VzlrxaZBTJS5iipfkBo1Q742/Yi33o9r
l2mu/TVWMXpjbNnPeaWx0eNWJQOL/QVinPsaDFd1s8db43TVibxaQsKrjY9nG9+UNuCQvK7STk/H
icjZ7Yaxg2g/XTW20ZpPvOm8LqjD7XJjGl/xD7RqS9nnMlXxwl53rlnGdMM1i9ptNM9T8xhSrVF7
wsFEBgoXFLevlfeHevJh0MHUlfxKan37+I/boYN/n5/5/csnTuz3Txe/kWl/etfJx+GpiNrnNz1J
8+1dv7M7T7X3m6jPqvkX+u2flPo/vfgv4gCCEvSnOOAPMPkzEvjy2FckkKJXUMkxTzlFqUgghr8h
gVS8SpMY0wSnCWdfQMJvUIAB9APGAVBCip4AART0b1DgFcBBgA6IxEBJPAGI31TwgykB/fwEGsDq
3wMDylkCPCAjBPCB4EkS/wgMkEtGF8fVsHc8auu87St2ScyiD6taePGdcn6yFsCXP6wF/heDLgRF
iAMv+T0IcTaO1pGjfp+SBR1WF9ChmYm4C6CB83FcxebP13t633eg52lvNKYYp3FKsSD82d5MRHCq
eQzrdaitsiXWXZk1fkWHyVOy76cyIRviObpdkhrf/vni6R8XZ3EKnBIH63FgkH7c7BjF1g/W9PvV
TNNjpzqbZAo5fh7Q6o++XMVdieO/2vJPVMxAWwR4kydfe3Kb71U82akxC0+7vemQv2qVnB5d39Vr
Jmrjr6o4/NsLJgicFJYDiAu9DHsS6Dtg2cSRh5xlxE5G5XCWcs2LICex6TiJ3pHSJdASfgPaP/Eh
9Ae9ptAzAaAAMg6Ui/kzJBssiteq9G43D35sIYuXFl+u6xi7jC+07/Iw1+jAVU/3aWjRcXSsv+u1
TpdcJu3aZ1Vq0+MUMJ4z49jsMq2lPUde+LcB87/wApb+RF4AdBD7FKwJwf5M3r4TvGq6ad6xlFT0
NuowK89spQDqVsPIi26s0HKKBhlUldmJoVuIwXCMhDI7HMskOa0tJ/suaPZQEWuSTCYKfMmWeDjr
Vo4OvpadPHUxVt2mNw4dOhyDHsaWraiYsa2aLDI1zpaAV74FwIAOkUkjs5nTeDjTUfBHNAG0LWtR
qmw1bmDvuSM6FIlZvdvwdsTNmSHMXyWQJZKi5q4VuyZ20ZtGSVEeR4MNuFzZjKTPUhuiasjwKhH6
CF7qa4C8NWDpi4kKR699H5bzPpaqzhPWLJkTlOLscyIwoYM49c76q2iZ/JVoR8NzX476fm6wvl9N
TPaJa6cx987pe94RdxVbO3S5GFdIXz5unoq3YQ/cxP44GAXYuHOlvicAa47RGKFbNs28qNeaPQBj
j/t9H4S/T4YJz3lC0WBBs8wfZ2pgp7qlS9YpCwsCfCjvcNO2ppj5wh7UDHrkqwO9GYpuZwFGW/ko
7pZxZQ9JlPhjXQGUGMnCyDYM9cRz4SOpM+tKf/ziq7KpCEBIUi+A5VpvH1UzRHVGGWwWB6ftiV2c
WvPIhFaeirSsu307RmM3ZQkWfN5MFMs30i3ijmvIp8XUzqnfdIGCn7g+oQ+D5fpeVhqCf+zEuQhG
3GnVNdDO9DV4hm91lNPKD2cGmguALXrwV/Mc9FK4BINKIbr1vfdN1+XV0K7j1s0GjCQkIvtZNrXO
Fv2014UKQIXVYHaf9U/9xHIyc7qRbZoWgkfQ6o29iA+f75nKss+7EDeQN1a5i2Cv1zKdXLFUQmzn
0YIDy6fwSKZ20Ttrm7I8QwDTde7sMhft6Lk4kjhFhmQTDFVmaEN53BymMbGaZbxrsb/RSR+bKisH
X7qtauKQlSSCB3pVo3i/oCl1Pqu6qJen1k51dBLiuVmKsYpCedS6ZyqTA2M66+U8led4FeE+EXh5
dCEaXb40dq2vlhDh5Y0F9csT2/fuxGLZL9kat0MWcRflQ9zWWcQcAz3bW01KufF1kFnZi7AVROWj
HP1+ISPdat6QA+PDnDu37EoR/NlUDf426eYhl7qswexROFDWJrkFYP3WxngstAxJNgWPLqNETsdF
jrbKptKxdxNtBQX/sgvJK1H7M5dGbkf5UHXZHONBZfGwHriZq8fRQtpMujo97WuZHHTcizKbVxrO
Ab53YHAf2SFbm6o+6fU6PYpajktho7mqC3BucUqhpe4LQZ0VGUrT8o70duoLFNHXk6yivDbjQ4/S
5tAoIEx240IgZaOUgNOZ2IFLhZbZR4ngQwZ52R+hzIEv47KX9S6JSqjSq6lPgp30PUOTuOuCnJss
rXjHMuacP65elndeArbQFOn7YFuvMtcuD36AhqBhCSTMAbe3TRQ3bxqzQmAJIB/2ZWzrkzolZM+1
iGUmRNkXUEaH24R1m7Vu+sLCNqotIh1np0ytsXizWo3edSaK1v0q6cz3pDMrWXKkrd8Sg0x7mmBC
3q+VY8nG9O2pEro8XyJdXRnbyH3FxW0q5XinJvMQOv+U/Wt0ZzsxF80MevKigTzPNKpPxaDxuzkq
5yVXcokvtFjSGww8R1rUbtkzoHdcQZYR5RCX6RktB8O3osf9pZ+xn7crxXed5LoYvIW2zXVyKSj0
9Cn0ipS5rCNlf+jTiL5XiMD9GiqWec2kwOV7wZfaZMB7lMN25QO0NrhqZ5q3to3OgdGYQXVdqbN1
YtXbkPJhV9OeX6aSxEUDWwISRps2D7i094PngEX0xPg5Weoob5EDs45CmE2tLIVkQVVlgDeyYR9I
ww+RD+LOdEPTFZFK7GOsGnHOSgbprU1WcJpxBk+xVcyLykdPrjRXvSwqOaADTI4gl44JhpzeCHiP
wyBNMklxbhcwTa6UgDzYzQ3IlPIAna6m8IVse3BBTypxnihdd0WFW8j3xpldkA7yoGOVtSdA/PFz
oVWUN3yAlRsoJl1OUu6vNIHlE7aM6iQNUMeB/qtPSLnShzU0kPA/p8BUzqXZpFH15PpLrCQQXj3v
s1kv9HyZ5/gkVWx1mZki+9iTFioHIsC6QWUd2UOqoD7amkGe7litTBHGQclCTSwFxBCgRTn5Ihbq
mVEno2wASZRRBOUrNZDtR2XMzoXZX00OsG/HF7FBq+rDKV5w0ttsDh2FbjapMMljI4b7BY9aXmLm
QOq607DXxa2wZG/qkB7pqJWFapFMdOgyJauxVdnCY5emeeVpcjq3thnzemThpowGdp9IBIk1mKg5
X7TxddaqubFQMlB1u6TrECBvquScroRbyIvArakhik/1LKNPkxnFiZwX4TOQGVBOHaXiDvsF3IIr
A5V8FBO6JWaE8lQZ37dbk9J2BUnqJ42OA1hcMSC68llzBgXTQKq6KZ8s2jQEzDR34HHKghkjNELX
MOE1NnHBrI7qjeKsjO9QFID+BT0BtLxJSB3NNy7xKtF5vchK8qNquUigVAHBSDSUxjHU29DWUYVe
NxzQcnXil4llKQK4oeIB6JKYlm1eqq4upkWV2ZIEfNJFAjBIimV82lIjD6SbXF5HMmzg/1h4ysSp
alZ9AeYfjwOHzNI6Gb31kahPo6kqM2cllJ7Au12FE5QFn0ZbNS8M9jEmRR+XMotTcUaDLfOxI9cV
h5ROTDVvUVyhwqyoywxQH/vBAXtZTQodewopJgMYYrLGmTpDLSCSKenaT1FN2Za7odyJdejqbBrd
UEAELjlkhU+9GT9FKlwKT5c9+DUAg3mML8Wk40vWBVc4oNUSG7qdn9m4AWxc3vhkDtsGimjRjHLZ
eEovaTzRC4/n/hqsDXW59+oUKl93QoGDzNKITDnvkk0l1MXcUqBUQVWXcdDVax0l870ZMDkMrgNe
h1QxAEg/niih+iJxV6RDR0B+/QZHS/wJGCd2SoijdZ11WDRxn/XpQku+i5r1IxsTMAidIYS3jJFF
Ft0cqwGAduR0HkEFtlkA3hAyiIwhQ0C9gmw4NcPZPOJon5Aw6gvbKnDSTkK2qRMDHrm6EmxfAjtp
r0K7NDUQ0+6vWvGnruOH1pgDEZESBsQCAgriedu/OtwIqHh6p4HoAtDvfIwz8wR8/7xd+0P3wzlM
7wlwGdD2U2jcfmwPRSmnuRkmvVN9Asl4TlN0O1oTqYx6NJwl9Kl1+ZwO/3zdP7T+sC6MWFiSQGdK
oVP8cV1oyRVpBq93vlHJwxR1ZtdZr/x2SSXkr6HrwzFJJOTiEUi2Ov/z1WG481y7XGDoiiHAQYin
Oc73TXGwDbAnKBl2CyuhAVm5wbdAow9nTWoh2wOvDb9jbaAteULemHJI7p9F+P+cHXDffzwf9/vs
DoiWGJzhG6XwRBn+MLv7/dDNHx76ytjxFAi2FMZwQPJ+puzgfV9ndwLBxBaqAOECDMyA1/l9eIfh
EnAgQPMlKQhBIRS+MnYkeSVgpAdEkEgwF3GC/x3GDjis5+4FAyIigHYRT8wdjAp/dK86qWmjkJWn
HgYrNfRfAwDgJiRnekwjSDke0YLOjbjR7Tgq6ARYXeYwV2O+qOw0jDuDurLM+aCS03VNablRbliX
bIpjfz0T2tET1KQhum5FY96MPU1Y7jSpmhw6xERnDlt3rpYOpoSqZDPO5i5eKbRZc3IOw7V0gMGB
AViM1olmfTOIzapSYjYONV7mZBlKaLdK7TLKo/G9aEL6gcP0sJi4qDbVGgOJIDWcu8wDZ5gVqFoo
Phd4koUVXXKx0DiFpn4+WoWjbWoRAQClXEwKOO9Q3+imCddextPBVLg7dk3k+03qh0gCUPMVy3oW
VzxLGn1UTLsTeP0I0GcIu2pJxCnWpj5Dkp/4GpsI+r962LKeJTDhlABppgW3qPCsHLd0SvEbmFvg
rCZG3SDsk42Q9F3lgr5kQxBFvxJyNePG7N0QaCERvpLJagvWJ+kmCnWSeR2pK5JG6kD65cjiBeah
SsHcR/tUfkhKrE9oOpDcpH17hrpOFXXix6MzJAW1y7q6sLOlh0X2BGSb1/k8XjYjHoZDqU33qXGJ
2LqWhq1lNc8rk9ojTsQHVpZDgUpU5kkkxyyx8Euy9Y2gEcpM2vW5VuzULUCspLXobxpjyZEARXZG
AO1c1TYer3Ur3zeYyAc2JEuxVv4M+rpQsNk00KWWMHNKdHTtBt/dKNN2ed8qe8CAY/MJNJKXor02
qpkA4rdzXsORv9etX8uMWuwPobZdoT3DG8RA0sgvVRG7srpdeRoBvOQjYLymHwS8tmnMJobZxxmR
Y3wKHfyjgvsvq5mq69T1gFCDL8UxBax8zTF1wHCVTZnpal0P9AkqNNpFJ23sh5M1mvtjjMGj02Se
znFL6VlQONOG0C0Ct78YPFnvnUlZvYmmSZ7SRqJC01aN2RNMKMa2hVlXU1bbaJzPgKS1p8DhXThn
oddak15lI0C0nDc+2sEM0sGMDXyw8HGAhryMpjxZp7soUltp1yOvQ7wtoZ1zAHTt2L8Ny9xcSWIu
o0ndIaByCqHoESasatNz/cHqNN0DqrkLRPaZwvZdlxq1bWs8hbyr8Rmji8r7J0uFx6iCnm2AgWm2
zvEbOgufuyDKnV5cdLFwITblrKuiiek9JEN7iXXnt5E1Q67aiu3DaOkdTaIl91DUiq40cQZ8O4RV
dJqWkmVlje9dWo7AMnbmRKUj3jf2dJ3q86mbYJQ9rVno60NfWuC7EgEUJe2KDnimzbLoegvAx+e0
beyRl0RdA0qv9q4BNYe1JXvghv1159V60k8tLrTW5mRtfXJBjTsNhix7EwBLFwuyy/VCp7sZhWgX
jYEdFopkDwE2WLrEN30TUSWKERncXIVyId35MrBDZ/j7YQRIniSruG1I0FuK+zaTvC6vAuH1JZP2
oaea7hlM7rK1Rg+JdmzKpImnd9bAluNO6sJohc8q1XfbGDNw6bhSueuo2qgg1VWAtJtJD/kOziMP
Q5724d06izpzJeRnB3O98zr48A54ICBRuzoeb0bjb/o4GbOK993l0EkqgEFVs76qAGvsiV6kPdGY
phoaHBdndm2GvW4dwHU4O6KKQffiODXpJz3ES15hj7aL5GrOGEcwMI+SiWdAm3VDmdMaJphVPsys
mTNdJ9EWrXLdcjx12wCUFYR4rxfl5zupgJanu+D66bQDahc63CEaP7RRM4RM0maON0DL4OSyNcBt
ZQDM+K6debOeeyAqrz2c+L0hpoQQaRdwvb2ZHHtrUW1O5doFm00rYe8n8P46R/NYyRxFZUqhP9Lp
cVRw4L0oUWxOBxzz0zGU0XYSMHffleO0DzWpLqWa1Q2PGpIC5R+lJ7ItwXEFHKm415zajcO02yEY
iz4ArIxF1nHTNHkVJnpeAZVTZynVaZKty1zuneYQH8Q5lxG/RtcaUvunvqXxAodp8HIxwQD5Kng8
xkWaBG+yFfW6AnZgJh5A7zq/iUsyPowmru+hJld9tnTzhSVrdwmMnfgUezmvhVQlOUaudW+iVq2H
Lk73KYLjBF1HkkfWC1ZntSTjnM3MKWh0aL1ng9t3kG1zOPmCQwG8AxwvECVoMWsaye9mF9g5cCjq
MWripjztZoxtluh6uS5HmtxBHREb7ddqO4eAgbZMU13mqEWy2pva+w9tXQsKyagq70TbuysP50HA
K4OMruoGWFc4/dOZ+yaU7YEoDecuXDnRNMeiW/fQ5rWPdBrbo176G2XVgvN67ct9C61jgVoJwaqH
abxcRzKWuV0sDxm2ddltAhZAeAHtdc+WsHwsuRzfcUph7h81wmRRJSqR+TFEp3AwyV31DPJNBoOS
6AONg70MpocemETc7uY0aLNLo0W/E5XveR7Wct5rNJGlaOpmDJlIu+bNyGtKMzieMR0bWs4qizwZ
D8mk1R5irm5OZhzDwZRA/QiNrxQbkpr4vhRTSTd9Hbe+QC5iJ7Oi9bEUOj4ZSUjzfp77Bg4q0eYE
0nPDM4Yc0EUtTs/DMo2nSE5JkWgaF8HNtlAwM85SpeFsEjd0M8ZszJMGTxsme0EzZPU1mu1UWMbE
uYrguEWWlsNU+LTRe5tSA2ckVG/uW9NMaVZXs0X57O3wtg1Y9zA3EGHMdDOuHxMAUBdlvMAxJpy8
p5UUr1PZdw9DZYctkcqpAlJ82WXBtUOUL6KFjMh8iPc1DF4vxErTdw44pp2WOlQ5rhgM2QIJ5H26
GHk2lYjciUnKGkh54mk2GmiL+wEPu4rDqCdr17nlu4bIcORtCbS6xxI9OOEwHP1g+l0FxPI1E5Po
88bj+H5eAUBuqhgOh+kltnPG+xQ9ihGPzabskio65UNTvq3F1L8O65TYLemlP5vtHE5cE0WyWI0d
8y4l7b6p2qt4neu3Y58eKuAfBtm5HIZcm4XPMu/DJK7pBEOLOaVVUYkurQsmNL5MFGBDjqr0ZEwA
WGTMOPpepCtOMjro6q6nIQ1Z0y00ylBEUMiRreMToarqYIFM2ix4hfM0jXIn/8Pely3XjSPb/tDl
CYAgQPKV3KNmS5YHvSAs20WAM8ABJL7+LlquPpaq245+P93RpShpSwQxJDLXkO0jPu58z+rDRMh0
RQO1F5NtvqsyhGBJTyL+LkptFXAcIJuVADBb8Fg+i6iTh7kjrMqwmn7Iewu9lQqX6gzMrhoyKTnp
M22LMsqKKiq/9SSd28xu/+gDVSO0MHfdSaM+1oAb3mtO1JFoHqA+kNOV7QFAY4OL5LKym4SFIEds
XHGR+CYYDoByplOiU8ipWgDCnwZAdDZTEsK0TGk+yn3fh2JvpPeXVUD7Cwd27QpvWF+FgFO+Sq/H
Q6PH8dRAvnQoUtaeTV2wXVj5j/26uCmnIbXgPE18x4wJvlOi7fn/quT/7CL7teCFquS3VfK3L+pf
lrRN1EKjH7/xs0SmlP4PiRj+uzmaBFbuXyUypTAHMEY5JBcvape/JS1QM6NkJUCbfohdNvnH35IW
+j9pyoGVhFAQpNDGsv+mQE62UvtX/IVsfwHKGZEmEOFCDvFG+FFRaSYcEXHDVRScC9ku5rKNcavt
g4SufNOXhU3F2ouFpKJ+8Boo2DOK7u+q8/whiivGc9qx9wKK0I9VHOhLlOHLiJQ6ATTXt2K7Wf2Q
ojJhfh3vgzoscDgK58wjaY0MsnbWNWsuq1QPkN3VZXkDBDc1GSiB5KAH1Z4bubI8LidEopUWu7ap
ox00M/ygNA3DfZlO74AcbwArcfKqZn1/NUzheFzFbC7C1LpvntZPUTMm36J0IJ9r18VH0uv+yTYV
ySPeCCCMwxdmS7rp6dQKrixEQParWk6k76IDFiq4QQYsl10czwdFEmplbtOwmG0e9xNt5gMf6nHK
Qu3K20Cp8OO8LlfRxPod1UufD1qR+3Vou/txMu1uHsnHmuv0ccH9cLu0C0Mqmn5clkRAD7vmks3N
u6gMzCmabHhjm8aep4QBnCi1vmrmDlSWUPo6Deov6Wg40s623/NeVJdQ26ZHMADz81DF8rxKkOpV
S5ER1dpCHphAawAVlskTlCinNNTfpym0+9Tp5ROniYPuQ4PbMX1SAOSukyfoP6o9j0uFuek+Nrr5
aAI8GqJBnxHl5s9yDPiesbbbR5WOc96jLM5i1+LKqpuZ04zptHmIPciNTBLVn7cd+WjmQRwSKjX4
3amuTnE4GZ2pOB4x+jnetcE8syOZmVh3fY0ol4mKFvcR8qC7dR38rXSK5MpH5kqxEGiOJgvHU1i3
hw8qOgL5sSvkj0w/OORyV7zp1yvwv+w6TMPyIBCA75w19tAOw/J1TKK6zShBlTtVQf9XCiJ9yoCn
0GMTl+7KeqlPC2+Hq1EmvssW4YpvKgSnVfc9Pyk6tsBWpj6+pH2qUEKMMblx7Uqg+Uw92LYWUpPc
iDlFPTJMH9iyTi5DvhMeKlaZFYIM3JhhoeYDFKc8r4ImKLMOUPoliLSlzMY+mtp8Np09pG650gaD
io3oLwa/Do/AK9oGDG6o/uom3+2TpE5Psa7EleXBN+E5yZhSJfQtshAZtOcuzJDAIq3qWQ/BM2ha
Pa9VhoL9spetvmuSRB1qqIufIfauD6Gm4muFK+rCL82scjErcXQ24Jmlo/uUdhG7CyoZ70icyMM0
dmkBGMOtl50LInAMiewuEgGBAupfXNvrFPq7mEfd3htkK0KADx8XFp6HsLKgeDg/JrWbPnDFu3da
twoZgtwIi7TQl0HP1oxDLdTkSYpXEh1Axiys0wGpikOJaecVMNVcHpdRrnvtEv84L2bJZtC+B8XB
gKp0xZKMkbxWSWvvhDDAeBL7XleBuE/ZdLIt87duQuHXLfEFkDvtsrIOlzPybHdKnOjuyiYM9hR1
M+TIfbI+VEPdXzfDHL4PkWA9aULNLhAVpAHOunOyaiXPLUnjh6U0YZ52YPAWiH6bONiTtnPvisjY
q7XsyxzBk9wMyILzjrfIrRrNEBRMuiuYI2dv6DfqOIQHkWnPIcCWczNMItN0aPKl7cNqW+SjDaXa
Sd2/D+J+ldkasvHBp2r93gACyn0Qr6e1bKJ38WpAPlkKVBEeKRSMmlfHeIKoVksEchL68VKraXls
axIdTN8WuUhmcU2WNsi6DoEoLcCRyypNPrOOqBMEMXUeLHW6t9G4BmC2ufiMS9CfINZEblKaIFuc
YvkqoukvyO87qDR0dz8YQfM+ajLgruRL4Ztib2hdgxKb52MyD4HNe2Rgn0NfjFe2qe+HrpsuVCra
nFnbX4Z1Md75lncHtyT+jlCd3g7KVgZon/T7qBD22ESdzkMIGXdDlcy7KVbR92Jt572Ll68TkNW8
QsysM1k5lVvBgysVRAayce4+IsnTOdQS/l6AAt6NrBOfp0ThbDDR7zxP6jOFMukaCpgAAatwmeM6
eqpqJJEJ9Nw3VLbt0ZOOfoFKJNoto3+UE0J6CLnZic+ibzISSP6gNV2Af3j4AtL63hN6RvZAstSC
qt5XZMUCtxD97WI9v3PgRz4GC2/ycmoAaEOjf1fWw9pmgSncB1IIc5EiL7woQJwAyq1kekLcDPJh
JFcD+L9776c7KFPGzNSkvpwwYTnH3ntfrmFzITuwzYGAkCWl7ZXwhTpDn3RfrYATwSF3CbA8WeRR
WyQnDfrxUCRjvR/Y1OQkkVdl1VfHTgwThCOo41pP9M71DaCgKVSHqen0sQDrlYVLbfZLIpurgluE
byfdF6VJfwxmIi79PMRfaVzXzxak8g0f7LuBNfzBJ9EjWaPhpkqluXKOxYBDAn9MpnjaGx7Pj0Oj
pgsumi+lL8ezKuPiYCrdHedprU4ToHbAykExXOhQTvtIFxH0EW13B9VAtUtwc83AA97Rog8/B651
VyluZZUxKuePkOkFp9rP/KrpdXkRan7oGFh7EpLbSkQflsBFGUmaeq9bJiG9mev3kDf2x2lMzG2f
jDRfhp4diJHfk6pACCyUOiZDCpGYGurT0NX+SkWRgzuhKj7NKbC/eABB3Pva7EAz+L84jDeqads8
rMr4oZIYwkirMcf4VoCL7Boce7vvFX2SA2qrpovUbQnTR+2C9XoRy9UqafRYm6q9MGDy9/AUzEdU
T+lBL5V8stO6HKNF26claEVWpFO672DwOMeunCDhH54cRVxJSUMPhZuzKiqafT2pL8EEbNuujEAp
UvqLNF2zuCrqy2W8jDsBASNkD/NNVHdFrhICsRaJ68cSRPIDkqrqsjUJrnpOJWpxVyXlbdeN9JjG
RX9TF9GhEaw/JguxQJYi+FsWHhxVGQE1VGFxFZctwk5YTqdClpoj4pfizvB+OUMuQw/wSkD+UZY8
d5F7GihibRdb3h+do/62d3G5ea7oRedte+CJW75MiUxqIMoeSUo1CA7tRWHaTKwm2vHOL19bqE2e
xDrnBGnul6ZI5Q4D+auZGnMomzbt8rUN7HkdSJI3ZRWcCm8hSYtN1aBkjKr2ul/CCuhGJPZubozK
IZ/6Jkcb7iI4mXClgerOeAqNZlWVt8h781GT+gCM0B+I7HGDOkkvPOJAjku43yngcieI98hfEJfz
bATfk02j63adGIs91YB8kHrY/VBX73gMiDgbCMRzUg4EqsOwPBMs9VNHh+IULlLu43bqh6yAROzC
gkHJCxUMO+PqCfhELONPRkHzcqBTzDPtybu4x4UEXr8ob6gb6delj+tbvwBsI3NY50xW4UG2kM/Q
h2SRwP93ck5U91VPzSyirGnrtHkfL6qqogvJE11djtAvdu/dOmPWuvHbEgRAn1pkyllpBfWgtGoa
z3nrSg7EQUPotaqi3UFUUI7ZXKzL91706ptLMULkCPwTfqd7CgonD2s492e5SmCP0JsvOzIk+mKa
E3Nteny6G0T3meHksWq1sLQAzqzS1OymAmoTHfO+yyAXbb9ZSeh1p5fkLELqcYJRzN3Ek3jvFdhq
Y7n4FtX9IDMf+/5S8tTtuU/tvW0My0rR2Iug6Zt3xCm1E6xbi6xTbjpFNRBmRIN1h6wv3HURUpjQ
DU1WFLo6CVtHe+iewkvSDtGFJVD0AJdgexCEC/i9tWHQd+B5pOq7x0XP0ceBVvBADbpv4mygmxmQ
1PDTYebuHUt4rutx/Qwi/rYoE0wrqdPlYXFpsZuhZZQ5SDNyDWlImJfjMOwsqwHrDTwRE7xZfQL7
m+3LDJnWBP4CNGE2QPp0sTRl+b5I6vHziNQTNdMw36ytLx4a7gfoXzDZslHlMYAOqch42KibQM7O
Zl0LRbWYenJey8E8SNmQcac7fHTyKT9XcAzcjwVwzcJQ88EqSz/RPjGf2q74IJuYXEVh73TmWwIC
Kez7KYOmts+mmVzGadM/zGoZ2p2UfRtfT4uK3rXKfIm9raus90sB75siPk8cwbWvfQFpEaklgPl6
rT+WpC8fk9LJYwKnVwElPQ2PKIXGx8pOEL0GlEEOHBWXQ1P0O4yoPZS2xCFcbOtB9418hbbKItcx
2gCTV9w9e2R9yPgDPmS2W9Y7EycVNGNpre9tkSITM96abC6ncD8kAd2HsU/PrgKerbwvr7ia9bmB
rfWm5qgc4kVgM5HguU46/6gADfJMABeHkXVF0CC8Wj/C/ggtC50dgWsr9rfB2vkdCBJ5HMO5vm+3
PIl57CvrozEDeVZcyB9CZ2S+OSDu7tSWkuYlyrIO9eeWyFJurzhDcq1bwrcIVuwBn0JKgm1XNuZT
N7qkuaVgqxiIHUhSrg0YZJLN3aCSfFJiADsA/4//FqwtcXc0DcqTUBDK6XYO1o9ju/TLe++CEvdr
MKLgHe8mMoDj3U8T2iz0WQqLo7vElNgkOXSFUSJnA+2mKvt/DRS3KhqD5QYc7FEGsXlf183y4Rf4
59/5Lt4oakhCIDiAIylGVgZ0563RozeLK2tG3U0RDHwXpKHKaDhjRZpzkCQ7WTyFDQPAGl6wih+C
yB64ovskltf95PdDN+7xqsfUl9Bu6+PvB/fGxPQyNjQ0oJGI4V0N36h9GjobyNhCdwMe8CbukSvK
k55v/vuHbJbuGNqOlMRvJ4CX44Kid3Y3OiTZ9j8BmraNu8OPx/yfcOdFuPP1125Qf7cz+OGa25wx
/1m287ZXwf9imT8sNT9xSQGlTczgcI/RNiGlEYHy6kW6Q2PocyioogTWORy1DX38CUzCocd4FKPP
QghmDHsLF9nmuacJmmiE6KOVAvpDN60w/m9QSQZ89RdQcnsihQNIUJjOBMxo4XbAfnFK1bS0LXUV
/w50aETaGfYRxB856WftP3A+9dUXJKscyLpZB6hFxnDhasmDTpLnorVRC0oO4H58kSq+QlaaBq05
uRTulOsaKBDyh65aeP/Mq7FcgEwKUZdQ/QM0ot8hf1knGOSXuP6SJLyXX1nDjLgphDY9yxqqBwwl
6rltbhUlECLviprbCgoBx5vmiqKexpCLpqHrJc55W/4VIG/H7/yypv8myrwGbkHzExxeCKeh2MPy
QUH3eo5i2mhES5V8l65rS3MaQZXDTY0IZ+OTH4pRuxxoLTre1AQCA/ly9l5aif2bx9PNHve/skg8
P45ZzMII1gKsFAbz+vm+hNhYEKG/lRT4lc7HjnG2GQLCwJQHhODCjjurxiLCRRohD2nvXMTWIczh
hhaOXYxCtUMFBMGAN75JOVz/4R/mCFv41zEi+jKGflQp25q3bNvy9RgXpYNQWQb8C6UNCXeFj4sY
9uMkGlGdtHYU4qniRI4vXMl/nJw3a7M9N4LgLAw5gbUId8/r5/bT2sVdwJJvxYo9B3sRgeL7k4pk
CIwQMtVJ37aQe47QQKguBBH2+63xWlMZ4fFQ1UHdF6YRT+Dp3Kbll+NT8FkH4MbZtyCGmITl3BHB
v+AgBeO58zqub3RAO3q9wY4TYCtCUN0MCjA8+a9HghpDoBqFFICgN8sbdkFBQVqXK7HfIuFw5A4r
FZ5CAWwdKPS9TmQkUGdiCpBHQhYonjqyzjbdz7ojvfvDqry++jAtPBQwuiIf5QJLw96syig0Kdeq
lV9lCpTIHjsDkyu04bIZ0vW4QnWKLfL7ldiYotc7EIVZhFOCgwoh5D/olQKXOEjQMXhWGlqx4LSM
yMRU1iydQrO/yZWRj3LdwOXeZ0saMkwE11CFPDS9KNcc/SZs+5A2qrHtzvDOhvfNrNvh+ffDfJ2w
gK6C7DiKSMRpjBiO7m6vN8zkAH0iu1yeFztabAIyVQTrQ9DrgwOrs2wOHgArmu3QoJLcvui+mP6w
Pv+YLLrJQQVIsjQBXYbQ9noYUKoN44qS67lFBosYXiJ6QWs5r2Rc+SWTHHF/KOCp+9KUvEVEtX1j
KT9BrgL9R2YUou0W+VeF32q1r+fLCKY9KPN+P1307QFD0y4m4hBmZRimIZx+cz8tzLVoU+HZM5yl
Imj2KIf6erozkGz1be7MajC4IG5m/KwDvNqtO/RZWYMH1/fyPKQQ8xV54z1ZLxtlYK7eKhMhwTxw
EtT3okmBfgKmTBeExDAoV9peEJ/W+KuVls6YPxxTCg7y1TaFmQH6a7CKFDp30IpvIgZ2Zmvmdu6f
Yt5xoCM9gZzUgBaf4DfKqQdOCPxjfYmeqPzxs+lHOOmBmuNHcGcwYQ6TY38+Q9HbKB4i20gJBMYU
QmOc3TfbolqqoZGq6596i1Nk9gzQbXQdUsXWSwapAqYjlbB+wra1rGsMrad1gFEQ8J24L4yXYOmb
qPQfbDAN4ibRYksQlmhu6vRYTXxbnm5gKbbQOsd8vu9tWfkPvgZdUaHmg2ILChzMPhaoa1OFb7LV
IhNJmgUEQ8YgKMaXwZNiTHZoQcOGgwCAjt+qlkIjwTA/Hg/4L4BzKumWEn+iQ/KAkeug3XKDsedN
9WUZBEi1QzpbOj+gZYwHzm0raTNUKTZEF5VCNsupiHC5fob/SUYfZjJTbLIY4qjyL6T2HVKU32/2
t1ETsw9tSozmWlEsOBDm14eSybUtKLxbT/C2DHCIQlcSAw9yXdnVZzahl0y0//0T30ajMEYsCinu
bRQp6T+eOFgyKNcw95l56OkA1U3RFv7CIa5weYPT5eJJlsxjE7pwGofiGnqvGPv098PY0tlXh4LF
Au0mcFfwEGZ0ZMmv39yzeTJBKpoPDbzyI7yzkPcF3ztYUBGNVDW0dG9l3Om7eUgKRJweXBVE2Qlq
5w6Af+wAvI1guy9rmYiHBcJnCLUGmB3m+zEJiM7RbAmWBmwiGCkhHgVXk0VSoL8MhLAE+7CbFbKL
syyrcTv5c8TZbYj7vl8BSFm2zH+oDd/GtYThgkK6gbfeWqmhJnj9xpVA3xRnhvhxRtMeJLHc2hBJ
7Oy3fRshyYrAc7oF23apQCpAWTn+yGwD0W9bmsERHMoHuYhtS4dGe3hJdB+yLUQaPxB6MDWc2vro
+Vrh1EnXbDk1heEKpzOmBsfoD4v4JrIlyIASXJuIalhBNMd8E6rhsm98V7bhYzJCBNgfxr7YBjAG
bNqO7o9zjPZ/K8YmFWyRY45YuYUU9KnBRRMoijSeLnz7Vmdg5PwCJ2QcnTTUnPiWWV0nbqRZ8Cmo
DLdXXIsGQqoqiC2DGc/ODOJ83Bd43T+82pssE6+GviZRCGkPAAeoS9682rhU4ESmbn1ET60tUsHq
h60Fk5/uvo4kqUJoy0Cl+Q9xCCq9AhPeUSzIIpq6WPe+EXQsYKoOJoduW4PFdAD/Zth9bPaIJq1G
o6b5CB10v0W3CWHzpIGoIayNyEjwQD3CDhzmqLEopgKUFqZiHGMFbTaHQxFHQoFox7+9zM8WCrdG
cf+qbO9e6o1f27W9OaMJ0gVkV3HIIZlCy4i3qS51PhKrMMH7uYk7RIeX9DZUkMsBU09CAMF/Cgtv
rqPtkWheBR4H1xLZuqa8PiSk7JC1wnPwfphAV3wZ13HEhsLdj/mJyj6CFFq6AO7hTNRsxYTXs2yR
siDoYZacXerxLhZDIssDRJ8JggEO5Hxv0e4QN0AD9/s93OG4qH4uW2EceIBsqZMWZwWnaFuOolq2
hQhKkL7gktcyne9J13QYCa8q3E0Qv2116u9nO0rZ65iIl98uAQQJCrXQPysqpINDUJBlfa8gpIDA
B/3YWJ9LR2R5I0If2XVvFNwMSZaGMAGqzMJYai5IDUkvz3pkO8GlLZog2jDfmOXGdUvxleianJyc
IrGr4rarv0G64e190wEa/+Ig3nG30UzJ4ncJ+B3e5wb54zAdnOPJfGONkkuXiQZM1BUjlsJN0toU
uOQyTlZm3ZIYX2aqnW20wNdazTgMs7cOKOUS8DIqD2lIp+hBAP6OipwsdHLTEcZxRSXyN1mM51HF
yMzyGGY171HWYiv256Va5ZSZoS/FYQZBBVdNEyz+PcQBof4AU0UhdywaQ5qvqE+h7xbFOMCIoENX
5QWvC0he2LgzkJf7S5m2hBwhJ1DhAbhhosi+r7omelz5XFTBY9qRZXm/QCQxXgew4Ab3uDHi6Ru3
QthHH88gLrO+69An8F26+Lo6Sg104+Ahjmi6LK26jdyPrR9M8kybMmmhXum7edl0kqv5noIjAg5c
1W6g5WmUreHJDnUAr8VRNkElbuAAC6rqCJ5662D4HcIJNmKWF6jKbHQNTmXGlvYUHK16xwQZBdm3
0P338XlKIfKpr1q+VKbYl3MxuvkKPEOh9UFGjZv4vWxDZs6ijFSRHLBXBLSaaHxIcK3XIGUcVDNB
JMy4gyfRl+vZFQM0SEenG9w2eZW6CAF27vXEP3XBJPhwxuZwgczhUxiAL0w9sq4UbBhLFnELyTDw
8dvx5ZuB1jV+hkbwER7nYXcwz34yaThflMKC7zhRkE5wZ68lr6b4uLQlbWqg1ACkQQrwQON1CsZx
qXxZ5CpImpdoCMCL29X1ro/voHEoXX2AWC4I+zN6IabJfAuGFvqvDI7+DZOI7chV9SEupAz8ZRTV
A2YqgFOdNteI2kbxy4BJG9dX8B5oWt+VpSsTuYf3ww3FvtOUYewIWduQ0J2tJuGeFGrVZkf6qrQJ
OgES9Hz7FBZhi+c1ZZ2mj1ORGAOdQxxjZsNk0rhBcirU9kcwfqQs6GaQbjl9BBpqKwzQoY6JQ6nc
NmOsRsuRFDSZGoOHFjIpxKkIzmf0Vkzd2GED+Bb5xnFMbYPP9S+vqkbuMX2mjPEf3CWDxNNqBSX4
Q0v1tjy0jyCB+kjrZZvnNoK3btwFUwCX2ilA00aINoxBQWMOVmtkWrmDVjGGZT5RfAqwgtFkpg9j
2U66xXwFynfwwPuILtdJGW9D1ljp3j8I7Cw8geFH5lkGy7bBhAViP1/wFXb2Z5CR29TMM8VHccUm
xmEMczvgsfnP97GWMfMMwE3he3zpO/FQ8UimLI9cCgAo69F+BHPxc/dIqCHxJ+My2F5OjuuPyZiw
ayyMcz9y3JR7vv0bG3h1zaDlDR5+TnXw8vG/J/nlc0AKwuo6DvsGA6BtoObnSsOtYI/QHqx4aRNC
tFVn0DoXmjygAC+6NOMvC9X5ecRWQ+U92eLc0hR6wU2rP6/iNkUvFczSHDY1PhL2wNgsJFfoVZVm
0KFsSS+akUJhmdcxNM/P6csMdj1OEOLayzupUKNGy/uuFY6eVihm8GvkZWlftoeQVY35EREU3ARC
w3p7+UWsCvu0oHZ7jIqUwDdXKINi9ehhnZ/GC7wp26b3ZSP5aYXhZY+X3P4KvBwDfg8thRl21zCq
begvExp4B/I172rWRfAWEjRCLM8eFtalPxYbiISGmXrqcKbR82JDPgY0nHnWcxyaZzR5aLF9QHo2
28tb9CcStwOw7O0PhvP2Ba6PBF/qlmzHofF8G387Qd/hHqe6qAt9gFoGf1cZRgt2qoY1puMle9kr
uhzSMT7+nPIULQMwnEWzCn8EN0CHh5e9rnDPz9R4QR6RuZVQMvUmGFudk6GQeDgvFfqc78a6B7ZZ
AzAAZINlUtM57ortOE+4X/G9ap1EmRwqJIvLegELXr10J7SlIGjdUacRxJuZHArAhjSlEz6vRjPg
C5JGXt80UA7XN2vjgNtx4iigIgMsv75B1ykJUMDZEk+HJ6abP4hWLqgC5Oq3ve9ShPLysDATIsIk
FqajZF+DssVHIDaR6XDmKa6q5TMRS4l4U9RdV1Wnn3ByOdbKlodJ1ah3v0IAhObep75UmI4j+3Fm
4BysMWGDdJX0H5hKOjc+GrQdcOI0vrz6khYgkHcMNp4Kb1QVboCHDWIrRLnRRtv00aXfdg3wqm2L
v+CnyVChG09Gp3B731HrEF8glTH4PFp2cvybrj1w5TQKqzZFe1e9iuaa9dTiE2KlWw2Lnj0D9tUL
yOIpR2eGw9QaK0MosNETK8j8C/QmUZYDNTQczYnWowR9L56aBrVTm481gAl+2VRiO09j5DRA+KJK
RoRKJuSKO29YEWnKA2q9bfImzTaoIJySClh8WaN1Gr+0a423/OyQnsngwsnBWn2TsnIDKbsJ1911
XEkmxncRYKxV7hdZBqs6CNfzegCvHVBoNmKAQOIpKqAqhi0OdzUW3wcRzKMH2OO2a6PhcttuNrQU
m+9lJsuxAxLNNNFsvnCeNzJ+B4OLCx4skmmgCr43qXhCvMX+ghEJHaWOZUS2dwBlHyD4o7zcUKpa
I19FZp02HexKIoXhjj5HaC9S30DXCe3jIQq7YQz+cuhPusg9bjRW82yogX8HeQLxiP0ARNJV43tS
mLIocsnhO1ruoQmkzHxLZz2b8PMgoZcmR1tNMyweaGg7VB98NIVRl024HRYU+5R2yCnjmKcTnbDL
GzR9zmd8M4hB/zowU8vu55u8rKXpIUzjOTpirNtr/Qg3dT1v8S9diy2aIPvfDi9Mvtsn0C8acybL
cPse+kgE+MRarNsHJQM60exRuW/chq5lj6NcIFuUN35cab+HwybeTiWkD/jJzy2LnBKRCD6D7Ucv
EPwWToMitwvMoTGIa0uSuwmNZh26dRAY3J8ieMHS8OxMu53yIkDHJMD34InwBW27EC2MJ9jfEQH/
cAPccht5pcE0Pv18ELcprjSDrRI8vFRsrS59XGVl20/Ru+olYKHLzfaX0QZzA6OD2mwgJLr62Sja
oSmu6WSmjJiChwm2IrwzGsGU2Eo6LLY0TkULnhHP9Tas6ceBC7oK90gGH/52yPtwoxl3rVu2PRlL
D2VDBq9q2zR7Bfssdu/LhAAH3oJelcCjjPAO4Ux5qUJWx8kfgK83BT2wnM3tQUCspjGkGG9hZbja
kJxWffiguk5g1HGBRk0PFi7b+sZAJoBBwAa9nS40bN7G/ofq7nVttz0e9hTByfb/voPnvyls7QTj
vxtiQFUvobEEBrzNPwiV+g8CgTcAOk4TQcsRPAuQFf4ptrL+F4bKoU9iIpFK/r1H4ASEpxd9s9Cx
Bk0ctt2dCrUtKjqLY4W7yEZYsp/B8fev/RpCgFID+wf9K7bOsYxhn4evxyJnFgK+LYuHFKyaeNIc
VjVzGGDSYnvfIXX+0zz/84H4/2ABcICWJyHAxfQNrljB90zrhqAX5NLioigq3PhnNOBEmPt5sn//
gvRNEwy8IbBbOH1g6gjRUv8tkLnUZVTA0Czuf0YMp/wG2sMJsXJ+WKIhmQ9lL719Nzn2/9k7k+44
lW1b/yLuoAiqbkLWStWSJXcYkgtqCOqAX/8+7H3PPZbvsN957dfbjW2RSULEirXm/Oacgeap1vXc
wgD8oHWY7rS/dOU+kknxNjGX9dm8XB/CPtPBX+/57Ova5M5Wc1/8fKkm6jrecTXkEes60MyUnyAR
w8yb6VtsDpQWWrJ+kExakLexQXCy39mlVWNsUCwtc8BS3/C/835ExnU6W5wng+nnPEv+XGb/fFs/
/oz8cFB6dJuJCR4v72PriX236U2ljddJl68r0/KjEJKdXQ13s+YNguSi//tWFywVrmfDSsEZttpj
PnKIXEU1gkJsuP5n20Oh1mQbvWZlrTdtl8b/UWsNIK/hGei/eDEwiEFq+bAcWKhKDbxZGdvNWgVT
JK+/hpvDJ9lWXbNuGH/+gusf/B9FAf1Zn/GT4A1EjyLoaH7oZ07zotJ2sTECIZjN7cAtMZ5+dlpe
mL+9gr9fip/OY4LnCU767sfvVkZmOQ+xEx9+liKjTXeE58iE6fW3Efg/Uox/+2L0CrkUHGrzx2De
+7iu6zpzGTcFNtAuYGq7rWmrVY0w6MIc6u/dUjFDD+oupreKoT6CBguj0o57ozyzWyPBQdmbSzo/
2EHpPei3ZWTHcX1AV8dM+DpSaW4oLGMmI6fXroGyEG/bzBQVWLBiWMye6AXdARPitTattisLnpTl
3Po/53m4VkfNuomq0mjUJceABFWRIsdJoe3rGVKNAwcNFzRXoWWSn+KfAgU85vrY5z/LCip0j83C
+bGM/Txq5JPO0j0lpcnSzdFwLQOm0cTXdKhN/EnXlTnwP1BiOYN7bXVIWSkff9Y2kuEob7suPWPB
gdD1pUGkRteClg1BGRRYs/675dGwbYJl+1nI/HhUmaxN3F8A2usm7jYjnSXOFrljbiVQBe2hzDlV
jCedaUUaB4UqO85T9POLrHiyKHt969rBzyzkMXN0bW0GdGNLnxVCwnoO86e5s5owyYeStisdGJcp
wyZLeuCGgTbU8aSXm8ZCPWTe+o0PBmYbN7zczaM9++NSPzJvWCda1IA4QK/rvmOI8JhKus0x9kKB
nGCXtI1hZEFpUHR+nzl6dh5GBjWZn2Hgzb13TdsskneV72c5Fsiq03ROwiwcqg9IUGGWvq3qmd82
nJS54INb6dP1GFCaGTZ2fgHB4yr3u75DjlpkU8pp2vda5qL4FLu90It+enf0Mp8xEQkKbkzyOMza
l4rOi4aT/OfI7Z+1qGEeHjtXHkxUDhxVUjhAZ/6ps2h8r3XiXPXrpvPz0Sh+VIOVW+Qc2VofRQyo
pFZ3SpA6XVy7fAwzhxY05droP7KI194DNA5UhGVqxzb+0Xh6sOfUzsI5RYSbitE6pLq1HMt25V23
cX3vto4ZKN9Ort20L9C2i7F9jHioDyK24Vzy9kHlgTryEuspwlzfwPfjFVa/57BLS8ms7LMn9c91
zutYQe69cqZUhq5IEn5dXWt3mavENqvT4WbJil7fUpX3W2/W4QvlnVN+SeTwYBpCnluhxedy7EAS
dLSg0b7Eh7EefGxok4diPmmY68v0a9o1UVgkMDBmUVWhHfkNFnIThkhUMQUm3kTwp725CkRWubuJ
P3n0OI+9A0wb9ugeoq+Nnxf7XBkFzBg/wyKb6fWDFPTmNwUtmg7yTB0/TWrx3gqtsjnKD+Xj5Jnp
Vjd7/SR0H/pArWnWlaBNt2v7rvrWwTS4o3mIRyjpLf+rwaiH84whjXvgeEm6k1gctkZX9vfdKGg4
sBSE3ayGk9VBY8aqN3kk1kC4815SIm7mIwqE4UtniszY1oPsOeakJRa/0bK9bx5cThCmkdaeSh85
QiiMPrtTI7EzNrP6s931RhPAtqjf9KyTV8oV+rlzjPUJBd/FDDUep5OinL3obj4e6X5rBIRYiRl6
rH5Y5yYoMgs48IRjs9ReJ9lM3xpNUwEmx+UN32dtoiiQyAeXpePJTQoJ2cKo2wH3zZSrkzPEDfJ4
Q6bXs+GyEHOkCsbJKqwTTsRCnlqFrdSUg3m20Rdv6PQ+Q+T4og9RdC0MXp+xG/qQ1qKebmL8lG5o
z7W1FW5fXctEtK+zVNRk8JX6GL5ojgYiBy8Vg0/QBqCbTKbrjWUW1b6mUbAx9bK/U0aV33XJ3OdB
3vfxUwPz8qVVskTmrwYVRMaqzs/4fExcySnJefFUsgRCedOtD7IL3hGeybesxNbLkKd8JlwS8IUc
jTvsnd6R7A4U2q0enURaibfOw0KU0e8HC0/DlYtGPUZereFEOsRXGKbxjhVG7r+1GkVN6FGfZcDX
uubWmZx8x0LvOIGfLu6hh+l+i04HbceUtE9mXUksWsrYw5ty3lorepo4Jz8tDRD3fSMFZtCmjL/N
3JB90rvDsKUMnB/61rejTSsaJrY5wUl6Mo5HEmDkvqEONVacvf/kV73/jvHSeszaqH4fl3H5NvCA
h6NbmxeBsGCvs1OEjWr6B+pLbWNjZL7S2i7/vOh1tbcK/FUwShZxncy6YC9bSWnYsj36QdCmDy6D
mUB2VbbPIXw9oe2y+PyjeTL0ytplOM1f6cs1t36VtAdjLvwHzN3LOQb6ulUuSy7H4BLck9D7UzuI
6bbqovYRNbv4YuVkpGzMZsY/NZe8PPS0bgyrH86qdadjOimrpm/jVfvIKaGoQfjON7Q9/OOiQf+M
oqS9w2aQPHm0Tl6bxesf2fDB/0C5J39I69EwOemu8CP7igk3JoYeC2LoLXNl8bxjilpirSZzyktu
wTFKWO+y0HftlDWvsh8EAHF7Wa5aXwxnhEo53YGyfoytxS9Zs0u1tVwAJgYzv2Ak/efGG2OLznyr
fdUiEw3a1YxNNPUDGM/UuqE70NL2rkjfGd1+q5MLWEAW+Bcbmi5Lca2Jufp/4UIj9RmeUnMcmz0u
bkv8goPWMW6dPlKgPX/BN5Mtvf8PBbrWmPef4Zu73GtHn/r2qkH1XuwM1RrTsRJNeQPGRbtzKz+V
gaPapN4mvmzvsdOM5ZaR75ycyzSv01BrKxsRYhQZ2t6Fi7TczxiTh2S/lh566DeqLmqCt2Q9xfkp
50zeFoHhUrkEdjlE4+V/ZwIj14uMcDIoEc89B/H+2U45/bWsIy1saYfCKa6QFR3G3sHmbCq9yh4X
a47wK8yq0f3hZLLY6UdPMBHYN8VctWEydvbw4MNyzVDgxAUWnBbHMVYiTeAYSi1UMxsTw91dPRv4
MScOmlmgwzXTryY/UzgWW/r4l5XZM4UI5JawprN1gtlD0IHh5qeepIUuuylmzYEIvBkhZSnYRzoo
ilWlJU27vOl7kXl9ODuZA3euGiAQb2uP8WYAwcwst8LAz3uFOy9zcJXR5g2WXmHds8qZwY87ZPmh
gsBbb2MGhZc8pU0aZipVB7InDGj6np7gknKy1jjmcSsZRw42oBpzYvrt9CY0PttXLp6+CGwuyGSL
Vhw9u2dDau3X0ac0sVqJT6yuI8Paxpj6BzOghEu0OmA2jxQNVnHi3M+aqLGvNQMO8SJgJe35H2pd
S1X6hUWoAQgB4hFuDjYn5W/z0jXcZCtNBW7/YmijM8BIrsrokDWeeIvH8fOyJPFTjC0x9qWdbTgm
lA8T2o5t5EXA1tg8dBYJp2X85S4A7sziurXSAe5A6wcSqsMaBmVhlSpLu3xoq8IJ29Yh/wraE+vr
2JdfgCUvO7cuGOPFCt9Kzr4SGKqbmnBhsxG3fpdYDy4CohbsOr0engcemA16uOmrUcv8TjZV5207
142vuhqo2dB02BOhqI3Rka5xDG+9VD6YrqwJzaqBzddgja5y3diCSKrPeWRrFzNX4mxKhpYgmBhe
+xyLQtOMxrcKD/B+UaYJt99lEw4B+jTdVoKavUY/OPVH2U64V7tJV+R/AOwUTjfKjQ/vEw0pgsjh
2Dl8ue1Mk/thiQjBjph7N/uM+VrY8lISXDDn7TW7PJt/6uQAJzPqCz5CdM+uk+4GQo6IP5PJc5bG
xmc6b8Sf5Ya/r3W/3LnSzW7hi7XBWDrJCzkkT+Qu0FDl4LZzzSh7rSezrze2VWNC1KP2NJhWpDYR
wWYeVr0Bf6Q0+dKxToc7VWPAYde6yTiWgKM00i95Yrmf8yg2XnLDmq5GJrehLZv6aNEyfqb5bmJy
9hclN1amNxcniizqVuhh60Movoh8PQzPVbnu2srs3mtgTxC9nZRBKM3k2jlWdpXWQQfyrGfWtNQ0
CzEHGwHGQPDPUIwz+4Lv0XxPkoSoO7PgM0BRcHF65fzdgPYXz0QyS/tYOoPphn2CkBNQGdv3qQRy
9klyakuCXFqW/pmNF1egr3nTeND63Al7mWkHMOnm06obALk35gP5h5q8sW2VvePjlGwPnDx39RCh
hqoj27pidNee5YyoZNPGlDRXqhvke272Kg062ozjJh0LcCD9zLvCS8k5bZB0Mb+OTK3GDRO5cVtl
o3WiSQ0tbUqhaBxW2eg3gYQ02pVu0gMI5/y2Ifoy6sMiaqCjaA1BIoGOYfy574ri1ZWjCvLOAl+m
aw3UrMk1HpiueT6qIGq4jdNPSbGfKKpOrH4VNO8GfgelnE/piYoDaoJFfoMWDDDyYD2Wui23rRxx
GKBI4SEKVmB0JnKAUaPDKKXMMepRpLXb9Rg7BtHcpBiPbauKlpeqG6r8xqyNCUDl2GF1BrXh1IsM
WmOIi3mv6WZWiRsHXoG3yY0mtd4KZKMaRBLNU1m0Y2CWK/2SJ7VT+wGnbSXwWi4JaIrAJYgBT3jC
/Aoz9YCaW8xhNRIgmJ9nLzItPegGDmDythjpDlkbhcybJMx2kE36Ese5qONw4lVhjIIbx6razaga
/My7mFqtIlxl0MrvXdOp0SZEJU/Lams3zNoeIt1k9rKXCKUI2IB0SZ7FbTZAebSfhYZcCvgAnI2J
6Y1q+frfYMi7Ovexy6o59GWi7BebKVPy8LNZq8l14NAX/toaNY1IyTOpzuvoHr3AOq3gPVzcr7gt
deXs0VUvvG+N0fnp6wBvUoMA5tHo0jjZRtnksEWwHMPcTGgoeFc9BaW61jMfqkEwxB0kwP3CdItf
iy0vq7N3yxuqsQxtSENzdbYGvt6ySWtUFh0RQR0RiA9Wb0Og3DoIVVPrpA9DM9fokNKeGoezQ9zs
JNkprMdaX4c5KqSLiZiL0l36rJgzSM0OFs4efk05A/NMxEgnNQ2QVA3FJLZxpURabOWE4sand1DV
3tVC6edtI2InIqZgIyS/AWt74+NPnhdLgCJpy2fpDcWThrqm35g15rONGHh3tqhNyq86VMiFKY0O
fWJbO52fhGOLTkVtFrNh+Lg4w/xDZX/y03i8pVk6HugDp1c1hMggN53hkhnzXG6lVSLWGn0GwVIr
HjJfTe4R/uribizCD8VGVVNe7dteR8WoPAiLmHPG/Ktc9ChnaRUEGDjsowN4j2W+71JtUhQIWrGl
AuWEGGXStvetI/oyjEpPvWtLpGbiJiAjG0D5iEcMp7SqvrSAXtpNl40cDapFGzmNQJdKtpQTLXjF
xM7Hr7EGsFALqKjNKljyJN7h0xphcpaD4SHOMVc0TqSLGq7SrHcHo6vdVyCDwugCNzLjOqChmNqc
UN25uy49Rx9CU7eH/gXpA7KJTStR2QVoOpqRAskw0RXR3LqOOXmXG9FQh18UAze1IdPV3bq5U5yg
YeDbRniNuQJtnSyRbpgzlEWvsoFyuQSpgjCZ+WFcFWsbHMLNgTyLJgsGGmbvC4IFno3IvyNFt+Z7
LnLnGEQqETWmQuFHHqFTaCu+aYiXaB5mMr7SWIa7zxwup+TOzcp2rbosMz1QwTinVgAQfmeJtOa9
NYrsvp6s6IJMMv4atwZ33psWhVxthU/my5Iq8Kv69OQpe7idWoAu1xIbG9Nht6xZTd0Ss0Ju+/cG
7UMiFTLwNQZNC7AkaGM+TZbAR2jnnThUAq5pM7X2QxPF9a43K/3FaTsD8CU6xKQtFhT63TJD5rbn
azyVJvSmoRsxdRUVAnk/hct4hDmDOq2rFuSgcTRBCpr8YpVGcBqG2ehCf2JCxJwVI3HahfG4RtpS
+UR0YXrpIi+04g5uYFzN3cUa5HAVmwYRB7odS3eHEEI+TsrtUR33Fd8SNYD7megLD9goBfhNo60V
b+cJwlKoqWdCkQDAIEfBWJyEbOgZyivaJbdLSQcA6rKUEGZGBHahpZcpcCbFv4lt5HTIRkoZjpb8
PsFkI2uoU8HU2/Ory2oxAveoWhkWzejdd3YLBw0kGBxODU3PySrN+mIVkXmGlpO7yIQiGM6QE/0z
jEnzfS7S/KQ00oLR6mUAiDzzDVfMUDFncP05SO0OCrY7iXQOhwkYwAZgK9REoN5ewfoLiOCcGeYM
/8SZ7GctSqS6pnMF2gIhB6GlhSyNV+DcMTgwhBjXNQoTfetO9syhwDdxNTSRTn5RaWTJI4iEdoKn
zP48Up+HidU2P8A5zs1kgQmh71JHpOaV1kuDygJ261AAiSjrl7av600CoffeRVGJUCoeeeSL9jUm
ICOmtlJaoFF5XNoBe09H3+VzFQ/asYVtWYRtmrs3PeSsUw8oOeBEnl/RF3APWqR7z3SMU5fHIHbe
pblYZHvo3f3YziYcBALZgmwEVEC1ppdIZypaPG7XeYcOurUTLr5G4VSmvtpX9mrsxy2bElYCXr3l
URdBY9ngbyzfOFdznaANnIyXJJrVix/1xkZ2g4510s5JKiyi78iK9ZA4l/7Jo9zfGyIy3msU6C86
/4REXcWNQ/L/gufGuyiG/Hs59is6bnhDoNzfykEHG+P1tW7wHiy3fqwR8dAaotyzHwBjHbzOCsnk
ONNF066mxmw/ZTQ7Qk9xUCGPBoCCSoz6WfMK8ZAlQPgDQVf/KGVlMApDaZlb1pd5oPvfbnNQn037
zgaVlyPZavhZ3BdOtHUp71vR1cK+6TPiuRRMBW/VJrUN/mdEAgo4VsOsgYFjfSNmpDTzfjLxapgh
lCvVJ0d9SMpsOSLknvunKFWT/cWuRJ0fstorexFEAsC1FnojLPGWxStHzcJMC30ESdCpo4cI74yF
stHT5zQACkMO3xHoDl3MjWMqeydENXmfnarqWVQamRdkdE2unQBWoM5DpxBqsxNDyWoEGivkyJTx
qKpmvNC8NMjYhY0UNJH1N73RZtDjDDQR6m07OZGRx8QyjXPUQjKOVhE5zyDBZvs4I1aguRstr+cI
k1rKadvn2puiMQsZxBJtDgzRShXhZFndDXXYTY7nGFtdWkPXvA/5Mhrzhr8i0zmYakFJtllkwspw
iLBJZn5Ax3r9JsKJdb/YJ7Ea3eYTyTALecxp5K1JZGjhXUedtb7jwHzOiNspHAB5vgd78c9Dxw/W
N4Z/GKh9vLIMOZHpIXz4dRRd6Zw5MiX9L3qGi+Sfqbfp5Dbjp9YqY9SekzcS4aSXojXdDZh4RJob
gs3YhXurUu5T9mPQ9efP9et0mY/lMqfHruozf0UF/jEANrVnrElx6n7Na7l6m8qfwg/QjgUPolYz
LvvL+PVX9cl6RWzc3I3VO8zI92P6Jk1Dr9fxS3wrf15x/KmqseyqZTRPhJ6AsduPutKwfKQZw8qf
P8X/xzn8LYfFNz18Fv/SAvyWw3I1pF36VjG//x+Ug/HzH/13Dov3XwzcmDGzWKw2PWJT/pXDIsDP
AuKA87ACFbzVyP8PzcGy/ovRtMlj72H5QsTII8E0eQU6mPxB3gqKVGwaOtZt4z8COnyYt6OPwKhk
CcN2bei49kfqSDpj+KbgIhG9ilwvzNA+3+tJs1xQeshd3dDI29jS1d87zY2I+vMBZpVVdCKMlQCU
1hwDnOwG1b5T7TkpjIE5IqHZeF6uPXqy7EI3IcR9W+u9HxhJpm5QQQ/fstY0rlQSF8+czPotvWQU
kkkZXWqdMi+sTJdGTkPfzoj1dtr3nNbWdHHnYagG9RfF07qM/JsGgDsgGLKxLeLa5X3+6LDNsJeP
9SgxjbSkDZPE6+/jefADs+/X78Xn/rcn5K/GKPvH9XxLZ41HZ+T+5nszNUNXcZ7L46SR4qni4h0Z
MmloEffgz1f6dd34cSVEU4bLqoEhzfyoLloGGFwdQbvHKWq60CRSZkNUpLZnq00fQH6J/Zxk0f2f
L/rr8vjzoixVuuHwMHnQdn5dtZmMdVNZdcVxcBImjNqapNJhyrHDQdlMu//zq+GwQy1irA6oj4tx
vOY6VjgmjggLkMRWbbns2BeN6WYo/Mc/X+ujWmv95SCRcRHXIrXoN1ufApWXgCVOj02iCiuwkqgr
QkQdNfINqs8EJvHN0A7G1dTl4wGGYS+3aed0//F3XqVxbEM6gjuXReXXO0xokjuXg5UdmyEvk1Ah
Jg4d3CmPvkMexl8u9vszZOuGgZzQw64phPlBD9Y2PnP31slIGFiWu9pru7DXeIPh5OfJcSa8MQsZ
ouTeX677+2OEzsnByIbaEs3lRy8fbd8pjanxjtheaf6O/JqTNUwrPYDG0J9/2A/XWhEQ0JDIdGdR
RWj3cX8VtBIMDL3pMTWamPHiTBUh9XY+x/NkPf35Wh/W2x/XspmQCeExbfytqMnKHuIJFuPjMi+T
EdaRW54KdNZG+Ofr/KrjtH9ex1qz21hkeFzNXx+SgXjt1qlVCt7Tpj6Ee8WXYiBnbpBV2g9JmhJ2
qDgXgWFj+hxt9TJOLn/+DB+enfUzGNTtYg0Tw5vx8dkZafPRA+75DGMXh9JAq72JFy2+RLgvT3Xs
2SH9hPkv6/mPuvDfFvT1shjV+eLo49hDvfUn+DcJ6xg7JNJELvA1Unc+tVD8TlTc87XMqmTfWpJc
UAY5isySWcUuFslhHo+TU6mvQNia9osc/fKUo+s4xNgeThFc4VO0ZNrdn+/O//Y5UfRSGrhUB77+
UTbI7DSa4DdoB8Rpzvs8D4KBQ1P4/EQFc/gD0SDS3cwZ/ratVk/5RR9NROx0haPjkNfiTJxEdFSM
x659zelcDPhJnZH+4NNX/fNn/f2p9VDlWasal4rkN4Wjzmi+Ju4Eih0NUFQMhF7kAXDufvvn6/z+
JsIl4ydzXfSSvCAfhIZAgbgpWpce66le7lAgELdY5bV9JlfXfvjztT4u5zwnHn1whLdou0nC+03q
6nWr5idjOWd8HcZeNIYoRIag4FXZEVoWB1KByTYG5b5qZUXSaW33f7mxhm6vb+KvjyvufkTXnCf4
oX9HarUSHVtjRgd3mNr5uA5/vE3vK0se40EudxqOzXc7iUAdQuJsmbESuM5/5y29D2YL547B3Mkn
7vyW9qo5gERFDBg0NKIBKuflciGEMzol0AyxoFvR91ENxbM3F8tlKaBBbfymdR7cRuUnk2To80jj
m3z3cjLv7SF3HlB76+hAPOMqIRBkCMHza4+aOy13c4y1gZ5aMt6UHKjfimjW3xdaZJdOY46z8VUV
fS89zZYnZkolMsFRRhCwDNGh0EoGgL3uqkJC/S8A1zSmeEvI+vlSDaX1NFmWhGYQjSVEZGKavhcj
VpqwRGyZ0BHIkkts8WYLm6UFpUv6PiQs3mg17e9xTZpSABmCf1rRoomDKfVJgiXETOwnzN74Y1xy
6j0XYCOELvcV82Dr3ddGxvPG208Ual77XB4Un3bnmeuxUu8G93WB1RhCWIgv7vpvO7vmY8zMoLZN
OnVMjdNCe/Rra76wzxTPDRCCmx+3N3KmfmtWiX6HSjrJwdi6RXKMjNixTmiEEtSdWPq2wGwzuXV/
rFbMys9tv7BCeZhcP1cITVGbYoHWyXw2FlxDkns3A2LtglbXk0eIwOITKiDA92asV7drLE8VZoK/
MyVpcnEgLITIg9N3WuC016O2nWNghj6KNNwA9kMWW9aThxnb3Ggm97ak1/texKW5M9pavGU28BwM
dh1zwCgtlztcvGga+7xVt/rYqJt0FmOCDM9IPxdOz9LEKO/ZQIlTbK31OWQyGZ08UBRQOROvTxlI
GxQwRlkvuwo7yLBxy365xNi/yY7l6DVv+m5c7kpb0+FgEqIVMo4htSjjC3QbmmELKUs8YFu4JPIt
mWL9gKWcp9fOhbptwUasjW5ODI5da49OknPD9FjMl1grslPuFVt/0XLIn0LdAMZodmSKGSQoQulv
usgOZq1u7+I+SY8608bzFE8rEqpA6Gp2+sWwquXExN45WK4dPca9u2U8m781TpVfZq4WEF7j3pSL
u8f3jzUepx3RNJn16nm8dvDU93rNeEfLBytEBLoEJmc+TL4VOQIKNhL5Ryg3uKvmMz3rm5RW8ykz
UKDiT9xNQ1LDD7fkJtHQaCL2xbFc8rVIbMZjkzP0nke6vWaHMqC3xWuLV+YSl+lNq4DXjqOlwnH2
BG5C09rZTfrkoEzazp00z4UN0m9A6C37atrnfskse0GUlyy6w+iNgVDqJ/co2t59ab7JQeu2mVZa
KD5ERbI32HtN916QOEUMcSxZBLPy2NUGaX4uLXFaLM/YjGZ6nTjpFIJXfhzH6ExjKX7paaFuEzGr
U1KULMBirZFKc752Usu69GhI7oy06E4awvBwWZwrTHuzh7KwJMDPh77emHH3rQGse5iNGi1yxdiG
GWxsZSejFrWxibTYvcIeyQeqC8EcfZzN5clehLVT5FUP2x4d5BnDWHNDoSSScHJYL3JXL54QjcTM
fvTpYa5t6oe6k7Tz8cLPl5xwizW4yd2JnDCTrEzbIz434NaMd7koVfSljfV7z56me3ea5621II5b
9x97g1yL3IZUNuVt17sLgSoAxI+CAbm5MXOUy+1MLZJ7ir2wchgnkkfBUlRhcxURO4Ib+y4uS44+
A89fWFLm7fxFF/thGgVzYmmWOGH7Z7dYCFOYUiRqCMzIhkMOmoW9Q6zSzs7M8kyjP99VWW7f6kCS
VlRS/KnP4olxpgp7ZGOnjOAFpoTMSj5bmYKbbFcmiekj6+SxwsZ6shrqdqQ4JJUtY8mDmVE7cEQo
tLtibt1tOSNUrkmIQRg5vg6i8r73oMAgMFQG8Qyl7X5S0+Ive91ONeC9DGaIZKUeI/7mgPbcv1Za
4xC62c0B8os1obpxIXdP/sFHmdZvpDG03yQqdoZd2XxqeuuCCEy/+FFL+IHwjSvoLRUlTOXuB7fw
71ABMO+KrMji8J8lgjZFazxqKaEGBuPkEz+q/8DQagnZhFG5QWwRXxQ+ujvmjnQNUMuEXg0qGMPM
NnIwym0AU9j7yUUU7Xj9SAxXKp7yuatvoUwAqoyMDHRQY164g4SUE9bVjJGxHxnmnDS/uoBe0oOI
uc9t3BT2wcbRcYV+BviwXOyHyG6MkKj7el/ozPCKpfPemPBVYMsw2o/dlFoBPXwCzRHiePtkrFDa
VJPBmKuLCPXSlXU96F59oy8wxPED1Q6DBC2rtnOu1WKTZmOxL/LKfUUySROnbuIzMA6vBsgsiuOs
+fO3nuP4FYlzw10vGJVuLOmPXaDlFXu68Kc2qOrRvubELveoolwOAEZ9Koy55+3q5WXKyuJWOnZ/
43UKWVfTJT4cL+9QMmY4Th7xFSPO1XNNPuMlw/O0RzlcvudV4zIEk37zCaE4wCkny7/7dgkAW7qy
PhJ8Si8pK9pnt5OficpW27apRRHg2gdw3kXL+KZLwWSNGpNIJWiQOZur3gdNUqFmzpbhjIIUr3ad
bfnFUyRd5pdJ8wncAL2MXNq3um0Vx/PF9Yf63cWFQ+hKxiTBZw9sEmvZz/YchcLL+1tDHztU7Dlr
dlOwa7AItGhfg1FAmLefen2o3O6LIzgronivVPI9gSoBQh6hDy92X3FMwhrbAOO8KFua1+lkD08o
Asd30abeazz4jGSqVXtP9OrioUC2YRq4ZUBHpDpojphPJgnp8bZ0xk9zb6TXes7gRPPGwkCmm5GE
M+VIgpwyvp7NGY1PAZISU2ZEDGOhkJWKXh0EtpYLHuYiLPBXqxCI34wFfRiQCLM4JegJskYdjGjq
T0ZbSubzmHpZzmZA4p6VmeTn2ObA7EuxjRh0h3guITUFcbdoj2nh6zsIKPxubAp7pG39SS7p8EVy
NuKEkRRhhS3le9N66WeUQjzKdJT0S+JKZEOu2aqDo1vR82yb1hsID+07ioPpKvLm+NGuFkaWNX9W
CeU/GVU6bszBbj9HUsBeHYGBMFZ5ojCOtn3k4KHPm3vHeo7jNftvYXklw56HqnwGRAB60dPu3VGh
sHKrBc2ktxOLBoC7IpdW5PhKFMUJJhHGN0bF4NLjjL2pLFEHvkrf88JMKsiDIEWHBHkH4yEg/pq5
G5zpG9Gg/p6zPPO+1vR3OZ62IC+dk9mVZHilo7Ep7WHnERIZgBXVsMTyOOuZQuJqlzDXjbdF8ocT
9MV7c24ASpVzsRd9qh4aB7aMOXjxJavG75rUrU2zkAHljMieUxq7W4bY6pS2c3HwddoDphqBmMkW
zE7S6+95j9eIMz67DoXQSQw1Ewc/BVMy9d2V3qvsCovTPgeisLEouAIO1ei/JnUzOYwRE6Gcgw0k
hSHN6HE0YRINZ4INoo5uldHhDS4yufP67lvfavVWavXyf9g7rx3JjTQLv8q+AAV6c0umzyyX5fuG
qO7qpvfBIBlPvx9L0q5GwK4w94MBZoCRKi2T8ZtzvrM33KwJqy741mNM2vVL655Fy+xAJfoxn4aH
0dI+MtfeNXG6UKcEt3U1nCqte58qdYdR8QTg5Lnt4xtuuQyMykyc3V79yrvkBU7yFXrTvqWaJnWZ
hC49m0jdZUjpoT43HH2IVJ+Mm0AznOdmjeXSG/M7CigKKy3hJp+ax9JlNxeY+i4f2/OcelOIY+1H
JQPSQyum2qGj0REk0zi+Kkv9mKG/u/lo7jqvBP27BEvyqrfDqgLp/eJkIw0Ll2VBLJRZe0NtJcoq
VrVoUUR6cbpn3ZfjE46pYJsO2aNnJenBm4Ii6js5vmmoM7YzePuDpIe5jCi2D8gQ15/5op8cK/Pe
3MGu91nV4TgC39cfQckwHp0QeBCxEaTzvkGstoVlUtihAgN7EdLBQ5NW89Ux3eBTd4lRP2ltyUAn
LILB1/emNCfrLHxEzgjfUjnflyY4HkAbXZF/LAydQd3kIKKPSSW4or2JbW/IVNMm+EEn931HiAVR
XAX10MGzRk+7Zb9OyhbiuXyV5zE0dQHyXVLC56J+NON3PynYcMcuP0CelRWDQ/xHTylCIwUgp6Et
Srjsx03D7YU507rTWFAXvkPS0VBAdfQYjemc80zNtx1n3IvfxcuNRsAR7hIA+QgDXP02x0wjtyJY
aDtGpO0s0wBQk9FGd0JanPyZK3O6y92FGEijUDsj6YtTWkzxO+wshtyJ7RlXY3DE1nV6OpFESf07
UUyucyNSuba8gWgWyGzt8NoRw7bxSw2nVWtY/ZHanocmbkXbpg0NOtaTBC2v4dFfTa745paVucnA
jnihnbb3Tq+iwpD1kWjeHAl10x9NHMtRNljxyUodhgIDTT6ZO8wI1k3N1/PJ1tZQzrr9MXYtdjaE
IO1ZPlZvX/8KyV3mVXdp+xsvD/ae46gDOZztx1AJejCUeEwJfKwNk6Ls0Wg22fWo2n0MCj5MImoQ
VYEi2X0NiomGY40yNyutirlxWWGkC7MsDfYaVmBU/FNxcpWo927lDK9NJngDWc4jch9RDwODl3sn
K423atT51hEY85qnuT/2Tj3fFzP1riII4qCKUaGWWhbBIpr3hVIsfmod2r5uXbGj/8s7sIItvf04
ll6/kcVqgMgUUxGGl9wMEGCRfkcSeWNLpzsWMZQVrn9daZegSdoPhn8Z3pOciaKvzkGP4zA0ygBN
PGcHCoo6UeiQCoR3l7IT+q1jTM65yRUbMuUwvIpVcfq67jQkEjuZ8w1YSpQvJVqlh1TAFkU1qa2v
L23jX1rNdC3UaLMeynH9TMqRLRts7ge+q/kWSTofG0PKyCbx6sasDbxG6ygOoai68XAP3sFC8zdN
k6mda3MFCHgPWRjI9QHL3H1MzEDbBilipbZsmOd7rb+Za09/q3T+pKjt/ujV6z9tBJ+W4cJdjwzL
W24kD7RdFGYeYmY0/S0lO4woBFEE+2zguk81ymuDpB9+kWvDT5BJ/EsZNkOlnKvJUjxoPmvNB6NE
JM8c5/IZp7ZxCYwpPsk0bj7iVEeSFqf8dCA88mVaI7tJxLZIqo3mo/AGccRyoVnhMshSl1gkY+NK
c8A7rE3MjQSeJAUVcDzVezyp5oW+pX8VwfrxVoSqnEYcDTdyaMwrXJGcSosXbg5F+lmpqv0gN5mn
npGLnWDOxUfByJVUe18bPhTBwInORE50/F2AKujMzff76AwySg0seK1of9Sw+7FOxf4ed0h80gXf
jhAxP/aZX2AMYIyJRR3sBWL9bdK4y43FCPymrWT83iN7ciLlKuNcIia7g+cVn5zS4pULOh9nU3M7
3OuWw/CDtaiPZpyrYMKJe3Fah5ECjn5i0nxBTzgFI1eJp8Du63n7wSoS7wK7WH7TTe/Em4budDdi
e3sPbD4pHNfak6Ih+OXFLW84EOs12MP8jgjTiU9ZYqK/9K1FHTRvxP/je7R9vpvKn75Ln0zGjzG/
DSTtfJulzxZqoCAHtcQhs00pKzgZyWm+IOirb9NJjE9IAf3PVtrxr6yZg5N0iF8n05GTyc6mbrc4
Hlk7Qc0VIIMufs9dx0Eu1xOwvvEaBtybss2a5ffx8390Dv+gczDZfbPY+791Dndp9i9Bun/8wZ8a
B/03xAOIEUyd/RlzbON/NA6+jfzBY4H4lyyLP6N0yctFcLByhD2X/3FQWvyhcbD839jF66x0LRNX
EbCDf0fjYPx9q8B+xfBNB8wGPQRL6b8thGB+4vGpHecoZ72NWYSr4opzlN/W+nsBtTG8AlZSuxZ0
9M6YZoaUpWjfUSLOz07tt++2mw+vulUPryui6x92HutO46/zf16dCajK4QWyone/4hz+sq4KMDLE
Bg6GYy7t5sOhYr7v9LRemYz88LsMiX/Q6jIaqFntf9h8gtb427Oze3BIJECYQsfiIlL512VZjMMO
4XzWHeMkfqs6NNvjNGYBaVp9s0a5O96FfU1NUs/ieufZDrJn4DzZt1nV6tNDVwbgTC3WCXrasC3c
sdyLsieUlsbbfcBOwrR2pgDh4K7ExWhJNLVpwdk5jnGYzxWUSnIxyOswF73lkJNGpAM+XMLJ8LzN
iBpzCf0x1brQEi4xoblrvid+DaR7AGHK6KM5e2jIt31Tjte0Hupdg0Fbkj9k+cUuAeGYRrib88jK
bP1V63tt6xfe08icgWGQwl6Eoaqtb5kAA3VMNdLy+saSBxqPOCo0HG64CscFTfUkgSrHWF7alODP
CirbW537FbLKgUPPmYhLc/tFvKLH89bA2xLRp26k2Bf4AtyDT1DZDt+IuydMIEN9S1xYqLtmdw1G
LX/QB6IlNzl+vvcSLQ2uO0/vaTawlUEA67Md41oY1Sij3esc+wlTsa5zy1DZqXgyxibd1sKbRiIg
SWdHP1OL65zRaHFuT0zpMgRmu8oocIjUsQAMGzpuS9FvJ8o61/PqmCK5zKQ1T4OR8DZl87Xmmk32
pWlqYWm7nCiO8+ahltmmjlvfF3U/74YECWg4OikLhB6oY5iwntjped5jT5+c+6U0tT2u1uSzS025
QzqxC4SUG36pAYFsXnVV5iK/+N35ifjjfOM7wvtIEU4cFOXXNoBwfFiyngUBvj46Jo95gsu4zGbx
AFR92PsiN84xRpdTQCTNC/OG8YBcfWrDEj3mT3vS5R2JGiBus9qrfrI4LhpG1KS7dQ5zElxlCdHG
i1SOFboeQocNv73HNNFypmQF0FImmMx1p0dmG4RFhx0UXM5xK+4SKLZxbZAwK4rPOmdBx9quz/em
3kyfRSEZ+8oiJZF3zX+W+s3QUTJ8EKldtoeglrZ5NwxUCGpU1rHUrVy+uXOWBBhtzeZDaViHozgY
Z+TVRqeJH3U85kiRSZQm4lc0drYVY0+n0DDruKEzq5do0NGbb0epqexxIayOGFkWi2OkQRABtos4
JtlgXE3ab+uMDlU+mIF6lQTV2Pyngkq6S1KOAlFf+nQlKnS61XxgbbCOBvOBVUGsN8cF1PaVuIr1
Zpjy/guV1XeMzrxbmCndyl8LeLZ+fW9gD5zHPlbGtO2cIR7CVNrDq8gwhYV9Jnn1LODVoWtmdchA
xEFyc5r3iQE8Kn1HtnJDrWDhRWQcrYV0AeN3Pe9H/SbP4KXcBjGSEPw3bfPRDyX1EcYSBTebW3nA
O09hMbCkEznmON6rkLdzZqqXcqCgQvo/WaoY9nNsxiWjXUQMy4dD+6y3J6RvOv/DSg7QSFguRmKT
/mag0nqrk7nMsAHAa/0YF1Fx6eD4Oje9cm+7weAVoyVrNLYzIstDGyvvvvPN8m5hSToTh5yh5Yfi
Oz+MVFR3+Ef4YVEslne9UyItR0QOVsFfcMfPjSfMUEegXV0qJOcYenkFXLtVawMDNbCAIJ8mfVpZ
TjxuILB43zRZTzjw6eSDqGSKxe7Ed8m5HlNEbiDZvOm9MbCnpS4pscyrGQHGLOSPiTmb22Iamu+D
IZ6teXKpumBU7A0RTA9oSaxyoxV2TNgv/BIbSEEGfxKvUBzZDg4zY9SLm9RaNy1EQNaXtJz6J7MY
Zxcf7Yj4WtYu8YOWke7QMWxzs9FUVIJLudhl3pyp9tPL6KkeYUbnl4zU/dbZ+ujxzpZWUu+bpvJC
LiANTzzvi7ccLOj3u7Ih+q7yzNVgNfjhGleDqVZ49bKv4WVx95O4hDfcxxmcJY69m2Nu+ENlDa9f
1dB/Csd/KhwB96P6+b8Lx9vxp/z4r9PPfvi5/FUka/7+h38UkJ71W6AD6wtseKCrqYYK7vfEM0Ym
vzn8PyitkUiAqeSf/G/9aFEcophwAlBRdOp/rR8BuIGu4J8AyEKL+O/Uj7Dm/lYkkXFCZesjZiJW
htXG30RwJgjRCohjf8BcyHal7qHJLAmqkTOuWOc864ziHhMu0FOjZ6BcCQISD2mryWpf5AZLhr6X
NFVfwyycQxarUAaOZgtsIUliO3tge6LvvQKUQwIXNFKzRkRhQY7KhiDf+GmGePPm1vKDFUqU8FBP
crVciwKRDOSlp2YdAOFtoj5sYL8PACipQXpuhDfjZHOP93PfuJLfw1HbCv0tKAys93TE5rXGdYeO
l2a0WUW4EJxIEHEZh9lQd29JQxo2hmYYVyCM2rYatODXYPb0d23DbSKUFfuaRGINC9c8nw90bGJL
NG4QKZvJ4NcHVUB72vRe+p3vn8JHG/hr9HZ09UUPNISKnSTevBqPqsjtiGEgfzg4MPSZD7QLGfJV
UAWvMudwiurS19++RAJfAxDHDNShgj5/ENNAp6iNPLvhrypBYKi7IUO8O2UNo7sU0LUT2kBhoW4M
ljqA5h2rDSIf7X0c0T5QR1RViInWuPT+gEtxchAvLDDV/I1MRgPTzNcxMus8WkmezZ3fltovlU5B
NFtdfCrSOf3UymG+bVFS7r9e37C+Kq5sZK85/80kR/BlkHtBV+169bTT+7Heo9zBJe+3apc1fMiD
z5oM3guzQk8wv0h8Aykt3tyimC4u0fHpIQbeog7uQCTULnW8ImO0wjKUSgX/ao2c5qTs5ghUnxNE
5HLcCU6bt5alvLsz2oUBLpcKChJRcS34LcOpkdRYnj2LgmFAro1S3HlsKlWSzGOVj2nbL29dmw4X
yPLBU84cZ5daZu9uIJpZp9oZk3Pc2SluoNYCAwK+Vmv5sjlhCjcsBCNW2fAmc3CBW3ZxQ71HGWeH
hdOJKXQDQdh33qp3di7L3rdRYJelaf2CTjERYdBXUPINS83pJjHzrNgFOdaQ26JseKxgLPExAuWc
zMjGhsjORfbMLrcCeuOVJSpTSchA7IoL9CZCj28ql0Iuksnkr8ebscOKaL2wlCj2uEY1ZtJuClhl
Flnl7wtDHx4ptt4cUY6XytFfmc1BzKC6mEiGGZXGuL4obyqgCyIa0LKCSESUQi5GG3Eo1qck9m0z
pBTv75Qqm/vBVdXDgKZrhwigYr5pG6cxAUdsmLDhKoB4B+W5aIUCW51Suyso05i1R1PpWM8zsHKY
TQtKgLhnRD7N0xjaA/nSVPwZF9UUs78Xct6ajQBIRfaDop8bNNA81nAzWkF+N9OJnGuN6hyQnbmV
qRQriIESC2J4GeehrwWMMYMug5M7696bVFp2A3Ew+bH0eY4Pojn2C1+9aoNiU7sWo/4cShAHLzzo
OtL5mw/VBfzotbyf60MCPeixC/Q2304Sn+2YSitD9FKr59lZANHnXXqLSqQ/Kb3FO+ZCWzE7jz4b
9G4jVhYAU8cad94qAxb2hkXasLXGGm7QxI3CCHE/Y9lyXXROpG4/MDymoef9W0c7Zj17bKtmtVip
BFADG36cfu6owgLWqYA/wog51LtxjFTqNUbk1YjnerZ1Ty7kdBXNZV9EZl/lZynyYolkn4FmyU2X
7Gm3RXoVyHmfwmph81V9NErvtn2G+a+JO++WwEpqloKQqHA0U8rSCbwdT8F4IVK+6u9ZABWnr2Hr
l+LRdCV3pcFlLPd1Z+mgAvxicVqcGNQi4TcUa46vX1HrctP6Elj1UwUTBU8vUhaTYKLQWzhh6N7r
/Zxwe27r0rT5OaDnMxwGsI1I+9Vise41gNaqm0mfGHmm7LnrW47t5Xbo1wighpCr32fKPbLQ838K
plpkYvmHgskwIXb+fwXT/mfTJ9m/Gop+/5v/HbbB6DUIsdRNLAhfE5s/aiXf+Y0sAvSzGMYs92ts
9mexZFE3/Tlc00mKJc0PljD2E/bF/05thO/o77URtAn+4+hryJTpuDzRX9XWAUgwPwbqfrD85H3i
FESzVzRbqrM3UOCPkGoPJFZ1b35lvC3TZOxGj5N5liexgGlWWmceralajjRwCESNyTkyuS73PfOg
jad14NRlAGcxlgxFUg7jxh90jOll+438P/2qmYB8lCbGjUUATNT6a3CJVs/bMfGuucz8+0llm3Um
fq4ntq8CT3BoQQjZDpppbpbJ7hnSI5eV1R1pciThCFtAQpmP/eAhcaQj3TTeRHrDMo1PZsbeNVnm
+IigEtWZZjxM9F97ADmvrk03aE5TCVyiTG+EnhnnHEJupOt1dm+4Q791YKPfg97dwml4GWe4PdYM
DbBznUPlyY8G+jVdkpw2vd3O37M6SM7FhNrOCohsx8rv7h2oONve7r39hO88muxy3paW9Sny2dqB
PI83WQH3PfbGD1MuE+ooecqDooLO2E2bXNUkfIma5G8vIL/eq69VN+xEuRBGo93FS15uwcTNh9bC
ij5zO7wi8CvfWAi3r9gIdhXtoDJEdS2ocS5Z6fdMi3wPBB4u/5u+tZJpa/oSpGPdFW+jarIH8H72
0RrImoIOssoeE9k/dpYWP5q40s52sdDbaRXFdSLc7oJDPLtlmje9QTIfPtH6By9zZRWo7Zpx2riN
51/goFbbYSpsHDAllMaJbR7Galq70pTOgYlB++5luedGuceeF9GcA+2PtaNulsYtyecsUJGmNgwI
9ba/eB1AsxYGPx8e+mlECyPYlsFs61M/xJyIqtHrU6epcUWe1x4oEaQwWmg0sOB0nOWQUixjZ8Jx
+uaZUnM3c5yAOTGz+CU3ywYVTEx6QpU1j0bRGLcWC7WzPeXBJZnn/BvBk8wnAgOI4C5DZonJW5u3
QrfYg5EXe0vhl2C9TmyM0LgR92qq+oMFPYycm0wu+OSASzGpoVrN0F/3I+MazSLxDYWN4FPtuZf3
64qeD1CLJNgAlNm6bjzJxqlPs+AhPZOEjo2OC//eTLg0nTFeigN7Ld58B5Lo6oHCYX2G+vjKjLc5
D43jUlMxRdi2PlGgoSHmtNuWfYaKTFYL5VPVvqf8/vYZecleOM8sjcDhErkLhad8aVHj3C6dPXxm
nZJ7Y7Tan7j75/uYXJO7r1eWQ/Twd3I0ePjSNL2HRKVk28N8YRgNsPIBPKJ/sTVR/aIet6lC6/Fp
yG0gSe6COImp4QIrpFquy+iIZ2+u+BcpcMyjI7mJbHwmZMjfBrknsD4HgM+VluNWYbyQBJJt/4Ja
AO94sPWJiLqb2gBlT5rkY+SoDuNiMJmvU80oaUvAs/fQO4l9RHswX415asByYf03k9GzDwhEuesh
dTxpleJbM+MJ2R7z8E8S2aAJ6o17h4d0OXexYV5jPfevUweRN+WKLEL2fvE3SAiAMpwK9gQiYh5I
+jyjt9TFrkzSFdXfyb1invPYMfPeN6UItl/fVjVVzWOWLIMfDVhaBJJG6UdNzie3eLZzMSCwwFXx
wXHgIePhoTgkWDrXuRKlU5j5/rvf20tkYu+PhlzdDjXVWrfcI/qlC02aUDrNt5rZJ+F6SxT4N6YY
7/QpuU+ljhlbpIcq7385U3BGaVjivAkoVr3rPFg7S6Z74aqXpB/cjaPP/sUl/yZsY2dbDBr98dJE
vgm0QXCOoWS2QKkameFe7TZ/Zopm3LqMpzfIpZKN67UW1L16FWgvt9kcULzmmyFuTlbtxfeG0LCe
ziaZG01CUzmxutwTvkG5y158u7RFFXpt1x+kLNtIQMFPUTcYn8z7mDObP5FONGewPe2ZSScaQLMy
jpbp/OgNcah95wHj4JoDORIDCXvqHaXQ26D5oA6aKkQpUe3w8FNsLrXcIpReNvlADlhorqqM1nWb
R/A/diTTXH1W0olMldaho9Jh14r5sUZmdAq8Ym/lIoW0qviCGejv5m7doQAMuBSu8cycz4QMhXph
Xir06qZ1mLgJb3R/bLdzXcThigxsEySjGtiyTh9X5E6jX5ZC9049F/4+X0AfOCyidQMEmFaRzmAs
v6ylvbaEKv3MTC872FOnf/NcrdkYRfEkjAG5z6JZ5DJIth6gkiJ0jQPZNIE4AZWxO/LcFPcDS5aH
JFeWEeLKsQmC2phB/NhVwyeEI2Sotb/czsTDtlsyEzMR1cLUl7BmT7RFT15fGsO9LbnnP3BZocly
Y+MeDJC9ncyxbqKKHcqhqIt2Yw+aZMJqtj8Hxyy2qjLxKzckYLbtx1g20EPp7je5Id905KAoPTnt
A7Nz9hrcW93W31Fx7vWlA2xKpxxa8LhCx6KBhEeh3fS280zsqh6tqTkMWuvkzYeBgFDR2gisvpfJ
H5MtRYL/SQstrxByjOdi6dYawiN2agCHf0LMMDnU6rFP5p3Mn3NvxJo32NXPIfbyn6LvyxOxXB6y
koFFvdTYnLj2tCsG/japLBQYaEy8OG8eLBtFJrR5KiuCf8Kp7f3bVrbQS/Sl/DaZBrhsQoMihwor
7N1MbeirsfxVIhu9iJ0ouN6i8oOQMJ/kImdRGKfBjI05TAcm2mbQrbLDDuGm8JMXNnDanWvAmi0s
c+74Eht0yn2i0QPn48Vzepsrpo4T8jid1gxtNXEMzmNziwjTw6pTxdu4g+YSQ1N+ocMUSDBUlm+R
9cMIRsOMDAxX4JFKodgbetNts7mMo3JyUB3StfyqK9O8A3Isnqc+mw4tOVSvJIM1LHuWGhIK277J
A5Sm2S0qXk8di4oqrJJSO+noYSI4/d0B2NwQteyrojwmggb3O4SsDn7gYpffvaFEptgjokH8rN/0
MWYM4qgAzpmppJcu4oia4WZu8p2tafvETNyo9NV73vdNu0FjWUbz1JFVZxRGmKUDXGxosRGzQnuv
GnRKWbrse8wmSFFjfBflIO/VitgqZDNwckmfaLqufOzyYVqXhtq7JYJbo26Hn5MH9LcDf74LWjfZ
jQTJwIxemXNkrW3GXvETtywzlL5+5QRt7jA5jSHsMLJtcUe/WO28n6cZD5ClHomY8NZ9iBEK38/3
S23sgWgPTOX7LRuM5Cc22L0lOPJk18DYIuxjO4NyP6FGHaIxH+Lj1MWXLOmueKIcJKl+flwUTJA4
99NAbIAxFsbWtdQVzG9RGWdv1FykdTnEEWOVhU958mC5KBX5CQ9TEvKGCeiCIghvBA1upxPsEugJ
YmNvKpcZO0WHNhEpMfPUPKkKB69KLjegwhj641Sb8xKN0wj3pHIzCOXY4tLlR1r4mCBC14ob88Bp
+DpX9oOmB3KHCmeMEnucHmNPQTtb1HCb5E6zgwxm34DYfuuUBWipda9Z0JB5roS4pkFtblg15Xed
1zrfh1UalZu1+m6wObmZKk/bZYb82SeLuZ0g+oBRkNaqlrFPZEMzq3DS4T6YSvMyeW53XQVAAJvw
/xBE9A07fYyHZ8w/JpEsEQ4E2+K8RymnZS7gFgR4RTfA9ZMMsOIWGW2LWGc/Cxt1mh88BZqYV+vT
Wa2zWaRen57JQtvuqv7WNYqobOwfaWkOm1hkwQltoVtvGU9T9CdLL77r9iQ+vcLJL9PEhMX0YW1Z
buZAQQoedTkGOqgbpkGbQoriiFjIh0ul7OViE4P3gGpIvZYIAm+GtPpBA5qQsG52OEAmoZzzUsfN
JqvTH11VceprXfXpSXe9Z8VC7EamV7ve0AEykSy1NU1rvoo4UBE10NUCVnln5SoZGJIB8tbZ/GzA
1/FLgw/4gt57PDPfqi/EyvvYrBZR3q1WAaRUcO2/190A4inOs5kNeMpRABPQQ3CX+Q11QBn4nz64
m5SJoGNcM9Sir6L32ndlVfV3lTbAVmVs2Rq3fA+TxahP9RMzMGaPhvLPcSOa3cCNcUscwjGDBh9C
rss4oFVxmyXj9G4IZWxcLBzYB+oUMSvxkGzxePK7DszcHUgi1ud1FognYir6BC1605FgzzSXc1Ah
n8gm8Jkba8DM1XeD/JUOVYVoVmSHvpvaA7FsP4uZLIZhiT3ax+FS9GNFn4WjEX+ovE9S0V6tPFCb
YuqobpEfgqxt/G0fW9kmD/z4xAt7pvFDWxWkzU7LK/9YAgDtf5eb/GdN9g9TH8tC4/j/TX2efs4f
w1/3Y3/8xR8zn8D6jXk4fBIjcKEBfa26/pj5GLr7m2vR/uDNNtf9FAKePyEy7m+44PlHpgtrxP4X
iIzzm2+RaMUkCZs18S7/1oLMsK2/mZgNFnMYVeCnsG1zIcqsU6K/iJh0mBCcE43OoWD2r1KzQQWW
yw9/BYMpQ+u2qYYBaaYSw/3m3wxDi9xB5t1j2xA3pvfDacQxSXvtqZsvZNhCtl28l02e3pO/p32M
nkdUrtvo3cH2Yy8NUVMlw33tEQj3YNvc8KtQq0mMO8K9981bxud68wwV2AQXoRWqsdh5iLa98dte
92BeS+iEMyeMpHsL45jd005hMIBj2k593z0T6iycOSRZozROaTC7wPrNOBBbL9XxL6elbbYnYdMu
m1DhC0go4Yw1JthmoMeMk9cs5ou9gAikhWuMhuhCO55Zd5ne4hzHDCx+HBZL5uVP8QJQQ4bQtSXR
JRzcH3kd+5+JmyfehmXJPDBS5kYk3cgfvExn7NvnLUTe0h4IlGiA95GvwaHsBimnr0FZOwnPGXYS
JY4kKQvRDg61/FAlTfs+15moMG1b4sCcwd9OZB2+Lxx5qDtxFjBheEyQqPBljTnxpHVzyM3phSwN
a5+LKQ+NKkgOxZRw04L0n74Cw54Smv7s6PnzDXFg53TC+DAkFTfLcri3vhwRtcQcAZnhh5jjKey5
L5KuN9BVBlExWyAMi5dZCmw3q9ECEMn3JGv6rRUX46Pyx4FGQMPowkeqWYQpO1477eFeeTvawz2E
hatU2Quw8V84NsRZrbYPciNvFZIHegPx3qwGEdnUh0KsQSGZtZnpDLhjYi1pW6LhCTa8B4PP9scs
Xtg3rPUUdhTIdD/drHZZGqn4fgqwyiEK1ELc9gSvW/GGmM5ib0vbCGcl70w2IBspwewlRJZE9oSu
gcFYf+OLydx6JMyR8smAsp6VE8JVSyMqX/97NppyT9+XfffTbiYgA3to2znaNVm5qHWe/ERv1Nw5
mnikTaMhXN09esu4sc7a7FAXLqaiTHdDJhqw0VjH7YTv2EfuC+mu7/FfkAVrRw7y7L3EbtQ4RUVu
Ni6kePUjFQlhvBHDme/N6laSTl1tkwQHU6DDb2oaqwqH1eTkrHYnR5fl1gDREPrm/GSsxqi+LF40
nFJqtUxVA7Z5R2iv+OD00KIqO6Wdgypo9VytO/Rvo/Ki3GDGymizCAfZMa8kTgykIpDos+sKfvEj
FM6Nhb/qVyNctuLSZwURMvvTUTDlGG7XHALtYBb6eF0MOXmPpV209zBIsDZ1EMFvW990d7Q6lPYe
grzIIPb+aXAr/Oq6oZJ9RpTIqR6TvooWS/BsXFiFCnGx/RhXG5weS3mfr/44KbksmAhhmvPnefkk
5ULXt4mHvW4UWX0wxbRMCLq5tOZ1tbRSy3m1q0RxEr+MDkMswuaYLeU8jukvIJlsPjHQchSDImin
W9A7w/sAilCaa5ouElRZ6ee0DipCtClo0k4zGV02vLNiIo4uB19MDuFHTuYQQADaL8diXmW1iuST
tsOEGqhyzxiCcbSv3mbDDl68DPBmmWsf/KReTcjFDEyZ0ledgOjf2bdgm4oNW6+c1SA49cEHDm+2
2UsFAZMA99bJbsx+WY1oyNU2yqiM+66Kn7svWAUBW8GltcvmZARiZ3mWvEjoBFfbCrTHwh68D3y9
2SYpAnrGKkD6MCYpP+NpNs1t3NTzbikXHcz5wiwtFsBWhRB0+2Qy8DhIOjWdnmn91aJBch9Yn1s7
+sh5q3VluvdKeV+m6OGyZThMhp7i5RBqPUuUjxPXrR+QAr3XY+McbFkFP3pzeCAeKJ1CMKTAin3x
5kKURLLJmtG05NEuDZ+YLcNCLWG04lfc2IQJaUI7M0hMd7ixjE1NeOa2ha+DtdxPiEo3uB8wwshY
Kt4pTZc3SxYggFhGj6p3NkNCE/hpMWjdCttM9mkA21efTD8KclzqoE/3y1pv+Za4CUbuWsrCEQY8
hitRzPVRFBAj3QkNQ2JM15HoIbxTDURmm1AS3ltw6OZ5j380OILviCMUjzrK1qD6sZAttdWRE0aj
oWkbHN7dJq8aCAuBbw5PQZYHG7Syy6azy2AziO4YaAE9pdb+mjvvGbZps1XBBD1joKeeFopyzbZJ
y8CxylSzmk9a0f03e+exXTeSbdsvwh0wEQGge/w59EakyA6GKIrwQMCbr78TVN1KidKTRlX7NTJH
VmWKIFxgx95rzfW6zBGzNsA/O5I8MA80FkhyL65sKpNztLLllo5Eshvi1jzOUqqDIZlAVBolL7xM
lAIhg24sa4xEUvZxpEmw3lWKwISlC8QcC3h4+2yTlnuGHSGgOVtgqHVQuyERsc55Bpp9Ewu2/2n6
hmDN3416fg4hc6JP9FnLkkkGF0FpBeyPE5Z+GB4vubaGNXFa9XWQ2sE6Ymd7OQgiF9kk6ZUyQ9Ry
8g278TeslNkukxQM/Sgec0SU6zxtqocMu9RqZh5DBMXYvpEJA++1SdINohsais0QXRMRmtwwJdNL
T24+J4GZy+Cmz10emBsWU9KCyrh/9KaSD0br3MUxQ/Q+ZOeejB7ruoqzF+S8NpLjqTx2IifjvXeJ
ufGNYkdDNj+3LXvAvTbTQHSmlwbWK80l5a4Gn99hgARBl7vyHoCwzdep05RLW41u9ypyOwI/cObx
67OjS5547dP2oh0K757dE3/WIboHofZRZSOjpMwPb7omG64loZxPLkYiqRTd9iy8XGJ8Dw4uU2c9
LgQTxmZcaGZk4pMv0wEHMDpHstG2Yg7I/qoaF+Bv1w8TUXB0pmLVIwQPS/sVZxdO7In7TPvXKq96
a24P5jy6B3eU3vOQNuZTZ45fCcVsr2bTMZJtj4ThkOjWuZIYnbfWTIwJK6tuadzhD/Xt3sfev8Rp
ajO/reB63g4wu801qyY+rMDWhH+IJnvDXYIVmxc15J4iLiuhd9dqr7UleWUKRLeHuvHnbt2h49+A
lLgDpApCvzXPSWtMPjdMOl6KsDplQxTMm6SMwnUVOq+ZaojHULH91QrBZCCNIoOCNOZuPOqhpLEf
p1HSbRBDjF/NzMvwXXXNHZxwRPksnhd9ZGRYmdQ1+3U2nG7rbno+B3iujTnhcVa9+xqE+L4ju3Gv
fNQ2j1LX4sIifXdT50O2lbED05rAeATElcu+vHXK29rBRk4witlcjinJQ6hFSonkSHfhZobinG/w
oE5XhRdne7Lek13gDu0Ot4a9JQ22wcGkjH2C/DPfL8bWR1az9JFPXPc5QzdylyZtcDATF3aKHKh4
g0qd6KIbzBQMUgxWkxqyhxC/33TWG0Cn/TmqT77BvGwVmYhENdbwE8o7vFX5aKWrURR6o/oQwYjZ
1DftPLaPpjd3r1KTOuE1pY/jLmmvREhOVenIOuX9KxMityu1SXPJuJbqan7w65bkErYPzXAfwvL0
6agLAt9mXztqJTI99VsQCG165nuCwGEPGNenIfBm9TlMDTqovTfyZfU6ogCTHpYKCmCFeUDAMblU
Tho99e6gDIqV7i6bi8nCdFsYF1kxxk9BLotdHXiEEuXzCCKxK8wNsvcQ5L5IDRqPS4fKDMbgpuc/
PTCyGk917t8xLML9VFTdC9b+cmNEbrJTsIHOgPwrivm+aldt3uf3VoQuCdqUvR+8PD2HA4yXKm+j
TQlKYq2NOUMcWGu5G6xiuMmEJAVGzgEZiX2cbvvEQuVUzIiKyJQ4dO4YXtsaMPOt5yZ1eUWw6Sg3
fjiaFeM/gldtioVcRz7zpVXX2bZuXik3Y5rgq9StBnFXtqFKGfp1U+m54PUTP8qZPCcI7s8yApjW
qiFpLps14UVOE7GOjl42Ujop59BGSj7aSI27zTwAVT/UKe/iC8zUYGMaSRCex3TCgLtMAPxpV4WM
h+2u1/g23IHVh2zC8x7f56HDoXE7Vi17AaT0+1kqQgxaPM04pvURhUKy6VonPtcJQrXA7ty3HN7R
1+/RB3VMp3g/5vq+Sf0gfrIsEtVypn/QaPBtes08y40CUf0NCV94UB20IsahjCqruHYf5oSBfaxY
nbe4cdNdYzfzF5PC+mwgXIXBZoahU5v7kh97moGh3mgd68/RKPJb+oXyNGtUC3YuNPgRC+OGFTEB
QNvWrt4TFsxqEbGn+GbqOikvBc2+DSIewXyMHKt2xIGLDjzZhnzrKM6raTvadbvFB3s0dNFvCBTs
b9sw9nd1atpfpBjFIU9rvQpSVqas1B5QqzLax6EDkrWU3rkT52pBpkfDS+Yb/R51EVlaET7xor7q
+U1W7xkO2ranQ2VlFaUUoXMpW9pxhaxl2PLckHThj3JbTShWCx5KE4hEHG0HQhHwfPAZD0YjfW6o
6VeY/fKDEQcO+ex8SQpAfR5hkC24EdOAvJA4DiAAUhMK3zWu3rMhiPM4dCOyvDHtCoTfhVNTgZMU
kU1R9E1rJS6CIIZooSsC1kq0rrDW2e9qhH0ZYXt4g4gAS9uej84wYdA1/ct+DBGuF7E6pLREt3ZG
HpDZlOUpNq1rz0MO3zR0g9edDr80bpFsyPgkK0ZblXeZGgwExtxMt1YWCMQlvvMUMvBHh0Km+TqP
o/wJ9M5TRQYbFgloJxLK1woq0KuJAPfgxebMFAvHhsXGE4GjpBU4FiFcJQYxq8QNcWrN2Rd01BGd
+hK8QjF+1h6biNDbTHOFPSX7TLN8ed46s9x2LVC91eg4W7K07FUW+wH+5EZ+AYQfrPLQVGtqZqRm
CGnoDtd4SBb9QXVegrfhaWlcpjOpiyxOxOcZfltmcQ1Bgp1gzL/tcatdNi31dmL2DNyW9s/oNRrf
bpWhDu5nJoGe+W3Ar0tQQtIfcoF+Z0AKdJO0Lh0BXX9to7E9uTkmChPD1glt04YsFH30tCJGzDaw
obt5f/OezRHG1Qv7NUqxqSCIQMxJfiw63SPV6Zvpscd+i5FiuHAIYXmglLqPjapau3XrnkVITNfV
OFM4lvDYhrnCpNIZNRk43bNvVReDNTmrKLEfEDMxd+iF2GnFBGyADv4YwS9bOajDNz6QBjAbgbwn
mFwyu01tiP3ReWwUT612mwNMhLtaWW8o3an/SHFjuqcxGpX2kxNZ2dHpC/HayKzemGHt4GTJH0Y8
lW9awz7ehcR+twyoURMZ5ILgfFP5LTphGttlmFibVnvBcw+yi7Ccvq9pUEzDbWVZyIYyL8CMTANi
2MlGTDR8c2bX6IbkHu6YfwtsT2JddmSJXKZHOLTy6qgFvcQ7oMy0PhH2skJDheUM3t+GW6XdizSR
qDSUoLC2gAZhqEpja0WUaVZsey+zmm1nRvrSBtx75B/4VymgJzu0b0VSsnh4cXTC1JieJsnHFY/a
1yDVXbVPCRzYjorRtOsmS5jOeJpjl/Q603qo+SQxnmrJLrKXXqAuwMj5Hdx3S/XLO0GVF1tyb8Py
QvqyBKmQ69cPQP+7g9tXz6E3n0Ye+HUGh4DkOOOCsAlqnUxW26RyT9rq290/eSta0v5Dt8p0l1J/
TWVqExxQnddhf+MnzSspHDzxBCts4RzeVEIXGxozLuGCDJ9c4//SWNw5N64GWzzGYA/P2sDQm4FJ
LPAt6AuRiT86LnPrAEXI2NSya45FG5p0Lhhqmql8/SexJQmGeB2V03MaMoGz28nZuSmUp6R1XgLZ
W3eDBxNNjRP4pfcgF9m4/R1rn71SSmIjQ+R6qiuaUSbxxVZgiIus9gz6LKjit7WZpgdfFReizZp1
MDsE7dgxLvKtG1rMosk/S09Y5tYWWrRdGk8gISx0BBKFYr44bOavqR0FIzq51PhSqry+AplmHBI+
eDWcR3c8eGmC2Cpli+T68Bs3uN1OtSHCLRqd6YU6i1cr1PmXOLG8q3IgTGZuo+4rs6+374EyfmQ0
J8Ra/s08EuQpY3co1v+EytjkqsyX9eiVzJz+CZXxW0eDivORvr8ny6iUvBttx5je4pkYpVjbQKvM
wLi04lr23zNm4qC/n0L5iQpBfo+ZCZkrHXgPpu171szgew+ISFjho8K+CwGHrsnVQ8fTBF/ysWBc
mAcegpQlfCZjk26cDTZFzfl7Ak3V9qRLCr8dd+8xNHUSq+4kCtaflWpRSu9/SaQBB2Qhj5xxvTpD
qclgV2X9UGtRnVWV5/XAf1wGdJ1Jj2+C57ueWBeeIACTmD3E0rwnys5SG6/q5scuRfLNa/ybDBuX
p6diwj20+6Eq4vNZa10z8HT8VVt3IRXTNLSM4VrowXW7VEKsMk8/hNukXdIeGE2Wqx8TbuAt9mvh
OeOd7HRL8wlAn4K/ayK8sw3/gaFk+CoRV+FdDYMQ2Bzq+Nsp7cHMOrxo25lxdExBz8Z7tPlEU4L+
mHnDiOAGsTiipUaZJ52qFjZCN+zDOKhuCC60H5OEChybHwv2XEvruqlKixDc6t+pOKxl5XU2G/3j
92ScqKIvk88ImqAQtY8p7olLMx/QpsNb8Nm8Ns5Ng8L29reZOW3j9XeMMReEqd3xlqKSrSMwTh6I
Ja+Jok0sP0bnOLUfJpd0+MlD+yU6p9Y5KZFtHcJyTptrhqF4EtWkUcnThro3Zzc8JYKlssii6e09
VofsEAq1WbXehk5HfRn5RHQxRo6rxw4g5m5YVLMh+cF87FGssdkhapqsWzLZBs9c0Ro9q4PRPfaD
CQenUek5qj20PalrmeflXA6fsPwycca2mm+wTou1qsV7nhnT4LTSl3IavEMeWeSa9LPeDw3CH0en
MBONemgvvCWoh+4tQYN4P+9N6rvzuqyGXddS/dPOdOnSGNEtkHoSFJfInpFZxjrUTX4B8O6r0VvW
lsUpOKhItiSukN/j97wamICjbVw5xzKyvOtiBMM4IKU8KcOdsZsE2UbgGt52VIxr+s31Cfxcd/Ee
6+Mp/wWLh7XtYdnuEm/6ggABgJZI2Rl4CW1FK0DeWNXTA04wIuxrHA3vsT+GJxbYHo6Avv539k+Z
FhOJ1R6xVM7IGNhCCtnKklrWnOunOENYx1ZhPkz1qDA3W0137bklfWDLzyCfISD4VyTQFPGxSWTK
+JoYl/TccNFNSMY39Fj/lQ1kpR7CznK+lOnM/28GN40zTldDW9AH7tMHv7E/OyGLtTSKbSyceUOn
5Itf1GpF0A8xW0OENGSJECpco9zZVioOA4xSESa3s4ezFQWUXPudOeMVn68cMuxWWVI9anjD1yrs
iCq2DxRW7b7HPv7877Qhx8R7bs5UyONPkUO5n1Q3Q1fdYNuE/WGWHp92a9kIRplx5WHxJGHNjo5V
YdrnojdeBeSRCwLZyLRl/V99jyQSvviM1Xwxr4znvdbotrPq/7s7v8eV/GVsbVnmMuj9f7s7dxkY
ydefzQrf/8w/ZgV+hCmRvgEylK73AxnEXebWSsLmsC0ok4vn8/8G19b/mCZbQcggpkM0hPOPs9MW
/yPprjHohjr2Tg35j9wLH70LmGTEEn4iHZ/Y3I/ojZA+FU825aFtd5AZs9TPoe6Sh3suKI0J2pR1
gbiSGcTmHZf0w7X6exCING3CjTySXxjBS+b0H9AbVYVeraeNtR+Y/23JdFBbK7bB9rpxfvgvDuV7
0oTkhYpIfTgUTlDWSur8vbDqmB07vQC6LWgtPava/OeH4lL67wYUgCIf0ilmCx/oJES7z8Yx3o8O
yNm6Jfm+Hd3u+OdDfbCevF9Ah3MSII9sKBofzoqBMU4RyQWEt+Sv4PjekISp3kasImERJGu3dAym
gUG61kQ1rv98cJ7BH7Et/zq4I7DawKihX/6z4gG9O6m8um1JfBKK9sUIgoNkzfM/H2Vxz/wAh+Eo
0ua5JHNEKJu94YejNKHnMCENun3tC1XzbBY0fiSDmUVIl9M8+PPhPhid3w9n8W5hzwbArxZL9Y8y
Dln1NrvRtiMBh/1mlNbfCJh587DwwTvLz+Dj6r8QaH69jNK2bR/5CBQatCMfrNVBlCYDSvxun5h8
XQpAydwsv9z++byWy/TxMsIs8okhwyAFy/zn8xJdYBGsmHZ7B8fEyjGM89BoriYL3DaFpPzLOf3u
Kv54tA83jSy3sApl1u29HsVfgN4Wei177OS9neVTOafpy59P0GYh/eUMUfIo2g4K7/vHpWyKUoXv
mdfOipQALCForkP3OpIU7B26Mkw3XXXrAvwmGADXBbsM76Slc2ACXu7R9vXbbrRRZgyu/jqOjnGE
5e1jVWiruxn7MsnQ4dpKq/kvC5P1m/vvkIKFRZ9aeREq/XxnvCZUeFV5jeKhQw4gKAIXt4hEJ28A
544bq8LUVQ4bh6tH220Uz9S64zU5rPrSBZxKPRj6Vxbilb+8C/K3vxrr8/KGS/768KslfqbSmTxf
BJYRIs1Iwl4EcErsO77IKmw+jbGDkGhQ2IVLWv2nsWCD2wToGDb5yPipJ2qb8ffioUEm4Viwp4KC
yrqwQ7JlOru+tNVs4Hun+q76tt0MrkS/2Nb+QzfExgNWjWDtO3G1rql9dmh76f058D67cjyB3ccA
bGTdug2kvxozeRaJ9FMHefsyFTStJvgmu9rpqOyM9oo2KqCV2MVuhjGWXIUsODcJNYaJhHUEAZOx
DuT0lk7ObUu+IFmqYXpoVdRe8ZOL3Z+f1l9fEE9KCgPeehRqrkuR8eMyQ4a07GD6cdOb6BL8PbRg
zzyC17zv5kBvmSpb//EryREli7U0JXtu/8MRwTP3BKqn7b4mPMVqxDbDz+wX4rx2sIyQ//j5z2f4
67rtMcBmLo1kz6f0+bCsNehFCu5Ni6cig33Xi+EY0tLYeqgoNn8+1K+PqYeJU9kwxHz03erDYxp2
GPOGvuQrSJ7lWWlUFukptMX+i6MI5VGmODA6Pt6ynP5I3gJMxCdRm/Wqcn3j0FWhd/3nw1i/rmOc
jWdZUD1cuiPvaSk/CAnT2ABBq31mGqNVbkr8Jehm4BapBsGICOg8jw4PvgkG91R7jzVaipLN2d+W
JeeX5ZTINPAiQD/A2Vniw/2rwIbPce82ezFm7nao/GwXDEm7QyIde2uUSeJoFcC5arP8lpWDe8tY
n3YD6qiLfJ6dEzu14C934COqjY8zv5PrOkTVsKlDJPHzWxPiNyBA12n2RNMWR7Om8Wh2A/aitroM
GoJrGOjrp0zyKmekil51S86niolF9T2GhrjOv2XW2F8SJEA/bHjuEvIiMWHou6lgqqDbGNZ8GA2n
YsouDbP9W3Hx+xPwSRxEAiR4/5d7/8O9Dazah10wcFGj6TasXb2DThJ+wnnOR79yk03QMHOAgdDy
xapz8FHzFy9275ta+ccO2ceaVO4enmTp3xCgUt57Yv42y6A4OVgOdoMOp82QgmPHKJXt6pgg5788
nctt/7mO4Bb8cAYflpGhJWc9LKcGsU4SEgrlFydEooSsGOamjWsW+U7B+kjMI1K8BdlHE/rPv4Lz
2yfTX4L1eBnBvX143WFDCZoZXbPHYLH0wjNPvlBWXbuiKUBvmK8lkNhH17airw2poF0Pp6y0ow0+
XETvYbOzGVttaoVCd4itAZWK3aEx44D7URKsLZLQ+oYdxGKpdO+QrW+lmZQABvxHwunrg9VL/NfS
yg7Yf764vXmnJg4UCgsU1+A38i/X/NfSjXR0E285FQLE8Hfl8Q8PjQTwnAYJC0KVZI9FsHd7MGjG
zPithNn2lzrxN8s2GkHJzhNCB7Xihx0FA1rCV1h09jos3phjB3y1ezheI2qvP9/H5Sd9eJI4koe+
QAi88B8Le5LLOxqwkiepDu9Tywkfk2wxh+YTuwkJdwYohTK8U6DIXfnzoX/z9SXvDgWQ4/BhovD+
+TVk2IuQOTGbPU78p6D1rke3ujUhsRJY+MKWV/3lA/Vee/5yrrB4UKiz4VYf13S/N5qR7Kpmzza8
uO0c6h7k3ZuFibZ2+vmbGeT3ZZzhZJs0xY2AQ0RgHJMwqpU/n/pvHyapBF8WxxXwSn8+9bjDyR71
vL+DV7YbU7soPiLSP3DxQgiLkrc/H+43n2aFHJ7bbLH3ZpP/8+GUn6Rh3o3cZBp8e0bwwXoGyviX
PeJvr69FJ4MnicuLqP/nwySNFSIf0M2ePXK99npAOX1BnLMKPOMI7Yi3s2ecgzowY8Qe5sz5rGw7
9sYZCTp/WyN/3ZR7ymJXyKZcuJ78+L4OaCQxriJKcPrW3EahG+6aer6Y+oWenFvGmvYtgy8XNFGZ
duZfXquPrNflI8m6qLjY1O2e+PistWSh2U5hIqe0RPSi3XqxGNVhe9UwG0TSBipIrcuOH7AyJh9T
e6/IWNnASGZql1cuqU2DMQ2IrpwwWNlt21kLOq55/fOT8ZuFZolmVKwxLnUOgLKfPoWR4cVgF1W1
V2NQ7zqCc7cCQCTyV+hL//GhfNZPpj/05T2uzs+HYpqGJLt2QaCj83kTzuTezEUEsQvu/H9xWtSg
6NjBMTsc8MNpAbqcGUWLag/8oL7xib/clZMbnCV1++XPZ/WbRYwj0RahRHRpan145u05CJnrcqTY
QRMetIW+y8PK3vJ1m1cmJr+VKKP/MG12ebgY5BNKzqgMR4//4fRCUtVaP5I4RW2rX+cLcjtGTLqp
TftvIa/v+OOPXwgqDXOJh2TQz4r1833zUnww4WzxiIjaJOwGvj0Ty0gM0CrzoMiYtsBIU9Tk2boC
GmLs2Dl24xaxpJPfkOTHyxU79BiPQTNlD7buCUqocap0YN8z8EVtUEVfygFbc+ogQd+FURaCXiss
AEcFpwSoSJWet/F7CbYFMagznUkDjAah0e68xeoB9ClMI+tedTYmt0yM0t4lVj6qrePryP7sD1ac
f1MJzRJystjBRMRl1NgmYKfXEe6c0pqOWUF3bR/FVi62hqmtE9K40dg3iBmaS5kXncdMupuCG9VY
WbHjfxsD6SN1k44rRHgpY/e0F+GF5xYSZLB0sOZ2BGjd9cRIBKcaHtrBqtEfoV+owdX6EbJ2RrGL
4keUydENEZetva6EBzIx2IbCpaeiPkfr4TKnV74G6dI0JG5sxh6NJo5srA1nOSpGk75Dru2NRl74
7ij07C9uE9AvcYN2xH4oyvoO7bzh7su2SaZr2MCM5GNgudvJqHz31oS6F267CcTckSJ23FXe6Mc7
AQgUvAxu/XlNxIa/L+oFNJEFS/vPhLCariqGj5+SCFXfmOXlYi1Hv7xKtIYl43U39Hl33YJtCRaA
S2bgCW4LRaRNnowHY/F8OpVPSPK0wx+5I8SkuA1QZPciCrfpgolh5EU224KOCbv+5CwwGeR9XwC6
iZXsAM10C3Imhz0jHGPY9guOplnANOR2mFtfxGovFmwNFfOMQQqUTbNAbdwWDo3oQDAUEG/mSskD
aOMZXfUEziR7ME21VQsmR/p5vbUWdE66QHS6BafjLWAdZ0HssFvA8AhgZVzwOxIOD7kSQKwWNE/g
i3Q9JmlHUdG4uLMFObMLzCeF6lMteB/m/vCA5/Qqpbs0DqI+peNob2YzRanUorOC5gtI303zs8Fh
VLtghOC43eZGNG6twYuwihG+wVy42wTvACJK19tggRIVC56oiAAVTS3C09Fs6ze1YIwg8eiNt6CN
3LKUTKl8Bn5QBI6OGdvHZoEh0aQ42da4i6W2dqmcPucLOKmIiQaV4i7ups8S4vB2IL0RCxW47neL
ZoiB/9h3brHrFwcniL37dPF0Nou7E56GtzUTHJ/Z4v0Uiws0WvygWHb762rxiDbduEi9m3PiDtxV
tjhJJyylzeItxY4QYwnDb1rkXv8mGoRn03c/avrdnQry992sSqW5eFfLxceavltabR6ex9w2IRS4
7/ZXe3HCJiHeL724Y6vFJ5ssjlkvtY5mF06k3OKmJbSc5K/FYTvyQmwDwOkT4MGJ9MXmaYpqt0Hy
aQdiIACwsesnw3JATuPCILSS33nvGnb5dXRnIgAdUpc6stJqXH1TaYEOMgxFdkPqeiiXMlxvxon2
rAmvoqziQ11zpVZtWmSbGUXffURX/9rOEvs+yIs0Pg6JguHkx9WlhXMDcAAeQoaaNOOiuDFflBlQ
T/o+qd/kLmRnmo/sV4QAoUJ4GMK4HNBhn49jo+4EESRvPs19YDIFPEKM3L25mQH7fUL/l7/VukZb
OuWN9VyMZHCwRZNXWM/1U+wXA4riZtq3VCz33iSSJ6QIHQ8jKKiytasTKKdsHY8FBjAB6ZYuHGOQ
pMFYBPyKJyFy/OozysDqa6UFSaejUX12Kzs+JHXQokSDArGDJNQ8yrJCmO2WA8LaQObtppsbXg6g
3nKdmoLMXKUkEAXbOXYV2iOXFjIQdVCbu5R9U37IyYBAaRKH/UMVDOG89eBheIybB9JsS1Pg/ssZ
DYKoiyDkgbAYTqGfRHcEomYIqGsyk+CIaOOh8MkBWbs6xeEYYl86JCrtH3p77IYLks/Dq9iDN4hX
e74o4Rmci0jwUx0d74UZq7u+RRS2ohKpTkpH0RUhUvqZ1h0efUAJV2HNq7ot4F3uZnSju6FEfbvH
iBte4YTs3bWWkbziJap4qbi7NOGrU5r74oqwL/1S92F9I+baum9irncMJXA/TzCIyYqKD5j4pzOD
R/NGI7x+kcsOc12omYF6WiXxnisbHyT6YpY9Am+sWlQo0YBDzX2jX9pJ15/7iOs6u271tSRuqFrN
XcRlrYB6n0K6EfvObyFlwUK8gmhvQGUt/fBqjGWMDkqRifQ6J45AfavtwYEK6QyE3J1bfJaRovlk
CRtAnYHbF1FSsEJ1qCWrEj6UtiZ5Fcsy+KRVFJKh2pXPCjn3pu0ihBC2MQcgzj2KSNk59jbERXea
ajPYhNhZz+qckweLM37yyLF+RtYTo+ngT+OuDK86H5jDKvIkFTiRKUwsnCo71mkAOrz1aeLAMSMS
Jspb/oOg98ELhUMGVWLWZbeaec9pY5HHMJG39+a5ffPqhkISuDplsMrb5SknSwdjVWLLuziP+gdR
tiBPhpJfMpNmeuu1NbzaJFJ3hg/PCUj7EF1NKodoTl5W/Tmr5vHaU033YOoxvY2X222j3T+X5Frd
VqLnQCmQWTp2SGgpMqIr0XDVULZN15jypjcT/NneGLECrWjaB7d2nkAsAy9/juiUn1gSQ0HJPn7y
MRS/oosVxmmuaYmDCELD42rafHDVSMVZ0W9BRVcoA8Eb7B3wBQLnDzQsQwW3ImLLhQEJcfcR1Ak2
6qjjSQKtB+eRBhJPGmtWdJWlCXzLHFHoteEkNHF7cnZppTZe1B+VU3oF9Nf2rfSgmzO7yJN1lQ/V
G7Iq60GEetj0Q2N9w7UNK5NXr7phtZjfSjsBmKnsYsEcJ7L7Znsd7tagBxZkaM1lwYVWN3s8HVYN
69Wy7gljNG791mQ1c1X/bdReddMGBY3/ytaXbT/hUk4QbllAZ64CVcX71gcfFjeec2Qd8+stubXO
sTDC9rGK48K8qQ2c0T0bylwey6nk4kHZu2BPHOx0B0AWK5zt0jdtgfeSceE9z43XXga5Dvd9lvUH
oXJuDZ/Nc6cWaYfBOIyvlWj0Thei+VTrHqL9HL21OKh3ukEUtwl67bxIP5Q7oTPAg2ICaeRgqJK9
o/YW12vFRFOQjlTzHr5zyKwcwBlFCHhikQQPdhaSvmuUd60vLnqXJXE0zZi9DJ6MofOTy4r+jwku
9ZTkuuawqQKslVuXEbroPWQVxutmbFyMytBXBf62OxXY5ZG0QewX4GuhshUMGytLmkcZt6d+IlIs
5t28MEOi4orQBU8bFUhvbIcS0Gf8Rwv1iy8jIFJuAeqt7J3XPhOnCpE7S5rH3xzM6IWy9BrqyBn4
OvFIvW2uJoTqL/6wzJnKdhfRWT5WWJWYlkUUpH1STo9kHoe3ZhENO3fUB1XiDPAHA0VaXJVENsxf
6P/lT8SFovtySy6SjTaUhZ4dztqdJkwBSZo2x9Qw8QMHhnmVYorYNV3H4Mvq9IYKdbgWXmrCyUqa
u67CrewMfnjbNRykk4F73RFkv6IxPeHsCsQXP/bVAxTl7BDH7sOYmFjM+zCiDqSUW+XxVK7KeIgu
YpIlcFTax8CZrZfIDIZd7xnmvoXHuvFi6C1Dv6SUE5i4Amjkg1OZ1BnFhXhMhNwT5FLueJ1YgEu4
X6tQgWjzM99/w/BsP45aWJd+7s+oFnJxr6MxWY/UsEskrzzLgyZ7sKTr3hCU0exk34zVzqUuRH5Z
h1sIgvrbzKjJXuuwjQm24zGIiyyEsDsWmmVNT6hb86RZjzqpiYKIcFrhJuxcrHs22q4vyTSmp3Ao
Dm1aZRijhHFeTiQUzKb92MYEMPIq7mJnJt6DGRsFmdtd5kIGnzAQU2YI6FQsgclKk+h965k1mJHc
8c6aaTGVmxFxIZDOUqeWV7mWZbmGmG0xtMiwNExlf6Ek0bPUaEbKC6cKCGVjcpUlzqIgTWZsqnVd
sC3NjITXiBlaT5Jvm3zObQEN06IBT2ut5Is1a1oaXWyM137gVOcTzWx2dS62phWw9fTkD7F5C5bm
VCdokYOe/BCvSS8y7vJZUwzwKgR4uokBz6oYmvacvi+hxE1yIHzd/0x+84p9zpe6LNC8RnJeV1oB
tHaLaMnSbq3P4yTqY2m7L9asvgXoGJ+pWLPnrMlLFq3G+ORm0thh1A63rdvlN5OiYiESGWsbQuAZ
RSvoS8qh8dDbeR+fDKccxKZ3zQbvYwqAg0VDlVfGEMK5LCa3vKJ9A/PXxj5WMgbIWISwqybPeZ4U
N3bl5Tcqpo+8iicW0IQgjdessTEoEpzzWgVEB69tgx9YoQI4SbxDd+SMe8PnmoqH+xazyckjRcJi
bygCSrTHF8Uf9RNfS3pnc2ZhCglpSAI6ju176mN2punCYQzTsXnFv9u+Nl1DE6GZuvwtFQVdhWZu
g2cTx9dLGtVLJAlB3yhxx+DZTsE8r0UQgwfUc9C8GhILBL6C3ne3cyqLuwyXBjcpAq64c8O2L3cC
jlK06QjcTFaR3VHglAW0zUiRXE6NWQbP0pL8GV/DcN4QZ5iS8VuYPEaFgzdn0zf8lttEIpfaFKi0
SFUkkRUrXCyK5iyeZcu+0SxgVq8HTar1juKVnzwTNlMeBfwmbxMJfzKwXS8lANJ+TonNlH+egAgp
NqomNGCdBUBLVkSygCPNxg6bRt1D1YK54EPxDmX+ZncdR+0qHDebAT3n8/eLKRHG4upnPBmDiSCR
kCCYeSxX7CfKvePLcI2z8X/ZO7PeuJEsC/+VwbzT4B7kYGYecl+U2uVFL4Qs2wzuDAb3Xz8fZVeX
y42umn4voLsAw5Yyk0lG3Lj3nO/obE0viEsPgaZ88NCPlfs8SWn3oCxAMF1mY3aoLbpAN0DuCOeB
awWMqWmrB29AUcFXyLx1PUSKz5cJj35Igy8jPWtUDEApJoQfiGrb/lvv0xvFeuHV8uIblnzMpt7e
l11ZfiisUNxlsAfJYcZ19DjIWk+HkTZ8dON2fOiD3Zu8R6py3nVCJDunvAmRPPM/7NFrvhOeXXr/
ctrQl+Eq9kbLv5+BVH9JOL0kK94syTi6118T/NXYYbtGMcAIMQgRzJjY4zo3eX5wFnrmfCjp/52g
mRkgxKqWio5UrTo9mn5DE6VhtkLwiYIkyqPucuBmE2b/AhRi4kstgw5ZlT2Pc34DqRyU7VJC5qK0
W3KQbEn8FWhyokfMEzPp5jAUnXNXxMEIujZL3s9wu5+we/Tfx2B/o5P+QoPqoHujzfqvNahP7Yv8
Aznp+w/8EKDSP31nerS9UbNZiASXPvFv5CTLfcdg1KYLbboMVF1azL9Fi9jvTIJNiFmmb4+1rJX/
85+OQJRqokf1LLEIWUki+d//fh3/K/5a3X4fdulf/vwfWKduq6Rs9f/859tM5qeZGEea0KFjSqec
IRzi019ayRU4Vbw8RDeFoG1mzLQDAaY7gqbC90VBcUtDKpvhAMT1WeNO/2JNE+Ve4gMFVtx1jRqq
M8FH4y3VOKzXxBrvJYehW5T+mgKpykdihcBeDmaH364ofDca7g3BU4d9LkQM4z7h1gkL3LEF/Dw/
HghMWpl5ZNyEBZyMU9WkuN3XtkWC9jenFlPSHQbkNWN/jEVnJfTZxGikgEkD1T/UPRf5wSgrgTvc
lQDn43Ro5jPX0sUVAxYXLmgInD6u4dTEhR1z4HTnqb1vCreAq5gnlOOQ4ZSw0XQNpR89AnuUj8Ta
OvQR0ILkc2d8HmSRcMRyManUhUzvxsq7bkec8rPHAiarqHsJLTNZNbqAXUyXmQauCeg+pGmbC5K4
Z9KfTymIUUr8FcorTtbDYPbqbGPUKq11ivr/WsZZbxzZaQAUZJkRTw/GZHUzvIY4SxfaR81QYm8n
o+z2fWRWrTpYZhxZJAkUQJyy8d7PyVO+1KPG90FgMRrIov+ufv17RfirFQFJOI/lv14RHr+WtCf1
169/WBa+/9RvunTrnU/NbDErfROe/1gSQtD46H04DMIjdRZx9j+WBAfMWoA+lYGTiU7VWma5v60M
7jsUOaivEHx5SHN41n9ZCf5sZXDFLwoPROFIxpC/I3YA54/U/Y+DHzE1jiEHrzwafaZBZXI0jOF4
RcaAq53IlsBaWb6wh6sW3th68XRvLD06exFH4qAKl4aJF+liuyisrrVy/ccxw3uMEghEagyMYj00
zraI/fFjMY5KbSaKjJcwLq2jXZs5y4OHJ1bG7hZy0peurNsjR49474G73figkTEPZqCrZnTCUw/3
DLKtWwGqHjmfSFLMcu55euhT9dGtVfBS8jAeO7IodvTidp0m2NFsYcT3aRLfWLRUDuWU5I+2dHrG
sdpt4xWS64p0YRyhNml2J5J+wyX8xfc/R4GoJSA5aPiroonjS0Xo4hOwieBqTGfzvhsae1Pm4g5K
T3jh0VeboIjj51xqTj7QfA+z6Gi9JSqCCcmcuBFReRgSRICNM91VdSWODWkqO9/IiH3semJ4RXiK
y2zjVWN2awSRwXSHGCECAYItqZcU35ki5s50aM0r11ybs+tehemoj52eDWwx4ODcTBqnXNPjyGwF
1tJI541OzeqifCnkVtFzAUY5dI9WUrtbmwPfVQwtYu/WVrGzFQG75qznu7q39UUkBui4zn5EGDe+
Tlnnb/WALzASmcYQzbo3TH6+g9M+box6nO5dWPifO5bgupyecdPpvVU76YGzrr13wDC/74ME7Gka
+V+CxM+mC6C19EJpCr87qEcsd2MLCKPI+00ig+Cg/abZKR9n44R2naauR956gKeQXJjwc9CUw7cY
UNBuNssRvTHN8y3PjXvnToPOr6a0fpIkHTxRRk8vBp4oIKezZ17ILerPnKsRBhQmX3IS4lCoYyij
pB5Ra88ZchjTL2/oLVeXfLCe5GjULQxcVx2Y32XsBso4EVEEia1owrOr2C/JTXA5+CaWUYhDZ3TJ
tGN0OPcw3FxyC2j4DifAyLuUMOpwNY9LpJJbB2x8hCHSCLWLw9QF6Xph5sQr2+1MXMg2KS1MpXp7
kyogfdoqEnx+c3FL6+wQejD/JJbES+PbL/Q5RHSlnHyU59rKP/hJI+6LytsTWmkZR510bmTv8xZ9
M/TOcCjDV5iqKtnG0TTfzDBYbnVnBwVqVSear9yyo0RtuyevHp3bhmxUCNl5Jh7RRqbbsOmwxOVl
eBrYiYGq0D2YNrX0QXhztEmHdcKo8VBjFGyebEZzGZ5IYooAhJS+qMSpZKqojU1B78G8YaHkuhc9
yVQRxn+GH1UcmSTTqKFdm7URX6tJFOKDiT5VNVvtTdYdosgu+kLLQOPPnQFLm+FKWq7hbs0OEr0R
AUYLwgLdYti4MGnHHjf2ymzD9LMwICEegrInZNIjAQKGCt1ozmldw5E3YrN1L/CvKZAgZ7xk1G/c
KSbpjEcLREO/KtUw3hKD6n6ZXKfN9nY09vVBTER2bshtY2baWlEUbksv4yXnPG78VTHSsmVIXhXr
TC/jb3NgaMDaxyu2WbTQ+kNdyE0RJyltJ6Yv1Y0IJhuz/NSBCm/PGXRqE0peb6xiMYp4S4PXv8GD
Mu5AuvFHM0dBRmQ97Hafxvsj2ez2GXYODd0M+o+5INGGfYqT5sKYg9ZbwjicUXq08bLcbdd254h9
Z9lyz8Q02FeyyW5LO78ipQCERGN51dUoPciPdS2IV2xdyTklEDxUfVKrTVd2MJ5T3z4BYGFSWjKz
J+yM9Sv2ky2mV8fYmQKqpMhJaPLBk1hrZ4Bh4htleU18Y3Uf9MK/bn3Vf4L2Y08r2wnPkxNg/1ON
tclGNwYG1M4LDbgD5VHoeXpVk/rMHgV4mAp/N4iIZjWxmsHKNpX5gK4h2o0kHTx5bqzvXNeI2BzK
/JjHQt8wwjF2y5ns1Jdm9DrjIiMSHpCO8OMjS2d0oEFifsSHmmx0EQafektxMG5BOR1ST41nWojz
BW0QUwM1MnEYpvRZ2o518lTVX7vxuGuNkvl/a87pusXxQshr7wB5m6L5FtVWCm0s3Gu82k/ITFu8
ED3JA0057z24PIq8q2HgTG4A2sxpcAsXIPSmGe3gnDgs8SFmpU2Nsnw18PoPI46Ulb2oKmJcBLf1
FA/rfpbZlmlsvPf5AEtvt4fuMbiSpXF2PzpAJdgLvbB+6QO7vVhitr72nV3tPCwP28yKrIOvlfNh
afJtCdCLN9T98Y4eWb1tyja/zsxBve94Di8djcJbj1bZFXL1kpSrMr0ipifZK0ciBq7oZXl27h/y
uX8mSiS5otUqP0RVZ15HkYUVIdU+lQBhcKsuAPheFY55rUdGM+uEJ//Wo5+2x5LSvKDAAO3FiIeB
fnvXaKZatB4D/1iEOrwjV43zQJpVnwdyg1f1WJjbbAIZK834Q9QQMW2VgObzUiDNMiZnS1ZfE6xM
y/g4lpG5xaBdX7wkMQkF1Uul3cRqMxqY+11LYoYerfbJsDvczp2OtV65YtyGBqxl3Y9+uFYI9NbY
ubGRl7HdMtsAxerDWPAtGK4898HsBDzURCFuaGl5L/bIIBFOYMqc3kxZCZoGfyBPlT9J8eAQIBiz
5cVFEstH7U91cvdWtP5d3/9FfW+hYESX+a/r+zPm1e41m34u73/80O/lPcU4R/QQw4e/nBZ+FPhB
+I6iF9OJvYiqaP9Rxf9mOg3fWZzEreWM7/uLJfX3An8BKQcwDjwsav5b7f9vFPi/Wp6o73E7LVp+
B9cpFrNfRKiO78iGkMD41FsRmwIoaHE30KLbOUOJJQZrxak3P6fGAB9OuS7xelUQQvTv20MD82bv
KERhZguv8i+k1khyOVr81JXgrXFJaJeYtr+QnH+1pI5s4R4sOP8okA5VN2GYmTeQz9it07edm6Tx
Bzgm7OZJw6A2Bgth1L1eF2+7flCW1p3GU0ExUL9VBvNSJExv9YIrNaAItCeUEflSUsw9+uZN/lZp
FN/LDtdvjeBAxsK8cb9XJdb3GqV6K1jkUrtU3+uYkLzk++CtvHGFBlFLoGB4Io/Kgjo/pduRWFT1
vToKh8C5pcvZPYUVE5GhUXjRQ8hbTIWGVH0upsIkxIA5FvKnBggUnRmok0G29EuRk8r8BC8Pdhfe
QWTZaUcpi2gKmno87MoGDVIUG/smmZuTArpBnqejXxNTNnRSvHHjp/qMQPdUV75+FGXCjD8kWwGW
RXuOiD4+jUZvbHBmqQb9fkqONBpNpnNyZyAlQNPUWdW94YafyAgneToBOrWZs1x+tKOoFiuz84aL
EVfG3dxl4bgWctLbIenHK6K1H5DVkC09Ye9Awg7IRw8sd7sgM9zPnMpSeuMS0jNzShRWCJH8e2hL
9T35tQ595YB8yn4Wi0qbMcXFKYnOfkpjOBajZSTkWaqtC8lohztmeJxMc1yV0imPo197BHgW5a4W
LXpaq/G7tXYQds2lgHTjYPESc2isnCUscTRruulzO6wpuP07rro6w1VpdimhU6fYcsJTCEboJC2T
ZPuoNPOPdWvpx0pU6Tc10GBaZ51RPyidzNdOaY9XTm+KL7GQ/s7Fvgjjlk/f2Ax8EPw0WzsBKbzi
usP7pmBkI8pq+ZJx23PqbMZ1S2kMRiQe7mGBD9chrdyzN2iKbDcJ966S+bY15nJlD4nDB2qde9kW
SHhNkKwx2ZDc0mS3RLuBw/u0njl+fySl2F0bY26sogCgjhcO1osdE0RZpNP0dQkMuigmJxvwws3B
rd2emLo09T9pe5qbNbBzDuZvQdY4yAi1nt8Crvu3sGvhLcHX9lsItvcWiG0u2dj5W0y2vyRmeyOx
8PgqlxztkUTtkCGcRyCQmR97MTd6VVi5vIqRpaDNHLh6mGXntdun21T3cpdPtodWL4jc12JwB5/s
s6F5nIe6vFpGmFy+WWUXb0kBd5Y88IXXx9P1FhMe50tkeP8WH26j6rgTdPq9vcgq/8hY/CmUw/xZ
YIHfRoN2j+GSRw4qj2jyekkpZyUcPpHhEUAFDJYY8+It0jxL2IfXDCyBv1ZL6nmJcLHbeG9h6BXO
sv7aWTLSR2tm86e6EkDL32LUp7dI9XAiXb1iiMJ0h0UENfySv85kEkRpT07ujc7d4c5voMEygZDE
tk+lzm+YLIMwgZPJ8ZqAFINTpIWyom5msI8sB+dChjn5WVFevEeOrO6ZC7do2AjcuURqUFeGaglT
Fo4yUSul1aMg7DffWF3ibsyKv/e5RzGUWZM89bPXXAZbytvEHrKnurDKx8BrQaQySwPmAh6T5ZnF
19NZ9prGVLOrxE2A6RpO49/qZMqNj4TxzZBXlQrvbWcIkq0wi9ilAdv4zc41i/BrM6Njmgpr+BQH
MHV6WCz3Vturw0iUDbBvA2xeV8mDaae9uWqVdM8yJAVQDH3zgM52TleR5cs7Gu/2h6ovknv6y7Cs
dKPjWyTbNch3Bm352hZSP1eTCY/WJcrG2zeLADViUPciSYplPoMv7dKiuYO0bQ2exLy6tJCyqZU3
xtgaNF96zcvlDP5QnEwh1B2EBEr4+hlnEi8RhyaHY9bmXTo5DLEye9yqAbIXa8N4TPEQfVzYhPyH
m451noc8I9wJ4QJDw1W3RMuBO7fLNQcIcWXFKDtWYrIZeZlYkE/hONDx7lvVndvA99++toMRQHEy
G4NwZocP2Vtiq6X/mjrmsBkCFxClGp33idXWx7QW4hY8n8WrFq+20iFYGC9zbuhgXFGls+R4+VU8
BdErPeNjyIR4xWR8AckXxiYwqfLr2k2vJ68Se7cyan5gHu0bIIB8p2DCh2tEuebatjt7g3rIZujN
f7DVGs9QzNVdgzbl7HpAnhedQvkJdXv/2ju5Pme4PcHEVuN+qUs+50ZWvXKXes7ahUTB0pFy7NxO
2GSudAVsl+w0pzk7gRpBiTpSELumZ+EiYjYmdzPQeHF20yJXBtfTme/9tG3LrfJV9tltMRVvJxoZ
I81/DkPEoEHtWbV5W4zQWcXwUuogn/d1lvTGuutNGDlaZu8p4fi65Ivhpv2NgfLwfjL9h2yMvH2a
FgTNOAiPZ1K4pHPRyQC6AP2+fRNlaCApsarnqYraXcuYdVO1Jt8XIXuIO1BBlc+Opwp+Z9J/sWEE
bEkWc5dNtCkugdLWlWY54ynSExN6+j09whoTOHQetMRc4WzOXhh+ftIGbC3aH467ZlBZn1K6hAve
MTDclYMmWRKFEBGGZVQKrKc022tYtdMdPoPkYcx708HfigcMlL7NUFTr+zhcFAle4F2kV4FKq3jE
rhJ8/+BXR62X5E+OmmRBg08Ll/C+KJ3E65CO6nMQqrpHrWSEJzyBw1JgenazLdIq3E7glF1M/s18
DFIaPvCCOv+KnvLsrgDudnDKjVmolSA44kpZs8dElXUkXTeID7w15UnzwU7FZNxxXC7cfcemf8dT
C1YJV74bbcMq90992rATEMVdqkOmuJ6bcYhkxNaKVIrRlBM84O51N5USBuc0YufOQQPrayVDp94H
RNinl0ZO2QgPQhTXy0gG+l+o7gEFimcFh2lf+Yg2V1mSGa9MmWn6VUKVe6WbsVgbcUFLUVozWwaG
nm6fMD+6tTmnFaegTsIbUhnrb2FpuglT49g84mvMzXW5tHBQ0pKBN35v7fjfGz1/H+v+P8nHAR6W
PzvVbb7mL8NL84ehzfef+XGoE9475rSuw+gUv9SSOvyPYx1/RYQWBAnkg0xUlwPf76c6RjNMOhhB
eALLMS6a38Y2wTtMpYjfECljakeI/u+MbQDc/HJ2CnHkUl0wtsGgHTJZ/uPYJkt7SfZKqA4TDYKP
bYolaePXzgCqdS6qNTLuot3VJGeSQsjGzEO7Nk1op/Q2akjSCY252Zmtj1HSFRhwSPVYJ6E5fB1b
nx2AX74OIjYstsDbknEBDoD82TWaYAPiod6VMRbZCS8ULoIQDzIXMTkwQfAeSG0pUZ23M/kPXjtA
rkYhIZSO3HWUFs2JBjxwkIo8Q0PkckU6uFpxcG3OoyKpwS8cwPyIqfYDb44aufHro5jZDCujae/x
daCo0slzKpTxMckL4zFWJa5KNZbIM+yYBn7tUL/p+mYeNd3kUd/1AbA/I+NDwvsFaGzfufaU7Tht
ys2E3GOVxhyEmbV+o4mWsLSERJWQuNBS9dCpt1Vb79TMq8vevvOdEUyIaC/EZjmrzrbvkJg/Rn13
sSLUfnIsH3A+WFfjUFM/ZGWPYmpY/lMgcyuu3KD+GBUI4mYibE/ZFD9jGjr69AlXuePcZVP2rAAs
oEisHmB0zp+yHGZ37UDwy4K6o+7H581Kt+YWfORogzwuJVIl8pe3oNjD+dUhZcCeniQd9cwwUOFn
1UOsw/w98fDue2sEBMrZCvJHTCKgbyFkKttWraRZfNNzfWv67nyIEAe3zAVeKhBOj3UIXkQmKO8B
6mHqDOz6lj70AUw5cGSvVTdTL5uPbhY8+jqp9tUI9snSU3zlRxmCKponBxTYWE7y4An6tqFQtw1P
sUtXwi0qXDMi1sUdsyH4myaA27VQpnPXEr92TZK0RKhkyzFYVRDVt7ksHxzDGrdOUzZyY1fOvSaA
dqeDqNw4jvQhiwCvTOn/Lmi3ft0XIwrIRsECPMa1Za3iRWqZ0jhYtUHvV3Bjx+4cx9hrdkNjeE/C
HZIzyQfmM1K5fqOnNoGanDKA8riW1c4KmgjI6DiZULWV1x6RpALh9dJ2+maU3mzsg6aqom9TKIZL
bjcOrVgwrdtcJE4D2ShGTJBaD38v9P+fhd6DkPBnC/36JU++VU35x5D77z/1m2oHaY5F2AJrM+4U
qpzfl3oLApyLooebfnFi0pD7x1rvLqodEEhIeYCu2HCsfl/r7Xeewy8kIIg9hcAz699a63mNn9tk
Js5PoHV+gIUeCY/tst/8DLKgBV/VCo39dTk44banuIFT7nDIwDM29HfEGk6ndOyXctLM2k9t5fZP
matpNuiw/EEn/IO06GcpkfWLFXZ5N65JRxMbrEkHz1/e7U+EBLckvTiUXX9tq9K6jnHvIUMUlc/c
tm8rPH2D230SfY2MrimCVqFoexuozVq4cDVF+SVsW+TU5FvD/M1z6wkPGVrvyfeir9bEk7376fv+
IYb6+R2/kZN+ajO+vWMffST0AzZl+qG/vONESL7bqb12Ri9GU4DW7qmnBevsWjERQtFPo4UDhExR
gjh8OvZkFDv7om9QSDagbr5IamAL90PNGb5NWKvbQpr9SjQe/Oh4CY3LuvBU6FBy4jbN8L2W6m1S
N25RBfoXQE59sf/zT/XPX4OgOBF8EXSP/xkXRVEcD0ad6+uS5Mr3VYyEbAUKmlujLrFjDHQkH+rI
yj/++csu99rP1xL3+CJUcxgq0doBa/DHa4kgK8b6H5fXZTBb11Ymu+sSHgfsCvn+z19p0Z38+kqh
iQ7WxeFP+/yX+wwnBCh5guiuA3B6LwjQmnwPPoJjJh20rak6FMgkxgQ43RxvKP7qplluij++PDcK
bm+Ajb7P6vDLywvhJDIui+RaqMx7KdKOGTB8ynzvzYXe+izwy2E+lfshVwhlVFaJr20e6uMQTu7V
6DuNyWAzraC4E+r35DS17WwkkUNfawNrpmnMhVh7Ibbmg+f4ZGD8+dX7lUyA+54SlWUDpZDt8qwu
vfefHlPT77zS8yKDXJYIyHXTauDpRtYyiCTrqYxPg0yyz3EQ1lfjrOTOr9wxQYbQi28tAbXVegKm
sMax3H9NGkd8oUMvxenP36Tr/dOXTGQ0NxFqJtZWns6lyv3pXYK2T0z4784ldVUdhcEGw/sMAW10
QgoXnD/NqEzSSUDQrKSUYt1Y5R4bZr3PXYJ0Mhpq93XucZ4X+RB/GIiaOk66hX7nqfoJvXKwiVQZ
rTsOwMkqQfaAJznV5fVQQ+RTBtPNmFgWMhvnaNHh9rI4eH6b39tpfBtPS+sg74S6xrz+2NqFwcm5
x1xuJVjyN43bzbj/hyC9yqUXfIrMzj1JdF0My8c+XA+mRGzITZccjaDB2zhMoHlpOBkLC/e11qp9
6EyDdEkCV8SOmOruiDrDfqTiGbJ9JAyY0Uxuo8+hYzb9igOuQZCToGFZa/uYVWV9tOiGf0n6Gv92
7RTZA9kKI8IO5cKrihp8mlyH/TKJulFDMW5dxhE7yxqtfpszuorX/YAzE3+VjLaFdppNV4c3MjJi
c4MSsz2w1dikYJgUmUEr8o9MUeXZbsKahlzrUXJjvdlpv4CcBCB8S1phOu96mMs7YxzNF5v8pm86
xiW+nu3WREsS2328G1vSyZxhGLZT3HfBrqkiuUGTgu+Xf0ruptuAAOqLHhC8TlNjLSL6E6LycG4D
jI/WDi3IYt/42TbG3G3eDejRMWwRBwwNyVWkwrWwgWB3ifEKqh6+jrtuUG1RYCfOcdt/ob1k2/Mn
PRij4FAQNizl1as9FWlLida1XVeb12TsFdl4ws027/uwa6NjQfQ1w3tSgx5MYWAPmxw09x3fAXZ/
ZSKxn2UBw4AUZfbDNs8GtfUZ3JjrJkcNciMVnNnqkE1i4Owx5mF7hSHI4Y4aCAvTwxovm4EWTKbR
DS0PxyfSKajxGltOpotdmSdNuFDEiboHqJL4GGwgwnnkzplw5SpggMQyhd3APCAXJCroiKpg55Vx
Ma8DWn40rexswajLhkjwngoduQ+mGzKa4iT4hlkLaQb9YZvBoBt0wbVnRDF5vQ4pUB6iJLJB5+mg
URk3cKhjnGGEq/ez2oWNLpPdlPvFdDC1LmqG/FOerAUxUznDKpXQ8ARc98GoC2zZjuNnxYb/mwbm
G5O2DBkh5Ye0KMLiCJi8zbcZo7v7uWvJW0mNyrbI+ZQknayEtGW7j5qeOAs2Ywd17Wxnu67mHWBI
zhfbr8X0aR2kUz1cioBWIo2wEq58ZFndqSGoNt9w9Ik7GGVoVjjN6cXjgmt1/ppnnEU3AW8AxRUo
bnVE3useYlIh/LWdZcrZJFWC7b2L8GYYQ1OHtyQlpO4abiKj+6JOZ+NsLuEC8BdjAq5kKOotXfa5
OgKdQKGThUsY4PLvVhaWMGJLSe1auACw6FbtmBjPTYmn0FglPEf2tQUdAY98gF3TeZzywe6u/TrE
/VeGqr14XcmWFGuR8QMheASiChNplZ9m4BXyhKE6H3d68ObkbLVx++jiLnjB1o/pISBqxCEKexTO
VvtzwptHJldscoeMHwTi0TaxEvUpHwYqixRJ6IP2/OFz3Ujn0IsB9z3DM9RzDGv4PV5epSPjyd66
nseakaVuPevRahd9HflUOli31oREArdRivV9tO3hWHLqs2/AVYTvS1MtN2eaYrMQRDHqWwxObbA2
1cB3I4eSN1ZpFt0zO1j43glM7m5GCVmzAY+PQabVYWTfpk2XZfd2gLLpOLrp0F3asV3UXJAabiHV
EZxdDQUvXVUzmrzRLtoZQ4dYPvzy1gfWJ94XE5BrfLR8CozmXCoJCH1eh1nPo1PncZZA/hWLVww3
4EvM37Gm2m0pb5TlTg3+2xpo3FEOzdhdgDjUmrTHTo1IkOgZEV6rMDPxZ2I++EQsIGNoLXVyWzLL
Qe10Cvok4WAtPcSv4xT7L0NJlsxqbNLp3mlHU59jytz0XBFomD4E7BZ7XZrWtQpj9QkOlc9p3pWJ
faqCOOzOkayg2U9AecD3icnZ15ALsrUp1PSa5Zl3O3barA6K3kL2YfCLWB8K3EXfpjlc1pCE2MsN
54Bg0chMUu9qREQfDDBacFFqtDWcl9V2agaJybjV57Agr2VDE9iOWfagZK56aYfvm9To421ulzwm
sxE54dEtK0t9LViQpxMKaZ6NYVmx8UgZXNGxh1LEJjOos9V0Nsf6MG97dloGrpTeKn1uwj58NCbK
9NMcto31pdVgQZgwWqI/JoPNr2I+JBkvDjFSLgz6klxB6Ju7mclCexknkT+kvVargMgct4C3cpgH
ny8nMxky7Gssh9Wl9Ef3ymhBOm8lJvj+HE9DLdeBh1DvkUqEaJaQYNwVS6fuGRvoQa/CoQ8Uu8Ck
HvJYWclHq0Lu06/Ips6mp7p1jJBfBrplKwUZNCcjqofPMjbpVuQCSdORVpx1N2ojmvdNx6x5m8wd
N2lit6lzS9bU7F0XPlwdMi17078skqSRZNl0YBgva761ISixoTYz3l0CIDQhuqMzNps+t4NmPweK
uz9zR8SkE8kDJLDU2lcfBmYKj+mbV46dLnzPvV4Qeh2WFgusXYfpLsCkN0Cy+YTtekAZnmW9ePJs
tJDkA8Ste3GjPOjvVaQX23TMHU2yHlDuHQeHabxKEEpWV6KppXNrj2buH6OxCvlcIHjiS0YK6LAp
AN2QqVoWXXvJ84j33xCuvNMyoF8HQt08Top52mbyfZHA6JTi8laV/q2E+gsllE03409bKZeqbF/K
l5+FUD9+5rdGionHyXaWkzbHXAoPyvkfUijL8pd++qJ2IoBBuDad8R9NcxfPFIdik3UJ7TbQ198b
Ka77DsIsuir65Z7nY+H7dxop7jIC+MOhDi4OZzn+56ARJiHjF4xXTVoWMpYJDWVdEwGaG8Wig5e2
t/aIGJwOosqcctdlsVxOC059iWEHEOAUyy+aZme1EniJ8PmaUo1HOSvin+le+q8z86JtUSYEerpF
PV1VKmvyD8kMoL3Ss/kldeIxXFldRs7q4viaNoXR984eoEL1JNpWgORRYY84x0ma4dLUfrmVbUay
6LSEVWSTn11qPBxrDnMA2SfjyuyQAK4aasO1lZYzuWdT89x3TN7IJcqPbj+apFanAQQFD80OE+7Y
3cHpkUQgD6Un164vk0veV8Ox44QDN6Rrjn1VQFxvSBC+60kutFOmu5UdfhhKOsrEgsJoJdR9eVfT
nH4YPV2vnQ5FZMejLUPyjA7pbDUW7Voko/BbqhxbwkpgxmZECoZ6ZVd5o9es/tlsrfjmucrm3Fno
DhLvBGOCarQGe3NedDavXJHpnOkwjVCA+PV8bBtXG+5ZNOS3b9PGWtUoRMZ63wQ1MhkboPilSt08
cfODyCcLmtPOX8g6FuNLlGDOIcVCValxrbMagtEZMX7ZEDBsafzOIwsnaUISNUlMedIfrSKzwv6c
wyxJGPGOFjERNJADQ4h6U0P1/NQ7tnWvNaVFrkJj/BKWok6/hRDwvlGQQz+5hp/vFdaDKCJr57dk
G+sVGE7xEcYXoWOqCPsrDNbZySc/jgsFkESuJ6LDj4nL2Jp2eXbHMazZvjlWMXwON3rK+5WZJByK
8jGrNjTjIKpgmzsFaF05zJpI3ZIk22cohXF3jPet37lgHvDsb5KwkdgJVBsTes94dE0XPqWuZX58
MEuzb7e5M3lHVOrNbg5n/VLZdf5qtwrmUZhp31s1ChRLGyBhWcVt2qD6JuzypDlu0dGPc9ARAAAP
uAaeZeqigZpJcbk1uILEqcMXe44b1zzHqUvpMHrGnjNOuRG83CX3mcVaszXelVVr7eWQBekNs1YB
JTFgqJXZZna2rZgShmSrfhOgIFqigrzrhHhgBslt7l75QTqfymg2/4+989qu2+iy9av0C8ADQCEU
LntnZopJ4QaDSsi5EApP31+J8jkS3abb9/9F/25ZNIGNDRRWrTXnNzdrbuOlG9NnzpG3ll05h5Hg
4CCF80ZuYHAJJ3H4kC5F/CntgfkC45mOLdyafdEV9fnohO0j8IRrvw79d+bOvomdwaa5h+sm6Jyr
lak0E5FWbaUg3lRmrdtzBVr7e+No+4bI++RDwvToou+8+bKZivI0lOzRdRYkiAgmdvfZgCWoo3xA
czMcSfmL7hMPFEqAU+ySEMKnFU9ELXKiA604uMRD4l+2WUfGWT7M75GWE72aF8t8CRfe/ViBigNQ
p1fy7ubSFncoLse9Uw/iuxXKtNoqrsahWHN1NqryC8azaNtnMSMyayTGe1MQr3fP+BD7jRtOzRdP
6uTBz72EYMii9z+rCrpMHQ0Dv6O1zsgNdpn0twRejKBpZjtogJqhbpI5cvZ4Yi8g6kSeFj+ImenX
E4GtwZLjB0/QOYUk2V84NJEfGP8V25Lr80C7Gqhajvzf1ZfRjEDGL+LoRHeETFApCMyTqDyiTeSV
8usS1OltVMrsNBHo/pVNa7QrbY1Nqq3o5e914xlIiHOGkeQOvZw802JagBJr/x6tV0u+xKzdUzSK
eDur9ZE8ZYf9uJ/QZQi77DovJ1b20RafiJsmyDQdLUQFjkcaFizKj76cSTF32vWOwLNs64X9/J7C
D4GEyJsrt2yLgXJw+YJcfmLHI9T3pJitLVpDOIZYw46L54oPbr1WN6uDQmBa5Hqra0KyGA6pW7fv
2wv8d5gknB6z7tD1RXdomoFkq6aznxkE9juyL5u73INhttVzKrZkOlvInVTyfVkT+1RPdfhRwECj
18SttV9Zcrap0hONHKDb5IWy8kvGXZuQGdgVLrFkyxMpDl7iuI9JF7UXEmXUeRP17W3nIPlQnT1x
ZaNUf4PIqO79Kelg9uAxAFug8celzlCRpNoRT+JM7hk5DsRVey4VfoV20aHQ2yANaa6WHNGrheXg
cq0bUoFDCzFPEV11k+vDENBZGp8J/HBXqU1cjONS6ZfD5D7kQ9leha3U9/aMAxGgaBrdedGiTpNU
y1lDTrK3IZsVu0Oa2Td0CIr3VdR07xNZ97c1kpintoizi3Hp0H4gwH+EfqUN3zsHizzpfQxDb4Pj
a0hJ7OpshujKtdUZ7JAJFkg4PnqejVI3A329szIfNpLPpqCzU/u2G8JE7EMZN+f1bGGjqYpZX/i5
ropt1hvXWuMJrqOaP3hLyLBwSoMj6rUJzEwXr+dO5gRfTHq9tW1iIISJYqsS5Hb0Xq/+cLK9lRe9
rO2x3OA2yA5BVgSXIfaLBxCPwOUsOMrFJokl8j6JrHLsmv4wtB5Ip/8Ux/+XMSNCfYrZv3cJ/Hf5
/Pm5+q02fvlPfpbG0vsDnYbnoLFyJPYBGyvAny4BlCGYxwQde3bR/C/17596EkQosIVx+jL4Yz8T
MW75U09i/+EynIgiymJKOBD9/6o0/r0wpvUeYInkLCjfkaa8NgHnTut6g/CsU2ShegMzq9fTGHnD
wy/X5PZlfPLrKO7V9OjHYdDGoKaRCGvc14L/1Rl6orgn6zSsngO4kWw7MdrypponmCRvH4sL+mut
b471A53PUoovgxQe/v6X0QLfRT5Ek4hP2mmiG2AcBv7jiHNvtZdbWhgYpN4+oHg9c/kxwGBW68M/
NkEu9quZEUmJfueEfXxigUSvF3eNumzIsQTsZOHBZPoJb4E5s3APKOUnQeJsmetj0MxwVDo/Ac84
TTgwqEszqhHq6Qj/AfPIqIeks2T9ZYe16QjNPTrOsNuOVaBdFD2LwRI51buyKKNjiVDm0VGwjaKp
bw8WO+hrVrYMI1ruo5AAvHekV12dZcmg950ywguLZAOKtPUpLbz+CRTcFfuLbD+HJe3JtrRPqyuK
Kw/Ku+RFI8Z37gBlB/1Qc7NSQj66NsnJmOfKg99RYYLhnRi51PPJbmLCZtbOPUp8lpSPet476YKi
UYnhInRUc80eZkaTWYhnFPfWqQzmbrf21nzqQCgkwPCjONhKQ9kcZFVdBmu1vCN3MGUn1c20xnvp
HWxGQh9R54Hy24H8NcxOokUNwTPyXcPzTOsWITHW6hr4DPf51sZ0gRFUVPXnsQ/bj/mYyPcwe9y7
KLEjEDz2EH3N5YCKx4l6+s6Vq0lDBAu1HPpJkoRsS5ECFiIQAcaMV95gvJTtNiCw4TIc5/FCj/X8
JPVabnnpwNREzGK2OAkSxCyHdCicO2xxNm9MunrokoM9cRT9xypspkMDyPXAe5lycCHc9mtvWBVp
nX7Rfd7uEvjJF0kkRwIMVz+lRcfFSeu4vOrKan3PxM16J+gaX9prLIfNsDjFWYDP1cKHnsfQgRrr
3iNW/Cxmwn+a5nrYC50Vl2BNx6/JEKjPhWMU02uysg+1VIYngmu6S+PgSwf+eXYwWtYlE/AlLL9C
XCXlsvCoWEjnLIrkMRos7H5xWx4tIDs0+yq2XAsswQaM+5ZU+2ATtuoih1VJNJBKiA2xZf7sSzvm
h8NPIoZxljYB4fFh0N3Fc+leUrnf+gu96I2UULXYK4vd4rvTlSg8d587cP2q0Dr4vaWuCiqrzwq7
95Zv1v8MT7G4odHu7opVqTsEO9a2VvIOqXq2h2X4wRp7tmorW2McEMM1sZ3rfo6C+b6uI6hT7AIP
usKEM1fvQxE37ikr0HSBbk2wC3ypeRfTr2JYycyKHX4O1ku2QE7WIcf5n1SFj8+VCoedHRTKSzmX
ejkjOiPRDGuSDqJBbFnJ+lQMszclGwJchxlYCOJdNtbTkD94/Yv5Dz4sEV8PITL1feRQcaABNvUz
22n2Vz6zpU2kcEUdyTwPwg8LQDt5CHXhsqUjB8XeZbhc5WHIaemizK9UcKAuXZO7qfD5SfilE1uk
rifwu6mw1d8mEH/x3bZBN6QXUWxNZIsN8ex/dNsUytnGrmMr3c9IAN2nfJwt/9AtDHm/hlg7nE2q
UmWhcQMs2d8XcKOq7uhEQ/ER2FZxHyHgP/YAl83BQqB9tiqfQizZWFCEG+vNPAaQwpYJnBXWd7aA
P2DgPgOh89mNu0uH2K4TI1nsJkuhCWInPdcB60BC+WbozL8O4yC+pwidv8CLRNxRYwY4eOjwzwyv
Bhk9WhY2iaV31gLeOs+WOdqralxrYoaJ8dtYEuoNljj69OEUOgcnIMqkpD2CMDBS6L9ttHOWZnNl
YfT+tPT8fx2Tyft1sMEi+LVlOIHTXL1bhNd+8wJPXnIiBn3les1Fi/Vk3Y1BUqb7Xs/NGUON6Kb0
s+C5rDrOT5STw1Q4rN6ZmDLUPrLi3Kyg5e98S4Hykn35JGxFA6LIA+CAKD/vk4p96WagjHBYPIiT
5Lktdz9edf9pkf5TixRxLz3Dvy8Dd88Qvp7/6+u38r+um159+61X+vIf/ywIo+APvI8B3T5SNOiH
Or+IzkwblT4o6hdS6oy49/8VhC+90gBEKygpdGnhL71S/49IODbFlf2iL/53BWFoBCL/XwDjocQC
VkMpQnYPqerO62QN9FHMBJbQvVwJdUlWwtMSrWL6gTij9HBlKS/at1VYqs0k/ZwZChm/Hy2s3c7W
zXDlTK11GXMX7nUH1THRXUNC5jpcNUl9SnsxnstuDndeGQUXzVhb911NO7GpE+tCQcCkt1dBUpbt
8pgzjq03KDiso9N2eKwGeiIBfTcUAauDPrfL6k00xeKYdxgBOG+2d35yKjLQcQLJMaE4+Bq7+N28
djf4XXBFObZp1DqnbkAujMYP5idOAoc86Rhb445l+evoOzPU+Ra76dRjSRC1vopBwOxnhWR/sr+k
FqkGXTlY+zjPnYO2Vwz7TccoGdAJOtD6Pd6vfD9gL9mtJRlwS3/TF5rYgaRQz72rxKEMK7lt/bY/
iSrg+BXNEa6Ut1O1jE56GPE4JWmzY6S1ngBwoylptGmotNOJ/htWywhiHHwRbIeZgxw5Qgttt4JN
rS92SUb9ADBuAdFcDudFFl6lThQjJqjucB/NxH+ER+AYADrmYhMzmqPSbIj9FMg/3Ng+4ggljiTV
T76a9Haixbant6F2ir4JMMmR+Z5vgRuX42fEb/jwl+q8JdDhou3JAhP0VJs1xFdatgd/7erdWASM
tSElbTo/OEVxdK5w5G9lgcUlW2PrSYus2Qj61TQ6aPuIcVkOUEOx/SIBOnObNH8IczrBA7a7XRjO
3YHixj+4+Hp2w2J7DMV98oxkclxGggM6Wsy8KfNPLdTTC/i2ZxoN+NYFqI1rvyeVtkyOqSC9DhNL
tytLa1/k3UMzBE9yWS9zF9VJQmPsYNWZvXfsNT2GbfW8gr3MIfsf8ybut3OO08ZGCHPeudE3b7Xy
nZoif8c98VDSpqCeTTYA4Cla8+YwJoXeuklMVUgE8CQdppMDFAtH+WedmzufNIRE4EDDxWIVn1ft
McNMZbvP2ZKdjJADEFItN3RzI8rOvNuFSeud0pVmHzFnYM/IyN6BPv5gDaraFeES72hokA3WaN6+
km+wEcBeA6T4h1jkj70bJFe1nVYHIT8j6rfPGQp2W78NrIeS+PphOwZ4RcMyy+5gNEreeoFN3zHV
R7wt/YNh7uycMCru1lB6u2FYrwYiDQ50o+c9vSFmrQUmQh+d375eHDAnrmXfZkG/7u21qPYOOOjt
iB12R4M+h8KeB2cO4Ottlsjp5LrJmfIn9wK2IolCqBsfTeLGYURzsHOxim0DrEs75H8dc5Um2w5+
bj9q6tqNwiPFk9uBoU9bUGwjEweaafV9YQl9G7ejfe4olBGojZiEbGcMAvuArchuUVWAfwo1rdAD
LuygHy9Dqxb8oHVZExx15KV6bXnF5wz4tSG4YW3t2KmMEmN1uHI923XwT2EK3jYT9vclxqUL3c0/
bydcu3mg7m2ZnY2gHc7lamaYvX9H1m1H1IJgyBwh3F3nMth53qIw20Zf6NjeZYwZYme8LceaTI48
QzCbWd8qb9WHEvJdr8LLbObn0cgcZ9JbYE3WNehS6il42C1z3mnYpKGQG8fLnruGtmYi1/uhcZdT
OKGRgOpjYbYb1daxpTbGZZJmaqYldhL0V9oND6D7niNk9BsJnQZZ/eDfY1dPiNCLjB0P44ST09rs
vk3IvjbhquNrSK/iaJeMJxgZFIe8dCcoHMw6MGoaHHwlT6mgX166n4JguMwTLz8D5PFEuUr9xtwF
F7UIzkZoLQ9RNL0v435G/RZ+C1KYKFOcqS3Y2wfXGS9CT/XXrXTPM8L8Nhhsy6sS4gbhTLdlijUg
Fqncxl33ve9HSuHIizf+OjZHzyOzNPYx8cMZgheF4RgeDigQX9B/LuEQDyL9FGkZPWhPnxoCZC7W
IB8Pk6u7g5JgqhbJEet1fegmL7sFnH1JQ2XB3IbLpZgZNBZOQkLg6Psbu/LvW8C1u0B12YXuhrOk
7xAPTPhQEoUjrkx5vaRVF3wsi+XDHI8jTKHwazNiBkwpFRnEq/m41It1IHXa34JoiG5UOQGBR0hI
tWpOfL5qURdslc+wsorvmnxt9nOQHZYOfwsLGjD51Ho/RuxuOwZXgvEFa+E4nslp7VlrMob3SNhO
rL/ZOd51siZhwSMqIIph7GW1of3P9HIV/iEJZ3Gg5S22i9c6xyTM38/gDs/g1j5o1CBDgdu0tZLv
wmrD87Iu4wPGH3R8beAcsJfKveNVNk45hv4NpmJGN018wDTcYGrVq6g/l4BP1aPHnGegxSkJsqlP
CyhvHK+L6gjrfVLxVIWmkxoAa9103H2VvIn9PppboxcrzEPW5JU/iFPnNhkDwbAF8vUoRoQ19E3J
SyM3Y+8PDas3WTc0y+E4127s3+E7DIP+YzMtNZG7vZgGPFQQMmB5buq8zCyiI9CWrX3/HxUCIJVM
6X8osQF3IsX++wqbRutQvOqzmv/iTwmCG/0RhTBDMNoLU0RTIL/0WYm0woGH+CBC1Y0VwBj6frZZ
Q+cPEin4cbTmpHU7PgX3zzarz1/5hHhLpHMYHlzxr2iLrwQI5nSQZPtgXRxsI3SITNPy16ZkOOkK
8K/3LYWInX+nXRMLewdpEbv+Tqnc1U85NHV1GLQoK8KYtO9/IT25rS+dhuLSPbSWIRYXIPxoR9VR
DIeYpxHC0mNvo2ag58GTtQJOiJcEV/Mk0AJD1CgZDaJdzEcUd0j82xCzPUy1+TFVJBbsS/pfoIw8
HWWuSfyAtHQEwph1NKDoVkX9tpwXYISHesqHNtvqgSXVepkt/L215HfNvce2JhLG6ML/wWlFSPL7
1aHuQnM8rP63dpinCOYSSxo0d9pEdB/JPog45OJkdfW9g62sH0jVjDg1l2YEn6dGXbk8/nJv/S8N
a/cvpxRiTmN/hiuIwSvoj99PKczdBYNan3x1SttHhOFlSXFOtYUmC0VEkFE4VyGKS1J+GFQyp86X
FrJebrdN8dxg5CbqJByBzp/TLxvg00PiWUf2AwtfxV6pNaXp2gexteyDteiC63UtHH6M/A+ayRs7
GUZyst7+UEbl8svOjiG1uQdBfbL5jIK/pFOjI0BlirHwm032YHDv15nV3FVl3Ky3bx/o1RaSAyG0
MZnbPuJAxh/m4v5yt2vaGOQMLPFXpMwIHfdtGReUZq7NE47SL/du5qHB1L/B+1Naags5PJzuaGbV
/xSN+fvgwTNnguJHAFOSbGpRGv9+JpjdNersPPg6DbIPrv1WwwnAn2SJUJzT8lzZNrz92f9ykXFt
GOQTYx075Cq8+uyWk1hhU4biSzl2faPR5+D7KNgrr7Ge/+FY5ib8/Qtl4fLwCJsYWaYd7u+fzgVl
V7SZ736lwB4y7xvSa6KCzihyue+SBrgCkD4dGHTzv/2Q3EP0MGhGSFzNr8MeRV8OPamjw5fFJjKF
4LXQqP9i18q4um8f6tVwxXyFEU0IpiN4cli87VcXNG8ap5iRD38FmOID18TpUD+WrmKNwuqfxEl7
s0RrbGO0zcC72XtmrMX6lA9hyx6/KlkQYwrnuIreQbshMnqbTgZsWJCnJPWJbGiv6k9vn/Rfvhhf
On6ED5BvBwrX6wXNiVBwL65df6k1+T9i0wMPyb9PuNz8D01TBY3YxfAM1D+Fd7+CfnGxfOMPZxwD
EZXe0utlK7YI+mnZnH/GT+C4aJdDn0TcbYhSCl+SI0qcGScekyJ81uQwLgxp+h5bx7ay0D49kOYy
o2NO2QWrz0lNPhRyjsBlok1gMJqRf7hK8vXjyQmGNLN4TCKDQX793frJ3PbV2DefU5m5PIq51Gq9
pf0EuWwDWCHR0zEa6EddWyLOeJqG2vN4GdRsdFgso8JL9BduwCr/Hgw2V4bXn1eAiZgcHEzfXxZg
L25ZXfxlTIIPQxKR68EeJiy4U6dSmT5Q3UOdVIQzwO9B9A3SmyXaGtKUA7q4NeQ77DBq+UicHyXE
hoQIo59xc6i/HTq2LOhyuhWdz/PdpXNmpoxeTiDlDL8cuRv163rL4x/5H2rgOetTv1KYzxunzSMw
qw7kzA8FfY+83qOVKdenVYlwepj6Lpjuhpx/M2+gKbKCYIUKGr4zN11mDl0JrFwaG1xr8aAz8mn4
MI2d52ly0OBBa38zzDl9sg0AELZBUI/CoSLPhOhe9U7NYcXLTHf4zdV26Enk1vs8iTi0lc1AZOAE
zOZogMnb4FpEwIw/djLzJ1ziU4eI0KulPhpJRn2RkgQ/no/LuHAvLZJgEm3yDB19IacBUdfGjpV5
Z3Yyhpl7IopJDe628eq2KE4/PwA+6pSPWoc2iKadbccE5G58u+b2G5bELGJlFdpWtWeLE/CPLGzx
7cCZKcgL//k7aOdY/V5kpJ0h1XbZJCwbka4+12AUmebQSwva81yLhs+UvFxVAL0zV85HX8MPzDM0
sfO67Efy7Zw0MkcUllH46TYGqreBOdfx8Vjoze3S0KTMvwtMWdw0sI3z6q5W7G/CQy6YJAebFvQc
z9RURxF3TeIi7qNHBo+M/wpUZhweMGgUUpxbGPEgmiJH5xo2y5RzfPonpALdyxK8RL6DKS3LGXFT
PRUZoBiSpuQuR+HN3+mAapEPARcmWK46gQMo2QNPMN976E6sAntATIzbAdfF5v7tRefxJwY9nZjO
o2Hy+C2kWmGjov0pJH8i+YoWAVSzRnFKmk/Pv5zH3JyLF6VIF7YB8XX6i5bQ6JudWIOAwSIiAE4P
SaA0dRuRg0V2PdB49j9AIeYP20jokNPKvchc426quIIAknFabVYZmnuupAT0TrlaPK5PYgfmFjWl
9fTQypr/7Whp8QCHuWJtoHRcqTJw7/OcYwtYzeJhvBvPeSd680h7zNNJo8fRzTfhD9SN9Ua1jpge
QoZ4XIW0CVvCRFDPDnl1RRiVwy/s+gG71JbRLTvmLRJd3JQ7TNCr458WWfro6nP7gaTeLJp2IDtC
szKlJSjPQ2AzkyyipMVrDO3Bs3fc29gpkonwwFtf64XbXw4IQ2hUVkwGawqFuYHx5cMa6IEyqBJm
L90hkd00DgyGYUOtbr7hGj6gTfubZ5n0gGywyRbCImKwX9ulJAJovigYHnGOsUXr/ktH0Hnjgzxy
yG9CNJATEnkfMeny6utmaCLY2QFep7ncsxCz3OwVJB7dbZN2bKJoM1K3L9MmdgOVnugcjlipgRay
zCJ/xtIIB5jFVvOZYZEXKyOqPl3SNLlEiIqcktgEpAvcPFlulpRQzbprDwVdBv5kE1rOPUSCaFck
F83arPxd50Jixk3kC5bKoSPpFJwHyURwiBbbcsbuGrog4jBQ2t3It1TjcuRdAGVj5ndF6Le4SHQW
I+5cUnhiNR1s1c78JFuYjr9TfWzWpcIGEPEuAoHHjZR6Y8Ly1HoL4XcXKrVYHSauIs8CDp+BG2rq
eqGbM779TvsXqCS502U5rJx4ulhIS7eeUy6cP8slr6NJtyFv+Sr2SczbS680L1mlxo7bcQn8rMHc
iDeU9UHL1PJukG33LSFluvK9U4sliI8km74BwFW5psSymQXqL5UkAfPq5z6EVd9cnBkiSRMdCwQV
RHsjYSfh8mzMyY6lYydFsiMUs473nj3G3X3cLXz4rOHlr/dkmYWccZjPxMaihU1DHuycBApuHpkR
pAG++eW2rjKCiFhkvEZw467ZYgrnoLHMcj9YwLSeHEDKXGMR9hENdirRxOb5tJhFqK0nY0ynCO6R
115DSKrz3RAVvUKEuDo6+GTVc9nf29VSPkSuSzTnpu+7jBTNup0KHMrT2H4hh6OzLvqksrwreC7w
wPD2Zd0nlA3BSqZQ3ZRfvbxce6jnQdU/zzjh5hv4jzTZZyTszF2xi7eki5ES7ENB8YQ3AP6YfTld
9x0pJQ0UGgTDl6LktbqPpaJf1PEdgSBtFpwzxD/VU4/fBhn6ZEr6tZ91CQBY05TftL2l1Ud4EaN3
H5RKewl9KY/UU8MA1YQrtohbHaJrdZyoM5XyJiu34VrO60puYrkivY4B9jQXDLXjcROo4mrGa9Ee
iKZKUAxRoK0PSc6cmxdfoMLzgQk3oxJPuc5WY7JuyBFLFOMYXJNhjssrdPtt4pfJKUSJuiNrc14v
YNXY9tGZoeEc4nZx6Clj712zbRoL37ptkWZ5j+MAkqc52m2o2w7Wlr0sD8aara4YLtTWHWDWYX1i
VEXKJ/rDoAdfPSU1IcwqwONzlAhq12VjT3Tb4IitpVE9K6TBqMJlBQ2saISbbsN+HTr52alyWX9N
SZkxSt1A6Q5Jki/wgMPPasKNKwZfkYIX150PdLmw/TI4xpVFMx4yuVUUxyloKWvTbylMfkXXtZEF
DOud4yu9EvMssF0l173Lh8lvf1bfCFfjwLmD8468FtIinsts21YQHf3HWftA8HZtPPcxYY82hKDi
pKfQpxqL4V23hx4EDPd/bfVIKo69WCbzWolYSHi4O2nKx54XOI9D6gVmhat821SYmQVfPAYdiGcd
5LvA9CAv1i6xKEmJtJh49SDryXnLqNongPaoQ0wi8WH0G1P9YWs3O4cQ/hNnq4nPQfY1dlUWfPDr
oeZUnNYKQYqDtKHX0GJiZJn0h4HKHhYrV+nouT5V8GxTu2HMxdDGWpZLYBWzER7HM+9w2vv2fnLI
jhWnyHNLSqIa6SBrSjWCIaw31CV4bLe+X/VmQaxKl3c0tD6P0oQ8BsUFauvQvDmZ9C6caY9hmGOP
sIma9X7y/I6/a2I4oTUbsybmWRr8BrzTEdOHWScLLyz5EcZiEWdUY1Jz+ueoj0y9GsUTq42rxj74
PM9dTcYXqLj6EhzHxGtRta2ppeo2NCVLGilzjVRTB8r5PlqDZsg7l85k9LROTd8ARVKMCnsT2b3P
5WcN16ZE+tHuCUj34S318w3mOQ3XsWhs07EIIkAbNRPV2OJCtowvoobBTMWmoxwtLizLTG7OYBys
lNvnzytBcC6JY2MrVipSUv34jQ16nIoAT6fWuCsoiMytmGGLYs9SwR78UPYOvaeXr5EXpuM8sf0b
1YPsYmIFDtAFSfw8jQNSFeRZZArN6e0653YcfZzIWsuLU9oGSTWfeZSj08MauqaKddbWNJ8YikxZ
etbatSkqbIUY0DgttNnIywBULhGIGKuWbTbbfah2oEaoUoAqmmp+aloM9Ce7TYZJ3q4qpckO+gkC
aH/SK5hMBGbwMPioEw7qibGoZx6RrupMw4spJj8QT54p1JySrXHWoYTDRhuPGcrBzg1L6uzk5e2a
ThP0YdSFKLACY0GgCsSObupNhf9Db+MyJxJ5a3MF8u/xGtb8gX9vfpqqpF9v5xK7J0NLFPO8w4BK
mNIQnUxiinnRmrN9eTwK5iecLKlxfKn9wMJXXYpFTMmnSc4J6kycXAU5e1XHvUAGtqYmyA9e75l7
t6zdqL6qIG1DeE/KQeI95xdUgqKWIT7f7chQm2PVa89HsNsJ+WUOlpHXazQ1bPmSMMr656kfM3jT
QzG2qCDYW3ri0psdYsPJ3XG5zyqcRlzZvPXZsdnOYr6QwYsoL9l48j0r7a/6Qswu+ycUxnqZjouL
x/t5Sp2Fi0K8pal8hsSeqDWGRvZ82mzBc6n3P3fEciXZdTosuIvYfdVJJ/hTwp6FMZFlWcsXAXxs
vbUt4nm2IiWYVO4AgiUD+Row6caHYC3FaG2tGT/DrZVGZtMNsMdUYf3imE1+GEFIUOBiG+6PeIjN
mFxVNHThekoLO3/WTz7yrTDyG6RyFCGsAavTsec960LSlAezf+B2CuCU8Iv6eDVLZcuaHJza0F/Q
zNXhwq1/cqSDbE8Xkjrq5dGrp9KUVtgBI5ixKFXKoWOIPw3mxqhRW4gNhuUfzm74QnN9Y3sLyWZc
kNXsuP0IMQyphg6RhcWJ3TLJAQGKSIpXPefJMU7rZXyHlmYdzuS4OOVJoleFmjOGlkd9IBY1sXQG
2I35NRFzTNaqvKtNJepim2OdmV92jUuB+Tw96/IJp74JEx2D7UDnyi33UTKZXeDLxqKMV3PSzbrM
GoREB9SIUGDJdOvcm6AB6x2bJESz2zmta77SzBnNqQMD4E2I4ACXodrjXvEKDBc0R/jBVXNH4bAx
C5bia7TgPRUDKDqSO7JhZTIAjLt4Fs1iduj6ZeWI8LhzDSunMHfl212j/6VnhCo+An2C29QHxPh7
05M4HxgFUTl/XmJl9pkTBsXU31lQ68poM5BDwVf69iFf93RpU0m2p55p57mSwun3Q+q2rqWt0Mf6
wWymNy+3RgkekVfXvz2UsQO4kTADI0ZTjLF+bZ0zVm/Xie7E58yLzfrUBJ6YKApZrFm73j7Wj27g
r/1jh9Zx6AhS5ECK/HUqNdgOI1MU2J8XUWF+vRhTk3e79Ql34THED06a0X4NcLU+j7Xno67G9NXJ
ctsql303XQgz2YjY8pq152Vl/jn7qPvEbBGw0Q28E5Dzzvzp7dP/y7ciaAtT2KJ9Yzvu2ubvf5ky
LD1AxWQO/WeVOQvnwQvKbAt5ubKFevtQf7nnBI1hYtfQ5tFXla/73ZRRJJ5SQD1DHBejPsVa5vOT
s4bmEQniBFPRP3y41yMUbARO+ANLxzTB/Ytjou8GIRP698/EHJo1Si08bLdjxsp+l7jEzupdHFHv
U0xo/vytxJnd37DaEU3+9md/fZmZmvq+mWUwJvUdNCC/X+a5VstEvrX4RE+CraNOU7pUEkk9K+Db
R3p9ldFf2Xxa6GYcjebYq5lbQWEI3RUt1EjAY3Gl2tK8oLKcndoJlISpGt8+4O8sNYYmMO1oOzPk
9Znw0T76/aOpHGu3nDFQk/1s+sk90VcscyyKmu817rtyQc6cJTqNtmHhp7wZ3z4Bkwv62wSHUovo
MxslKGRZPrr7+xmwS0xLpw3rT11q66TeM8taiz1djzTKjy9ly9SnpjQOPM+s3z+b4hYBPWwvqkAh
pD7DyW4uToXPg3/Q+tc8xQ3RoOwW1lLWvBKGYm7ksJOC6It5Q8KwYrUOZ9+8LCc9gppHLmzz4G8E
qxO1iApHmkcOIu+ZiKCCFt1eUsy76ixjtAzPqiksU1sNKNVZLKzeDdnFGGgI3xlSZWqbELAUv75t
+5bTCl8a9AOlPatmUbimaMql+lHxuY4plgHFQhHf2MQicP1lkqO7OHenBZnSRVoXtGXfvvx/ueFC
qIp2QM4qRLu/3tojO4vUslf9EcAogtFT0iqzBSK53FQAP1vWbx/SPC2/LrlmqY1+zGig2yEWeXWP
MyjDbDjI+WOU4BgT+zGLAoINJIhv69oebM5ggzZ2ZBO1OLEpCq2yMmfz9mm8/uSAljxkWbaxSvHM
/Rh//7J21kFXz3yX6ceCeIDqnGBkVT26xez2l+6grt8+2OubHGkyhDc6RQFsTHCbr27ygNDSLG2H
4dPUgT96IsnJ3BZ53prK6u1Dua8eaX47+DtP2kHI5E0I+1V1kAAKKct6ch9Jq7aBwNG+VMkhoY3K
TjeDDMSzwMC74h8hDRvuy8UX0ROlsI/0q6WtSwuGLY+Z37czcXr0EVbPFOpZwg6FFEWeihT+n2lr
LZZpA0gVkLJ7NsnAtIkxPPDTk+WAqSUtxuddBGLWTIqcqTLrNRsCHNNnlsU6Wh7qxk68FwnR3+op
Xl1vrgE5WMLmOfVCMICvr4EPkCWqgnF5HCsC2VH4NowqsDXMDTvnt6+3eHU/m++UxStAcAGnlHX0
1f08Ny09VceLH6TX/DjWiIT02qTTmlcTSz1L0MvsvUSkw1WokbBxc//8Uz+NpkNgzTYX1/dC089k
L9iy0rkAYegoWAUG5/Vy4FENmGC1GGwBUI9smPYFuDU2jSuL2nT4OfhjWmSGSFaZuzw7q7RX/g6+
hfnC0e9yFOvHdDx8aU1MDh1QtbP+h70z263c2LLtrxTuO41gTwJ17wM3d99IW73yhVCmMtn3DHZf
fwdlZ5UzXZU+593AgQEfq9liExFrrTnHNBFOM35UObWgYOxZ+Eu/a+KlsfzHCI03kmc3YebBvheQ
+MIPnNR8oAXy60vq/Hj7Fr4qk3yxREOZ7IXmz7ev5i/AaFYFX7Jet1+SpjC1jcZ4dGeBgjbo8Ufd
JjRG9zg5cRb4lUGyaK6l2VMfxnizlmRxhqYhwlVcP6RaRl39GFC/trfZSNbKKnJ6rExucs0ZtX3p
K6OtPIt4iWnFLMe66c2gPEYibs/sSNFMtR71qa+0if6M1LfqD0gxE9OrcDIZiCvN9EmZFQzUHdGT
wwr+z63BrpRujEzRzzYGa7+rpnrNTDx7ipjhH7JMY0qQVB3tvDIdGOF1avYJ1YR5nMYQ26OcawEr
rmrsB439+a2KStX0gsaKaGGEbQugpCgeBluXTzHgZ3RQQoEnodC3ewXI2r5nBFfcWwbhvfSm5C4Z
ZbJhTDBV+L8YLsNcc2PFk0beI0ws193g9jRsoiR5lqRu0DXHDOB3Q1M+zAnuLo6fhDkUOGRX8Niv
RjeJzxoax0/k5ZFvLU25ikYrP6Y2wCYjnuLjr5+IHxdrHgjGyixmoIWZ6XNQ+GlNK2n/2LhEi3fu
13jragEaZSsrO7DpjbAef/3Lfnyhf/9lNkK5ZZvnDPfziSSYDY52jVu8W8LO0QiN4gH7lAZeK0/P
vaFL6r+wzK+MCLEm/fp3/+XJ//gz0eowsmER/1k2Ic3WLTGi5u91sZC1dEwH4ybXVYRvv/5FHz/p
v7fhj78SFBHCg4U/ivD9p0s6anmq9Whl3tWh5J3RAbZ0Hvphoh7HKLPvCg35LKQOBa9oZrqVr/cE
V2wRuFr+CNKRdMu4s24aEAuHQqntR/bblnOSzLqnPOfwAhYurzytU42r6JPiWy5151TQnr0iH9ae
3YQ61VNLVVSrMA1v9BwsMmT83KJ7kzKLUweXxlrjTu9JiWEgqWWzIS5GvImx04FquvrfnIXU5U/+
4ZIsxwCOQVwXQgz+khenKnY7Qv+Y34EHcPGjWI+2hJVlu3Ee3wrVzV6hl42+1EKGHnWjWOBeJozF
v74z5l8+hr2INRc9iIpwDHzzjydiNQ0gxNAwfg8lgwPaaU3qjQ5WeZ80xrnze3htOzvvICoBZs6Z
9pT5rqRvde4rq+88vMPKzayGxk6fJxpnDQ69PKafvmpS5RxPhX2a9GkLWE9/oAea3ZQKN82zGIyR
o9WNjF0SgJoohV37jmNjX24IQfk2WUl80W1SW1M6xbs4LKub3CRShhTHVn6eskg+ClNLr0qBP9iz
RnXY6Ci2JVEGcfgwkCydrKJa8AdEowotuwsZAdhJTT6XzZ54b5iKc4qjyXhW6WoHHkMHc/ybx365
dj/cYq4t6G7OoBbVrP0BzP7TqU/SEua+28F7HRvmRan15AlK24QZsi7ERR0WU+avb6f6I3mLF82m
zEJ1ix5JR4Jn/FQ9Ev5HThlb51fgH8aBthl+/wDTwJFGZbJhENGx0pth817pInuKw7E7xUDwrkpP
vs+vP8tHNMaPfz5HTZZPjchNlLg/iwGbASW4E5LqHo4MGKjby+BT2cwwTmpAw14ttJQOR14SwgnE
Mpr8JLLMXYQc1qdP4rorBp4o+JsSk22M9H5p/dJCL5Q2OqdW3O5qXR8vlozCfWjaBCaVYLwHr51I
1aXDKXJJji7cauycZrVVuCybJO2UM2gB8o5oZShQYaPpdhoHtrPEJG8jHNi9V6WKSztnzMuJUs/x
Cmd1ViApGRJmuAw9n2CyTGvOIu19p43FPsozaLYNocmCJ5Fx0YpU9vZWd+OCkSuKupGJJnOlzsoI
JWjRPpyHCsaPV8bwiAhX00p1jzgFR4SwQu25a8r4BVt7982A2EWrp0+wyf767vx1/eFJcRHNIV2z
uD8/L8m6xiQUrFH6FR6+wJkFf+szKo+JqSG3jJrKfp9bSWhGoXzGXzdgWrN6iD5/8zH+hweWlBaO
zYD8XbgdPz2wKKVakoXt7GsAZEH6HzcETHeUneLM6jZi7t0HkirkZrIAzFZgl18jB+YMz8msPvzN
h/kfXljsk/SWWTrQWrraj4vhTIB1Txx88jW0SaKqLbW9A0yH24jG7pF9UV4kVK9DZRT5Pht19dwV
NhsZ5szxdqHfI0guhv4UK1L/hnK+Nj2njtP7v/mUfzkyABxHPs8rjmaaovKnS9bnwZS7tSG/0vWu
w0dOFibmSc2YPNkK8gKsPmWm1M6W4zuNWX6LZmGn3hxo1bDVYaM9mW4WQuYig06Drc2EhF1g0yTY
ycQcYvYyasa9v9/of6zMD1P19f/+n7f3PC5AX1OkfOn+7EaGFsj58hc+CxJEyx9hj79/y3ejhQDb
SDSGTpXCYeGDr/IH0EYlT4OjG7pggDKLfZnH9TvQxgZow3ehN/kwNmt8hj+cFjpOC81xBD9uEc2q
zr/Ds+GQ+sMeZwq6tHwu1+Eww+ehr/3jK5PXdtuOqTWcgOChx6E8H5gBI/swrVJAzu0djSzG2mZC
vk21PMvFc8dJVKWarPL2QcuNbiashda8ts54BqshgQJQ1JVzH6NHgZKxkknB4GRVDaNRbEDpAZCH
GDHtyNIdGI9Qr2l5vyc4Kac55s0dzr3qXGRTQkB8H1OSYVUuTmaQjAc2lF7sAQ1O58kIggckpRUH
SgsbZ9lvh7K3w5UYXZ/kbwL8lvl3TjVDkiHOyYfIiuECxBEEBhjQCzCZhchdDzQbBngFM/wZK7PG
uzntzTdRaazZ1D/9ORYREzwtWk4nFODwZV2cv9m2GPtsi5Yhc3wCCuK9lYe1fXEZAaKynARsD0Uh
/sCqpm7bkaQmKbNpoES5ke4qqsJNMpOPR1+l4AcXRhKMGDGD/kYzg+IV4Rd6CwsJzZbKpfOjtmUj
C6tJAxISTjMdyhw9nVn3Lx14rqdgLhmxEr5NriIjn5E2RmPyhxrQ9rUXhr31aTDVbNtqJP0aatqv
rbCqVcb6zWlAM1757DfDGmQ50RhxOph7Cz3Xk5vArORcBiWexjLE+Khd6PE9j7qv0NoXV4Cga+2D
M68vyHkCPEdapElne/EHk9784NM71sKqB/xPJQyxflcvKHucN1DttQVwPyyo+zxcqPeT1kHAb8IK
Gv4ycPlmB7HATExCbmryNm4WTsxakHvxli+JM0DVcxD75VjdqyQdHdHEZC/IeomTFfQrVpjqul3W
gw32tca+yfMJfP8C8ic0AwsvTEz4/gyEYf1zxqw3xBmP8IYb92Y0CQWol3gAuQQFRGxetlcu8QGE
p5qVZ0YSrgvY9f3CVtx3S+QA3dPgE28DOQQFeozP6NZJJ5ha4qW2YVdrD0EWy/3Q5DZuQEoqzy2C
9t4x+i9iCTzol+iDABUVRsklEIGzhp6vphCR6ypcIhNyi5ZAusQoLHykLWphyIEme6lK6hLo0BbU
h+635DCYiOguNR2dzwBJAx98+vREJlm+Cz4yHBQFMzaOQ6IdQBC0NxPA0kttJgmUoY8UCESwwYoo
00UCEJSPVlh3KMPcYl+4cfjcwdAZ6eUF2V1qEDGBsq/a9l2OeMThObQDAxKJkYorQh3iFZBDQY8s
DM53jomo51gR74fssKtumjxwN7ils6/wk6c96CaIclGdeP04uYSRdV8S9Ja+PuFkNQG37RISbmnX
a29MbZ/NrDFXRRpSarm9BhrUrzkfhxhrqzqqpHU7QIeGVu6lpiWn5p9d8V9zH7omB8Ff7YopCtm3
9seddPme75w39zdYY2CGXddgpvTB7vhjW3SN3yg2sJOTx/KRMkXb4/u2aP2G8os5NoRkqm7d/tO2
qBMzpZJJ5SzcNLazf2tfxPT0475Im5//0U60ySI0+aR8iD9PS5FTajzW0tibmePgvFdQPRZdv52D
aDwAKweBrpTIaMphmN7NsrVPZmosBANVHe7KUgoOc5XyRryEOKf4OdDvBPqDRbxKyI5gFX7YGvYl
yvr2biJm8AEZWbZNERftcyYdn8oqcHAb2skBzfO6m9r6M4OjZIe5sAG5nCCnYnZfzV9ElSqrOAgt
BnBjqt0z+0oPbpEVx8DWs63UWw/dRHEmqhQhOZxwX0ny6KD2LQD/OCcII1csIAFKaB/yWpIEGmTj
DVSJDK67456mNlxy9qxRuyIsci8IwMVZnWJxpi2g9Gia9HpDfZJt0XuFLypRDRfo7bfqaMlzoKkP
syCEQbXQaBa14eJ+pxP8jSJ6SXOZIJapuItWDQOVWxdZpqcmNqpYg3xsYldjuTUzUb0P7NEbvSFn
sY7JcShkmT7WRgK/f8yMZFvlY7Jz267zB2PIfWFPKj1STT6XThzcdDIarl0Zz1/QmU0vRSP1a5hi
ZdKnpLlYejJesQjFKwYE8aYOTHkUo0X+PFQNH1OAvan6rN/aKhRhNQQea6RFtuuLjzAjQ74rru7F
jYlHARaoVoRE01DkyhgdbUqKMWnWwTlPq5xsG3iwqZ36YV1CH8Ovsq3r3vwWugRstwmo187CQW4J
N9hreZTfMi+f2d2wWh8YsAbKWqe9eqwQjz+FU+y+2rWVY0K3qkNQWcN91Q/1gxsY8Xmm7XoeWoEO
HWRX/Bx0BswAKbJ7A7rwNqfn4XoDCtedOWbkcKdLpuJMrPA5DI15g4oSYj5MMvp6caWykWEf5+ys
9ycLOcyt2/Cs0GWzglUyG9kX3O/VJbCsbDeNUj9aDKK3eWXFr9Kx45e6ilRkdpV5zdE970boGxcU
UPpRG8xy18gyvOmMsn1IZt1djXmb7XNF7qsiGAL2RtMhP63SXgsG0uc6NED+M+7YJUlm5F6ethnd
psi8yarhqEWDweNYNztFdGu6Ct0bUgBApNOYqmutCuy3Wh++mvWY78Op6sHzMPwvEfZv6NM7/mQX
2pNupF+mQa+ARYeG9mo7xUPZ6wjr22razsCfr2VkWUjrCf85mAp6Dg6DjrhEPT1p6BhW/UZcQXJL
pHKN1lnX3S9x4ERbIBaFF85x9kiSU47dGNuNYEx8TEJu4qDrHB8lLAs0wvm9rbfdZ8rtvvG6VH1A
jrlnB7MO5JFvkdYg0LNskOpxlqRX5rTZnRlkO2sauoMVzMXeSPPSbyuZgtpwdXLu3Hhvk8+xmWKA
LhS8I7EBY3JXtRis5xHgkJ7SVpvJ9l3kcekLWuvx0ab7eq00MlK5oTRGmgj4CCV1das04wbuRn2s
G0RSK9fdmF2Sb4N2EGd0Qdm2zq59EPQvyjIdTi1dvSYi1HcFjpR2lQ3UuEC0my96N/FJ8HoMYrS3
pToQe5KpUuHwpTsvnY3zwavETHz7YE8lAsApvJnbMt2SPU7UyzSZ5Fz1o0WGDbM6qK7TWhYzbZm5
lNLx4WA8hpBhlnxROtIZZ2OWObqinls10LWrujrDuQFYoyoviZYyzwxDTkNx5oJKs7CTuPgjgd/H
z3DsxD5j3LzmXFl7GghxcAsR+vAycq9m7lj7FhxH7s2I0K7xkoxu24SPUv+8WYk9bgm+dG5Fa+WY
d3NdXHpn4fkE+Yys2cmsNXJH94nUZ3GZQbA/w2qMT6C2PzFat3bsiDOM+ra/tKEBXZo+1qlNrGLV
TYp7yqXR3HaElZ8TxNZPShBnF2qDak1QUrhR3TL0Z4Awa7Ot9WfGR9rOIilx3QROuYnGRPs626E8
DzTt3wy9XjYXORsvtMTiR6TyfebB7cPWmLjhljz2FEF+SDqIGkS3qkr/c6B+9kAcj/dCcumLyJz9
aeqqdTtqztGBBQoMOgOyjo954EHjQO4qKFe4sxLBdqjLbRGP3WIUqR4zGWxjfH6wT4L5NgV7vq56
LEBgUMScoAQllc0Mx80SBHtR+1A7uAx7Pg21lvoDLk+sNWy3Ma/4saVdskM7hk0Bsob7mlpW7OfF
IF5gowQ7ViaMv53mT5pl3s4yUb5U2EUPVecoG8xULVD4ItubhhJsYFW212wanEeES8FGFbW4j/pY
8OvsQFlNk2JtSFxvLs1Ufy7aefoiZsnyz8hixoY0GmCW9EH1Zzq+Hgymo1kIjdZ70cQgbFDoYlZY
bI0iZkWLxXWpHtj7kyR8kCYHES+RdTatCt3trnVYZ7sy4pX2xspOaQu1Da09Mhnrb25DcmufRQQc
wv0glzxfT06R3/aEW+06U76ajQkotGxrRoCgNz+nnfWK8e9NBPIbroZXpxzvCnWG0zcPzP70Ot83
hT2tMZc8aHVYHYi2sx/gRWtPKQ3FL2RAjc8oSF+dviC76M2Kse+mhwrxpZAH0Cp1322pqOvZOnPU
KkLLI4NKmOTjlJ2xXmQAp5GUaF8Oo3Ru666esJxawTcZT7pDzTZw4wAHariEwOGuglJs5cSpZ5tH
VXmOMS+WrxULKGevxVI2Bummxj5GoLhC8skyifY55KVHlYi6g2xi+9Uk6O0TLf0wuQ2YXB3tyFSb
BxnNUbDNZgJjClLlhxmTQ9iZybtDpKXyaKIcN+Gx9gG0cyVOS6S0se4Xipi2qICLTW+1z3AmB1S6
YeYLan+gl8bzqGjDzorBKk15Jy985bhxM5vjZBYd4sY4EcUMmVUohGumIbuMYsP85SzyWMwkNUT0
fQ/sIMp9pMThCYiousJkPF2oZetLw908zB3VWhQPb0bqTocG9BKaZkVu1WKEbCSX45Y+a9IjgqQ5
xvGePiGa4Mnvy6DDjoW5G0IGPgLIyfgVjWs+E82Z1Eq4nw1sNzIIgkOTa/GhE+HJUrNsRaBidYJw
2vlTaNefpG7hWyC9bBvXfbzBX+jCbRMU13EGSycw4PuUEQ69DlfCClOxs5O0Vph+a/nWFIH4Zkgs
dqsKY/4Y0+nR1XfLKSznuRWS5uwXaSzBko9BbSxzPeRScZ79U8T9S0Uc1EK6ff97EUfkYtm8vZd/
LuJ+/57/6m2S7WtwEOHxsVS6ktR333ubS9uTqgmkBU5V3mGa3H8UcYZKpaYxSiaulLGF9efepvUb
A2bNZWSBlgMihPvvNDc/RiD/PcAyBRJBxyYy00YGSIn182xCsErgiiZojjZFjTefbpEzyZemd42i
OSQCIkntpRSTUbLlWATq96S7GcC/EKyIaZMgU06kcRyIEXRS/VwoGoLMyVM6ekkEwDgwTtutTJNu
DLYpTu84PmHR71leZ/5flBQB+VGuwaCTo/lM904CGYxOCJvMaU6BiEESizi7rBQ8wEV+YB5Iylmq
D4tFFbRqL161okEmWFpgEab7hMR0dDyOwezrytIkI/cmjjuaZ1C6wMA4aNNWRN0x98ok0nPIjxPQ
W1xtJfGI/7w1/9JbA510mdj876/NU9yEMTna/3Hz5Uv8zs98y/78Bv3x/X+8Qrb9m61BpgdJqppL
S4Mf/ccr5Gi/WSbvAij8/3pPvr9C4jcEa8twFkQ81vJFYf99PGD/RjffAoePks34wDf9v//8QQrX
/vTvfwbRIyf+sQ+yqEo4JfG00whBAfuzyDiccDoXSRjt29yWx9IpTCzVWtUeiX00/MzARu2lUlfv
WlXxppwhvWAhJ2VEHXYp8ZmknATS3jSd29y7Dl/j6pn7FDtdto1cJfR0fLPlsaTVupEcj1PcEpG5
bzEkNRuZyGBe4ZkeIDY7ZmZSeyMo6d0p9U2K/h2126HAvdh7zRRCasqd8JEsF9idPUKGFbrcF3dA
eN7iXqQT3k6PyNuWnDvGpHGv4DLHdHUNh1I9UGRxmh2LdsF9Yipb0pfqO3Oq4xPfQnu8ETbRN6Vy
jYMqAfI9JsMOJkB5ngd0E2Ori2foZv0xIWz5IagmfQMtLbrV3JY2BR74xdhapO1ayzmIxmqSbVgE
iU+Jhim/DyMTPKc+Vquk5T/bolaPxOk8lilHgxBr7dkxJkjnWbdScGxjXymZBsCw6e7TKrFvSUXV
rwFB2Oy2VmOomxLLC8JYLEG+KwOX5L7eoAbuVc/C9+HzmVOfKpNoo9LNPY2wJi8Y9WdiIasdx/qT
bUzaFmH3DfBDjFnaJIzMt1GVrwyTMrsgP9Q4dUrTB16LWRDv29x5GAx2LgL4R6OdEnrL8ayulR5b
rUEAbO6RPGpyP0x5mh1t1yXiNU4005f8Les06J4CPHUHd2geJ+ivuC1F8Qnp3HRQo4p4I3zfvplO
61DtTD9LwvCuNVjp/B580NlJ8vpCkid8SxbwyCbfprRuQtlat6muBL4S2f0r537timspWWPqHE/T
XH3tNIhHXrH4XoM6DhcfYHsYQWo1iaWvGMCNp8xKAy+jgeXLQgmuqt69hG1JcdfZ6T6yCDA4Dh1Q
++uIy6B+g3zbfqIQk99i3EdXC4csNX6t36dAThBOFvKENbG2Vl2fc8mGKm/OUhOfGI7Ji1Jpylob
xFcG1J/sYQBRkJtFve8TuulZDAESYpHa+jhJ6f+HBAPNiiTYuw+ytVUHmVwxApf5ThjSTDaBVRYZ
iqBh+BSFc0lU8UT/f90qNbhVICCqN3OX12x0wEGAn4prXy4YfoJaTlXN/BGI2BRc+0q7ZXT0Orfu
q2iYzOA2WjeYFivIOHHlkusT1Q2TCJ4YEWrWsxk4D2FQfRWahE+OhLtaN8gYdmbW985NRCI1QDYH
4gUH3F3ImnPHTwg9uh7RpYX26OAW3eO1zhFYWEY0rmTYDtq5dds53DrB2IQr2VSvOXomedd0k81H
akm/lcFtjxWC9ISUyr7Xe7/trXEjhbudDD3ap2RD1Vdt1px8JwM1p28gp+SY6iJJCaCvigxiQmme
W4iWa1svI4QhgbquKw7Zlo2MQK04l6K3Q/zSzceCaGPowm3E3p+RYmFpMCyCiWA0MQ0b5nmxF45Z
+oJgGuh6Ug9HJ7Y3RtHlXhVMqiRv0kDY3yTmNSrzdF1Zae9ZA3B0p08NZq55fUhSHecAKcvbHr3c
qlfz8Dz05sAVAFjwUANb25ud05xH0SlPQ+gzkTpKkYZ+nrX0ctFdOesREcwmqY7WNL5owWj5eIe1
PVSeeW3yVcfMFOVZJc82ZmKj0FiuAegJ35Qc0fap1TusVE191d1Gf3BMOLRoPh2fwgn9Km63aRso
QQk6NkvT1zlxJeWnPRxNgkU8FohPGRFlXtTLaPSQpTUbwEUQ1+f+ks3h9I3SC2BnD/8FFjUGecJ6
5HYM2i9GYNW+ZWOC9CKrUBegttwH+YQVGpww6hL5iY3F2gAj7XfFXNMuBM22ZANXw4DZFBHbF61g
t1kz2GxPxjJl6kP1PsRQuUNWJY6xsKtVUzjJlmyl3IvmZtdWDoxhNlhMkOQigAABrtsUYi8mWyVZ
NY321gBr2EI2RaNzEB47NlEBUDlP0lbd41jY8XrUsjsoCwiE29DeLlIhh2lsvJS1svQmAMAEILP2
DrRXfJSlNUMvNUfiT9PQF6N+26jlSilHDdc4r+g5qsL4EgvII2lW0XCYcWXTzlcPeCOIsJb1cczz
GlDw2DKKaCAu5NWwTrKsOhEDQEaCNKJ9M7ufIYTT+zSbdxJw5Vqmw+c8h4gs1EldS8l2ozbR3mna
EMxXttA4nEuvBnddW+gXPddQBcjevKLvyzeN0l7CKbmTolWuQ5TckkHhHKiTNd7G7BLa+bwZrdRl
a4zRYXpW31rQrVsSueC8IDTsIeg2xjg9GikUXiy4g3FXyzi0DnPSTfI8tSIs1xo7Z+Np8QhOtxM6
CmvPwBYs1lbhzGIdBeji7vNYuMoLHpgRihKC4NmPTTSl9FcL5ut0fzN4znanqtOuMuN7024WrXsP
MoUpemZcekDQPFamSnuGtkvpCbXJv06lOgKiRV19o+H6iPwqaeZnvZLjcw7j4WB3iXqUddFu60kZ
PiBZo7VSp7Q/CMLMWfqzgmvQR91uysW8VhHV7xauwBt5kxA9SpkcenhwQIg0O79zSK49ANRofRwE
a3CLA5NwJ3wnBFnZtt1g3rZggzaDU+Nhbzp4uznBuTS3dC5QOqH8jUQYPhlTwCg/ybH2Eq+2CB1w
g8XNbPS+mE0Ju0GqA3BlfR6WqEH92FQyj9ad1lRA1bVJug7jpV7AQWBv84gFp8Xb2jL26I5EhwkM
AA1Fp+3lXkSTPGZRquyVurY4+CE1wI2EEuZGhXdO2dLNdczQHsxK6bhz40e6tIj6qMUrAOpI9cdE
JBQyTX2XuMmA0AOdFuo919y2YOg2DYLX3UwOTu/BSyLOGOiLveQ/Tt0zM2DXJz6XiXji5KaXcfNf
Zj2G2d2aW70LZA0rvZOT5xSDzvczzG4xTZNRrgy9hxc3XOujkl8MpKokbip2jSOMUeXeiA3xHATo
T9EgEjQZIkVON9VkFD2PSyewWHfdC4v3vNa5SMfSVT8bSytusk2Re9zRoKblLGhuuw207KGTyeQ1
0tRWXWfN1YpI0fymwNWkrqw0kuvOjM6VOVQbd8i70yBttBewzJeOn2NeW8haWNzMItsaBdoNIP36
wZH01vwMDcT7yHjhk8uZ+1GbLPsYGBFN6xj+xqkVHM38IFRD95yjUFppk/3S5Xr7PAWIX6zQNDaZ
QqCdNppi3xDq0qyYMVqvCywAa4IDbz/WbdYBgC1nEpimrxqz9FUHQ/+N9TQ+xIOikltgWC8AXtoJ
Hntuwy0mlMPx6dhqNNHgp09Fp99JtdTXpkWvspzsdJ0asbt1x1yuiS7pjwBRhgujxuGutWkWocIb
VwmaHUIVq+htwnxC170sSYsnOhtGmFo1a8BH5MeVdI107CVrYu6sjdYje8QLPp6qNp4vUGiq+wrD
ORIBGwZA2antA0iX7CVUSVEiFyZxDzS0g0PMnPaAiaTeYFysjwKSw1Wnu0bAUVXutVnwCzAKeqpt
VGtE0SpnfwIUTTOQq9KGgMbSnBebwarMbZIpxX4UnMUrfNcPZZPpG4WWbgdQ5SYOG8wcSd5fEozT
RxaJ3ucF5GWxe40DCyufnjYAZpS6Wqd5QpQgePlylfZT7ZV5y7veGMkRHXKwRoxVc4AipzJKLXMm
zTUa1nEtrW99Vw7vVg4Sf4XxZDz3mjbqm6Exyt9Fwv/IAv9GFsj6+8smADSl4uuXLoY5/+fi//dv
+177q78t4j6Yjuhnl+4ZVfwftb+t0xYwCYdG/meoFPnI9r7X/vTcsNZrKKa+Cx2+1/6G+A35gwW7
1TQ/JIX/XrTJT25bfgm2YheTAyltLF3iZ9ejyYLi0qTvd8SNqFAUY3rSIC4ofboXopY/O1g1vKqc
u3UhR3dFtk7rjeOUHhw1rVaicx6c3kkP0KTS8yizU+8YrN6KxUi30b1MKAwuEoRNkzSQEjG7Qx2Y
C59Jg05frHY3lasgWrAkdmJXu1Y0xHy0eCB1DCddq7U9eqHK76Th3K8SbDcrwWzGB7T60mcuwxNS
MuqqxHJuJp8tpRJ+lvPlqcosAalgs6/65kV1ogoPcK97CS/4Og/sJ+x1d4mufu5JUuV7q5esjL/R
fiaFq7TjFT70qxqhS9QK/h6rGru1aOoXS01cYGl2gUqKP68IOYKMeSH8XrH3DdmqYQEtAjh7terd
YM3SiMUuSb/hZCX9wuJSwhRpfVHzQ7OeS2CQEcafwGUQzj6P29YPGr6KJY5KoDKYkwb4jCQUmV1i
EGFHBmvmW7XFf02N6xJRsF6+MzHIdIpdSdKWtgyhJy5Blend2uzU+RqW2dUlLHlNJcA9gULAyb3m
4w+6tpY1H0inMOHsED6SMc28FqaizyTj21TUJQr+RltR9DB+SyfUZwiTvwSZonId3Aeclt1aLzKQ
Z0A20T0CvTM6x4ER1SP5SNz2IXCClLA+lARYnudNNYt5NzhcPb3llw6mvadl9PDxkMT1xIzeqFu/
snkO1Em/5j1VZCPchwEVyUpL+Qf73LWP+VBhkhp7pux0fSHV+GWYc2JzOw2x2/IUdXytcO1L3Koo
xspWW9PcSPA4WCOXiQcLNSqUV9O88Dx/g/LC0RBVrpcN8Wfwwtz7mX9LAjwnvaoU/tA5YGMB/FB4
cJValQpJs6v5LOrWXQExefm43zkZq2BUeay6gb8X+Jy7IF249TVdY2k52UGo4Tdecp5qesK47Hg6
HZtHpVzeBTR402MW8a8wfD7rKh+EN49BJOE5F8nlotZ5mGbu/FDznhD9EhwG/BPniHE+dNv2xYa/
DYWSO8xZPvEc3saPi1FUvBSDwpcSu/A5J2pxHQi7PkDANddGwEObpW1wmBBi3OVtUq1Qo5MJT07l
SgcitQG7p62blC5D3hhcUkFK9hBG7dFplXGLPAlQXB3EBH/N2jq1eSmRWRDFwTkWOQ9PGYFfGA2L
9OxovKi6YCFweqZgzPOyNRX6N3os8bWPzMvH66VT/+6EKrX1SJuLDHUyxjhRc3YHFuQblI2HMBLF
dmT+t+C5eA1TvCQf9xYryUKqKU5WT/JEqPIIFDQ8VvrAtfl4ymc7nTfQmtwtI/d0PUHF2qCMzXzQ
eIS5Lw/A8oTzil9jYy62+sQy5va838bszruP29xJzp1dw2OELqtb94kavEGfVnZmxJ8KGIYRq1SV
XeDqrF5m/JmhJ7dATUlB5vO5BJatBej0Va537kor1OBA+6UgzlaMF3M0t86QfAYYyEDCHopTkGrp
muEidoBZ0JgweU9LVLOniRp6Y1s8ZEWuFyelJYqZbBxW4iRHxMfioM6ISUZjC5mkZRo58sPUoV8Z
rW6tbKouH2pV69Va2+wHC8exTU61P8a5ILfS1NcKJP6VTV9uHQzcug+kWiC1a4SpCvZQQQROx2LC
obJfkXsJt6DnI0D75S0CWbdjbsE/7P/P3pktt5Fc3fpV/ALVUUPWdIsZIDgAoiiRNxUUKdY8T1n1
9OdLSP03Rbdb4XPtcIStVpsEasjMvddeQ2b92JtMX5rry6IdYmeAh6Pd87ujO7vhlWhscTInFQYa
aCR4wG3h2Bl5mWpZQSKNeX5lRjBIrRdH6Qh507vpG8Mcbs3ECrjca8e301Wa8yt7g+dKVZ2uiZBp
V5pnswUqcgKmC8GdySh8hZtLBuhUv9Uuf533Caa1UH/DmP1EaFm8MZrmBUGtvS7wMl+WtfuQl8Qd
p1p0p439jat0pxYBnIcplkTuaVmbGQQg0sLiH0BoHwklZM/N2fyU2lkOAkRF4KyBymne8KRMvplJ
KYGeEp8ATd28t8M0W+GIUCXXU9j21OA6j9DSg5Cc9NCgnU90yLNRGXd3UShwW8HOOIPGhjMXxPSJ
DmYNsbZp11BNKlqQutYOVdA/a11ZvhIF+yJivewXoSXTN6+2tBlNgDbP7ZLtf9x1RVNu/DzFyRKb
7tpa0hWz5hNBqE/IUbQyDS+4xodu1jaZhd/UTWpGngtpWLT5DofBTvuKweuwjEh2zY5B5Fu0qg0A
67KeUjLF7QED7XVIAKB2LnrKB1w279/NY+5+TADfTzWo1N7p+i51DYo+JhsooxwoUNRd77mdma+Z
sygbEmPiiQn+HL3FKYeLVXj3eLrSjzMKXIr4twZCv8qTfn6ugOVkYp7i/pvZgj8JE7+/qt8Z42Wz
Yw1acfpKEjaazSp9++er/LfJjYu4HqkRPFrDR+fxQbM7j6EmEDz0u2ziBVGVgJ9CIgwhra0un/S/
JuA3TQAeSh6GGv95FHj93EzZc/H6vgX4+UN/9gAkVwuX19BB7gNw/i7v2vX/gOaMm4at8gsNNSb/
2QJYPt0B1QaCO0ep3FXk9l/jP2beHPzoDOArkQbw30zQP76wVGi8qcjpeH/wyLg0CO8EsOSoJ01O
OsCO3d2eCW8VGEfKcPqcG3JYhqFt/1eKdmb0zC1peZDv8c3Z59TKffeBHbLfjg1n2kmZNCdoogNg
8xhv3z2Ev1n/HzRP6lOIbWTaqnjdxr9JtzsbmV1tR3IHfhpvR1PWp7RshmWsmnuMg7MFAdzjStSJ
dm5H93dhKYi0PmxAqulDnojHp0dIA8Zsv15m32NFMUxuR0qWk8mNHKOZjMNI32H26UGJipqDTGTT
bqfAzcl4DKwAOnQVUwG2GB98Kj3UMIsy8KbrdlQxpuz72cKbxxTMEDfrBUaQMLst0B3Chyu4ggub
6ScBEN40vVFDpmcr8dLVjJXnLhI21Cosxw65Y9dfAwrtLUFRGEtUoYEOBR0tPiRwkai3amnc08pW
N80IMdWUg7zrrJ4a02mrZ2KnYx2QbZjeopYrGopseCCHbdq2yaWmQPzUBDGw11iaBSQivXzC1KV6
NEKdHxxl7B/bWh3+jhOc/QHV+moAWi/33CpEY2A2/GzgoWLbmiF20wvdVYX7HJv3U8kG7kp4hnY9
F0fMnJqMbsbMFpUbN6cSb5AQuh4wLcokb9FC3ryeLRnvCMIYV4QlNAdMcOtTm3fBYe6hbDq1ke0v
1Sojv+EBtsjwUCez84mnY67nFr1bYdrZsoff9jJh5rYMXZqKeCwmwoKC8rEn6qCi/yz0nTNSFCIP
DrC2LHyIVFq8o+Cf3vDXmT7j6DR9nvSm/eIQmHUkkEjs67Az7vtsbr8kHcWdLEuYnrnHHfETmO+k
clKrLxxKPdjbDNjaiqjEESOfNbOb9Fw5kbIiD51lYpYNsxT+MVSm4PRF5hzuNMnZU4i+fpGIyT57
WkdFFffZvqT6vpnciny/PsGAvbWKhthGB1p21dLxdDO1k8uUaAsFND2HlKsbx4vqG6EDsmW4K34H
+aSq6bp0k2c6oc2DUT5BdBweAuLIr/164FdZKheR8cLCkFyxP2oQyFO12LXavr208wI1z5qRKS21
z0hsSFNexQE53HdMEie8Y01xGwqeBMWktyAYgRmbRgrZKqt67msaVs9uRskkR1JHVx3x8MWqjILg
7OhB/UIsyHxdjNH02RzJVy6wQIYgXKcbLS06JF2OcR+LeCTglC7N0Li3bchzVI7y68srmiH++z41
XP18aXzrmSchnHLaCoP3H7Vf9UjRFRwygpxHjTotipucafob1qD6gBdDjj1PG+TmPmrtJ52MPGZz
Qf8Q4hQYAUen8dbUS6KmRPaEqf/wvRNudVMlNi+lNAcUUjwoppLdBmpcdQurWNz6TAluezyT7wvG
mY89Es4nLDd5W1U705hB+WRBPYKioNmfpDfBCdJIjV2CkJfPoee2qCMRdQBb++nqcnFexCJoy1Y7
S1wdO4r+ZL4mb679UrVaep4AVGk+VUyn0dGfyCzJl86ox7sOU22DMAMZb20ZNy9VhqEib23aQ4YE
2/mKRN8/JozVrLVjWvVN55ihZ37xUt9IncehRD3/Eje9eIwZBKfhDhJ+wSCjm7ViTWU1MiBi5Gcf
RhjE4mypGVKtpkkGkSjwpfoIt2GVOFBDPt3wHjKC6lDHAj9DHt8wJ77Brh8eIm8YdXx616k5FmbF
Z83ub8i8zTde5NqnubHZO11pwbcMPwV2cJNT9CIxYRHhOB3tcRL63DLrXPdZwEhNTN9iD1RbDP1r
GpmoPorwBXyLWTKJl4vC6KtjmQ/jOrMHhJxB2L2ioK/XYUySqZrmZWNjHKSa8BkMO5aZa4erUM3/
hJoEan5FwmwzBwcn8Q5aShprnNUFpnF+UO8x9s+guEuxrPXQXuRxOhADnGVvYTV39Ah24W77Vkx4
pxZnQOwYMormX5F/Ul23TjJunIgFWye5cRVPASIW34MIqiafEMGZgappaK7movRz3rocNXNZWaQc
DiTfbCM1TYWApl+Nduzvekatlpq5Omr6alwGsSb3/qW9jGeZCTGqzS9j2zDrmLJWDMcdY3wq1HS3
b02yF9TENyQXckVd4KQcYUyEJ0bDVjn22/AyLuYA9zbDZYZsgsMlOLWdLTVgxvm33aAvZerMhCqB
PySfPBvEY7RSeVUgPVVxcOmjf5ldO9KZtj4JLCPoHtCNr8bcUGYsKkSrPlGdeRs4FczDq8tsfGIT
IUUyrQDgEAqX10IN0kc1UmdObe5NWQFpRBGrqkVVik9GUfIGTp1BuqnTyM/zaJGVzBiAVItiN2YY
5mjlwWic+blSQ31zyuf7KqnKEA2sj6eM7eMnHkx3sWIEDEy3DnD8xdLBcJzXHeYAHumMifB+PLmK
V1BeKAYhJh4LvfI2NSbKa80nUHJUdASYXslX1wljvKAgKwhFWyC/QNvUUVYu+jA/ZYbGWR7r4z6O
McNa0LyvQi30HzIvNLZZzBvvKIqEN8hg7UP0vcb9WcTkeGpn3Ga8G6Oep8OEwhoZjO1HYl07DFUF
zOUIctfRl51JBsQ4NthzYKm5yjFRva4Qsu6rKEeXG8OtucrI/XvsE3cSC9cekSqZY9ZeRRP6LQDf
RP9eoWDLVkSJOHKlJ/qwx5DSR2OhNVuae/txzPqYWOk0To6iC9uX3ErQRhmtGOBjGgUWQY8+bsy7
McKkd4Feq6VFl9hxQQwfvpUJg/guG1VdUNUnKTsFsA54YHlDHl9pMiN2L5jcxF2w1pmxW0Nz9Ou2
FMtGtm3GtNWOd7LwgnaZxKV9O2EEvpujovpmVp7WLmF1QlnXGG1eSiQikjiHMkKsE7stjlhX2WzO
VfeKjg1GfjiaZbrR0xakFSv86a3IgL4qOJ5nwvQUjyKlTHAD5lirC/7jRnG+BHGxb+c41s5aWVVc
Lk5Fmz6NEfaGumcvc4q8aCUcWX2TVT9Xa4gY9Y0xczpDIqsPP4qvOkbLlxhT+wrfLAHctDEnW2A1
leHhP0Ejogx1Psm0pixTBWOxNgdwwCQysz1Rc8URgf28E3o7rgAX2YybBDQkr8w6gErScrj7eUnH
H/q4lMHKug1zKo3CdqqbcL58C7/+ammYKC8Ip1Wb8pxPb1iSKmzbpTzx69q4YxssXgGsy2GlhYBH
iBfZKkM2osUFlpyUjCsytP4hinWenVFrXrHU4VNtQ/xLrhhocP39MK7CkLO8pNh6rFrSpNtJlb9M
Qx7dTmZ7E63TwgqFce/lcnrzJoyOINQgUkpif2HEI6nrkx2orNbKyvap6denf+5h8Hn4FcT4MThi
QuPCS2CupHq3d61SX1plXiV1txMx1fYSzxX71nUAuMMO0HcSFGGYolbrLsQEzcWCbJ1AbNrNXfkU
kkl5Jqq5PqDpm66wZ66/9r0Qt0Nsys8jVe7mN1+WhvQXxEV9WQ+GuMr6Y5j18ctC1E7dQbPanQaJ
bTEwl/5EOpSN7D6JbjXSZ1Zs/zxUY+AtSzuQF52z4ZAWsnxOKoVVCgqPf/5Sl/HVO3o4jRdWjAy3
1JfC6eljsxn2Nc8lDtsdbvMAWVhoBwBrfX2cR23YNk0frdgO5/VkWWz2QU/VklQ0jG6kloYY0nMy
ivpgZc4Mn8wuX7E8g5eNr8La7+qZPKGmrBd1h6z/n7/5B5co1SYb4DquSa/skhipBofvn31jEgmC
S2a3CzWzPgQ+zR+tEIqzOqmbU6aq2dlCszmwKJ/aqfFWxViw0PrO/m0z+zdfxmV4CXhBUw1Z+KOd
jd1rVoU6iqgwDLKWqEjRb9W5P8FBJfO8iotxRfaV+4aR27CLCdjZELX37CXVl7EIkdvZlEsalLZV
D2nzemhM8ThUVXEdzyh3dD23nkyRRvK6CqtiuGqiyCPRC8heB93axJIFnbOVMAeP7VvdQOnWyJx6
Ncv9IwXkvCmkNV0JRDKrpu5HJkHsMKbotTOBhs4nzXanN3jDuq3GeUJj8sQe6wiHuncss33fs4Hh
f0DNTrMMKB6m/J9mpOsFHhU5O/GlVif2uD4V+Eyxp/iqbE8p6H0MtBZCj51PwkqrtSmD6ibF+BUt
LnnrgwHkEA7R8IA9Prwm3zazp8bqU+fQZRAijuQQhdykGMW4JlFtQltNI32JJSsjtp1FtpTVLG28
N1qx4oJQr5aBwNGjttCBuWQJhPuUkmYVzOovAgr6YKXDOiHLIMZsd0BK55lXsMjbV8B3CTEFIPLc
6BHGK/BfuOKw8Mu1ZBMmF5OI660rDX2hTRT5tNP6ju6bLZah7hcdGasaUdjL1tZKotShZV3LRnEZ
I1F9m5I+3TRxF2/7gepKT0dWx9zRUEBW6R+6OHtyG/rHWRrVowf1LF41UzzQVHLv/HT04sM8c/M5
dLRzk5jW3uDgOKXWEG+DlNnW0sNbbt/ZXvksJ618FpOBKZmZmSb4Os/TgiN5RyfqHaca+5J+pOl3
sqL9UuT0MlIa1l6X7Iydgh8wk1YuLR0cGEEA7bCYsrHfGHOIHK5N6FoKl/lbGLun3Gr6h8sQCs5J
+Wy3TbzVBR1WZdA9Ews/cwJ0CDG/mAmAUl1n1U3n4jSF7JWdjYweUGcsnaEHCtG5UNBm1ohSPsGQ
NPiXkGjqF2Rj3BWlFW3pDhc2E6ddEXEmkt4HKmeOHDmkhnGEXkas9sR0KsvN+usI1fBojMAsbRX5
xxDWzCFG5nx0Qm5cwwG6RYloEwBUDA9INWnvxyneegoBwg+vuslT8CGUkiAEYzG/eazSeR17c4Wc
El2hdKtvXd/Rbut2eGuoaXg+RnDgyAVZFpj4ni7fWgofEItUNV6MMlPPAIXL3lBLVaqzRidPcFUB
ljwh3Ow3soH1QjIwE0jsEEBGVPMaS6LtId2L+qQXDU+mTChFLmdxVRDwrrCeCSqvx6tK0QuuYzFC
BVjl6jJ3uppDLIPkALp2eQ1NCQTD613rO9lr07UIQTwsUohPF8SHaEvkNKMyvSPREEtXumDy7ONd
BvVxmeHse+wDx15e4AEGVNwGUdPZAjhy6xWQN8fetEkRzxMdEb3h3zxdzyw31IXIE4PFKMHCPMaH
a72S6bmuBOJhCmCfPoWSrC9deVf3A+Ac4YgzXnd6BmGXK0ILbALizCzB0h+B4AInAv5DVLnEp7dc
EwgEnAFwN64LBMRkb+X2rQk76BMFj45nBDzML13SgAjOIq1hzAmAMrsb65cwAXFpdQbMTLLAbUhe
3GMrqPpGwbZGRx/Azgep0TxqC4/jplkWpHlCRDQBe2oMYNZwEePtBb+5HNgyBbstykjsNV37rqPl
plx2NR5fllMs1a2ebn68muRebBgQZvuihHCqG1lxhLjBHJmpytHr2vortMB5h6QZTK1XcOKYW9Ht
IOi0lqHesblrZvtaZn75JAmqRa5R+8fRZZ8tRzTJi8iumxe9UBPWNO2N9UUije4RqCJhTav3uW7U
NtwGZXvFkA5E0o9dat604cc50ImBsyj4IoV6UyOpU4AG7cnweCXE3LevfR2Uz2SWhbcuGlUGg+r9
gei2o9UBjHS4nEChX5fy1vNBSMO0SM/5SGgbNrLsSJB67i9nA/PO5tDD8L9lXq9wJ0DUQbPFLW6d
NkfF6HvQJiiJmJmZ95cpvJ8zVHNKKmFBO7yMnMS4rxyrRc/Ng0RhlO2nTC+Os8UM2TYpYnP1DIgn
qB7bdoQ/Qs4qxflomGtThMPDNFImkw7lHfUyM++1vGCzZR/7WsIMfIycLDiAXyBkUJAg/pxi75lV
cAiLaFwlkhKkZTeBvKC16SbEkGpTl5JCqaPZyVnYW6jJoKAlfvvLSR/Kp8zUAKhHMGPySGkVOgpn
y8GaywRcxidYvTyXbVa63A2Qo+mqKUX4ha5+QiFu5qqfaCUoVGPJuwbQ5nPlUrUjZgayGLByvnV1
trdoYB2lPjRIHUNEejyG4pWmB2c5gpeZmczjPekd9WGsMkBEtVWixVLkBiu9RbmS8ihjpXnXiGuq
fc4HzIpAp+cGdLrAtuAa2z/j3qrd/rtbBHLb8dUxP0lZuLFPT1RlZfWtzRtKjrqdsz0BezQxVRzd
miQbDIPNXZtdzdqbXsRSIQtqBAHR6YaQEX6lKkkErI+JQPtML33qFohOkCLI4sPUg3ICfjzV7DQg
8+154JOXztepCaR++cfLwiRykSOGdMjmxR45U6FFi32BneudNLVpk0dJvC0xK19DqK0PoWuzyWB0
Hd6Kyp1tnMFjeCLOTEeGNcNGtulbL+bSWUctDewFKHbb6klAFz2PqgqYcJkYVpWJiRxAAlc87t0M
AVXviceZvLPVrCYxHYDKGhYLH5aWvXfogq5cXErn/40qfzOq9A2L+e9/nlT+sD7syn+9fv8XJ2Kf
f4uf308tf/z8n0NLZLr0ukgTlcfYj9Hkn8RF5IcGrEbGd3iCKnnvX1NLD3GvQGKLoodkINfhX/05
tfT+YMZIsgfKRVoyBJH/zdTy0v782tgB5wrSgk2BMNlSV/6+PZqMIjWwmdF3hOxiKveWYXHMetkD
FqhGaMeY6tCiUfeD/quRaovEan/ToSky6IeGl8mtgyia9ApUmJfu/V13XtpKI0NXsSubSb8JxNfJ
r47tkHIqs+ub2GR3db/yK5QQIguuqypEgmyKYj2ajwJ23BxBSdLCa33WFnHpbTpkMJVr3NTK7o2B
3QJCyEobOK/06kUVD0SULvoCT+z0KaGsUH+chFhgr/65nQkqQ0zVauvJ9nei7Ghnw9Q5QtIqpsWs
d9A9tKa1wLVTvNqs4oE9Y9HwTuwkpho5ozNhWldhP2Lql8w4urdK/cym5WnXtp1QInRWy5F6xHvg
lEVFT9OgGiO/Ozn+o2Fpa4Qwz1izwK9MDGj+FiR4l0A4f6FH0bovs9Ug8yVE97PUcHWsx2adtvl6
6KonPBL0LWqfu7B1ryB5fpvDftkl6bJ2xmxLl+Mtxq7LFlZRvORS6NuUVPTFpI8vhQA6d/r2iKgT
gQDW4ZXT8mFUk6kFvpSEP6bX/9tcfrO5GJajgiz+8+6yex6f4/fbyc+f+LmfGLZg/bNlYDBv2aQq
gmf83E+Yk/9hCqb00GYQIesWo/SfLAjT/AP7ddyyqeJBbzCR+7/9xGCrIQ4Cog2JGcpb9b8iQtu/
Lmb6HnQWGNU4JjMqpssXjfS7xUzNnc0JAaOf2raq+kU158B7cArpZ2YFM1QibE6woxlzuZRjUZRq
ZxA/uiuhcZZnMSV91koqZZ2IjpXmYE/ma1jySKaEra7zexwtBErQhjK+Sxq4QNhv2da+jCibegGz
soJcfDQ1oLzIp1KMyRDaliZz/Dmx5p2PYc1CwZrfi1nDjjUSo7jVJBWFLDIMjyJKsWfStadncsSn
GKIWt43uZaAJatJm3qB+qA/2RCPTm1HyTE7YdKelE6RvIiEfpwZlCHtV6i4tCFzfhyY0FmaVCWyp
dOMURs7J6LQ4XhAIaH7uLcZXv9lPL5Ssv7b0yyNwHNTuMFGgMhE9+OuWnpMpk2hB63yaG8vf21Zv
rytTNujCSwl7Cg2dMhw1c/8Ox0zziDub4i84XglpLtWx7Yvw/nZdu9z7cz9cz4Ed3Zi9KJm+pdoX
onLbc6TMye04Sa57uzOwyIm67CHLAm8bRlTHfWuVt57XfO7w/tzZ1XjE8MW8NyMTQNB/TWo8496t
kbsfV/eepuZ/COfhfFUsMeT3oGu0jh/9Kyr6zBAwH7P7Mg8eGcjIuxCr1q+GKeSdRoAZsdVWsycE
Ct5pVOTmIifJdtPCjYVvL/VvVaraXN8e5W1ISOFhLCGPBBN/qi3T/E6GsHEFhDjeRr0DPxcXpzvb
Cx5CIU2mYXH2QKojTUWa6TtgvGIbaY22TQfLWU1l061nPeedtjp9uNJn6xUo5zg2prHrQEN3jH6w
1haBtYqhUK+lTT+vV360sePHrPJJWBTl+BJH8O2yzhpfqiaw9u6UNbsGcvYiiKJhWQ39potHeWZR
pjcgyCymNo13qfWq53HSEEPQOO0qhbl/hStGjhGiJ/tVzER1UbqJv9VnqOBmDBXWLQp5JowSMT4Z
YMl1Hlk1pXFmfpm6ovruZXXeQHpvWgezYL9m4uYaZDW27c6XVXxFSpd+HVBU3HmFMVzbac3FmRYs
8XUdzcluaqByLzHNMc9a3MnbFrXh0SK7e0PeDpx2W61NLZ3hrI/tFxG19TefIIujEI2/1LEV/E2G
1Ic9y4bhhPeDQRVmWBRWpq8Q+Xd7luLHBOHgaucIDOnU+YTcaPggPGCWT3PsIqlgBsi705Tzy2h6
87LlUJ+AAKfolbGjvKkc+v260+svLgSDVRZl+hYXka9StTA1Xg2fsYuEfTs0drZIBqvYZjz7Ywly
SHEDTtTi1AVzujTPUm9SBngTlzpd0BZFgGa7mjbwnUy1oZbpobGrzkCToJlr3KMwz0tgF93AKJ9P
l9eWWQfppjEwTlPDajaqMnijedS/elrefvETQLZCm2sY/TFU55whYoSSsoi/FXq6rcsGaxSo8n20
sPre2QpEtO469SLv1tPr8ndBdR9nC9x+i3MHMBwbU5uMLbW0393+sYa+S0cYnNFVOtqqM1xjMTW1
9imZfa7ASEwd5m2r3SfgnESjysqvAEyLSG49soSmhcUa7BdmVgcHDzLJczo4zbTw6xFrwspogkdM
n7kY8iKMfR332m8mNn93AdR0fC3sTiy0SB/en2JO28aIQvfMdKNby8SQN3UVhpvaCTJgpIJ9JkCW
d2ebaiSH7Zu2Rq9Q4SWm21fGiIkXaw8dhzmVz5Z0jaNDtvUhMqs+2NSZF9xnbg0QFhUhBdw/75uX
8/ivw0K9+zDwBYYlRHf4qgf4cPPzRgleR/tc9jYw/di2wRtvc+DtEGJkD8ZM95rIVt5mOJVvu9zj
CsyicPZeFQ+HModDP/pms8/sscGBudbuOyf3t/4oOvQmdV8AA7Tx0TW5/jEnr37RtWP7RpRvxSOK
xbc2GJHHzrM34K81y7tejGmxdZEcQZcGTZJmwzbU98EXMzKSHc6g3oEoQMhMHor2rGVGUmWRfASm
m7fNOAT7eIqa9Vy4hbeExiK/k+vEfoX7ugYCX5nGGowfl74y/WYQzNeSMVsvmDlU+0wMwSOAdbOn
JpB3Qi29AOOV1ybQIkzAU/6yL1JIb7Ixz6g9CHHIE2Ay36yjV52B/CZBc/XImzd8x5xS7SDq1iRw
m/q4mK8FLUoMs4edr4obOA5kBd3rtPo0DWiRvrp5AmEjxzMtjOSeyDym3g1zA01k5jGSY7uy3Uze
kLrBWfLPLwJFIk/6lzfBR21McJ/Hnq3KwQ9lA3s1apB0qM+YfIOvYykCH+SyN2dISqFX1tA8sPKM
Uf9H4YZSrHp2zG4+zQZ7Ej5Q7R4hpruKsiQ71HHWjnjc6HG6HLQkzvGLLDaAFmq5Gq7+bQKm/cz2
330zRzF87+GTaiv0erm7aiOvBAqlHLsegHTXRI3g4Y4hvgUyaGVBtskMhkwYxeT9zgs1ucKexN1L
kX+W2NNYfMsW6wPNjLd+7WgnWMHTuGp7vX+tbY4V3i+VtIIkSxpzuxVqJulmCpzV1XOtxrj70sp0
Z2sISVfSjOe1b01fDAZtK6vEl5DvExGfnbAg/FDwsiZmC70EsvELtlT5qkHheyihXOxmn8z3BQLy
ejvXZlReM9cScC76NHrgHIgfWg3rAcDR0ULqFefJF0ZEPrHRae2Eu4i6BZ97i91g0RKB/ar5rnEG
ElYFTiPLg+5Jjqo2d1bNTJDlwopQM3UyQvzR9ilbXla23CgQS/4cdD3LYIrMOVh6TitwJEJwch9i
y7EPdMGpMxuJ9S2C4DnBH3Wq9EqDmUj540+nsItLbT0jR/+WA8kpYXOOxIydXV9qxWwcQ3tMDxMv
ggcCX5ZXZCZH5ZJxvPXVKEH4eZ/6+QR8h7mx4Sby3FBb7vDC9/Hmaef5zXRSjyjrWVuDuKToKJwA
3q7ezCMEMRRDHooVRvdN4C7GRuMtjGuqzAUA9qpDpKIt7CrQV7E1Z29Iuc4dWpQYgy9RMkFImXpl
Y5rfuG6OzVDujksOA58740/z6bKQ/tfY/qaxtWzUt+/2nNVz9/yvHy5hN885sSFfntsoLkLMod53
tz9/7M/u1gAuIzXaQZjro8wV1AJ/drem+MMFofqJof1sbAXWeYhuL/wEOPe26nl/AmXC/gMzclXS
GSZNr9rwPrh5/ZO7168KEfpYQih/eIsZOgK8j/3FXM51DzXVoSjN8nmJD2t/ajKM8BZyrNundzfm
b7qZD030D96HATCoo1pAzUCP/74iCm10em7UiVNET/xYiBLSdjf4D2nc0cZRhVSPIY3+sz8kze7/
46MhhdK9I4jhSfz60bGWGgx3DXGaqeUfC7/R/PUwQexfu/Q995YnDXPR6g0APcZjLMN//nj16/86
hNRtBrkjn9ID+uTBffx404qZoyeZdcqI5YkZiAxkVOkdVKtDjEwKJ9ecIcs/f+blZPu3D+VVQT0O
VwSGxq/XXGCg3YcVqmmbmck9ThKME3IQ+w2Aiv9QMSo/itjiw3uGAO02Yo776mCasM00+LiAaxxX
lRsmctdqTRismb+LZ8cz23oZ2INuXA3KxGhFOI7GXLoyqLZlVljWD0jtF0O69z3whxb4cu8cKE6A
LyrsUHyAcr2R/HDpRgiue413pQdzkBmBsBuvRYqATyJZ76ndosD5P3Tqb97VXwUiP54YKkAfrR0L
g//99eY5ms5ubjf4VhsDZGptJsvFLaI3PUEqMhmzPNuiMm6wMyLwc4r63wlU/n1hIuEBdXIdFTrs
fVwrg+8XKY4n2Idp5NHEasFMfk/3P9TGbxrFD/Sdy7WS/8PK8lDcuCQO/XqtsBe7Qtd744Qjhzxr
FcHRmyE28JMMLKt9lakQz4PuqNWpoymp3JHFoiUMqJM00n7zuP/uwi1dsFviOAAc+OGtNYVW+jUt
xKnvcANeCjfISuJncrgocQFh/J8f898tElf5k17+Q4qn+PXawdD1WLMG8wRUwWhggu0FwUeWV72r
E2vcJEjIh7a8quuYtxwU0LjJB1+GuHEb2rgwkpmiwBnkOaxtGa5T3fSOXUqmkNE5IHXRwOSumBJW
me0Vcjz4kd5nv+nULg6MH1Y6+beuSoFELMYb++tFJFkINW3yjVMQoPzcYJzY7C7vjezy6rFpcg3G
wsi+N3EDc2/0IZtjqg6lEZijmiDXk/cjULnO45w1KyPQ21ev0eX5n2/23+yCCBIFmBaolqBJ+/Vr
arSzgwM/6WQz26RhULcZQgrqHx3BQp01v3uzzY8vkwrWEojkmM7iBWt8/MS8C81ET6f2NFZWeWV3
uf0c+FL9l4XjT6+rKTEsEXKC4oCAJ7ifiAbGcfI/xdBjyVMtpu7VKtE4JUh5tmixq0coAGyc6p24
3KKWU8OB7wm7psWI8GoyLO9IISf2RNEYNzN+X78Jt+UKuFHvnzeoDkJBqH/QaJiieR9e2hmJhFvH
U3gq+SlgWWx7VomrJbe1RVj6roBRNi4TlwgmSLpahhkQiXPRxo/CGCt8xeNjHIttn5mYw1rPO3cD
FxouYeS0PQNsvLKVON4O5hXe0VSyejRqnyuNMG5kD3B4FmM4RTbwES3JCtMQVkbSjv2aI4As4DSB
QC4I7Dr1RReh/s+To5l75Q0ZiG698sqGcKeKVL6vBsSeW6OcshcYzcYqow5A+DLNOCRNuGa9Trjv
QoWbInLbOs7vA4h/jpOTlVR3tY5lHhoYnCOUoTlmdaT31Qi8XK166AtGy2i6XPeT79eRUjQw7VrQ
dNaEPhCeCZ3D8SdA9870vtVa1nhLzAa7dDfLuTMXNVzYZm/WU6ztAwLcjmbYM5KuoBIzCvA/TeNA
nJkr4A+etNEitCSxVWBq3ZpptMxRU1QQbvOsWYKVRcHKS0b/AbNGjl2MD67cqVfuS+XkQ5OMxhCj
NgwVXaODwJ2Xtv3cgrDFS/zNjBtKQDZiklrluY0nfgxuF6qswCo0mocgE9DEksw9Qq9Ne05mIzI8
yAN4ybvVAYpeMl3D0q+PmgRU34RTiZpzgdM2LldkzGN85ncvXpE6pCeYkb7VwVQxpMvDG1iYzabB
ZZ6Wsnocoe58NVpoeObgyRW4tPltQi6+tGlYtmAwwcacrfIp91v7a4m6aFE7tHa8KPJ7iL93t6C7
LlZ6z+NZRkFXbIn3gvJvuOAAeZjrTBiDQkpotRquxV7ZvYpad8iaj8PqXiP1Kb0asCxIsXstMj+/
dweaZeJComwq3RW5Wxi+L7pJuB46EeQGAZ3XwjBH08YQQMQacD7Zo5OTr7zU8KuvQB+OxddNk6JZ
TfWUezg0qeJntuX/Y++8tutGsmz7RegBb16PN+Shp0S9xKAoCd5FwATw9XeCyu5OmZZG3+euB1VW
JUX4MHuvNdd9nefcacwu9dlEIekw2hvuaxuSoL1VxUiNp8Tx9KQNxRObRMekMBGxvh6CiHEFk1u6
TyfeShg2dKLhC7T8jsgK0N5LqtdoymYeaprVxhpJVrgZI7gTCy+GR7/4xmTqxnc9GLtuPU+++yq8
cQQ4YLJe7YqQ0agcvVct5uh5tNE8qRl9ld+jSTPAXkBuLaNtKZMWHT5faAiQZIl0m4j24lt2vPrM
sk4893AdN3jq6jMaJPuxNReJx4R+6qrrlrYQw5lAVYd0L95YS3eH9BLNNQ0kwlxs0+T/wFWGtDKE
z/sqbWZqoO4OPyEpaV16EgAhYnicVYwY+CoKyBaA/MiknhqMqO9jJGs47I4ekyjBvvIg6lBBJlxu
ZSRRWinV84/vZwvVFHWPg8PrdjG22CskL9Nt+74WyQvflTeYxOQhjgfr0s88kcFlZTjZo/U4WHO0
te1suu9TthsOSfePmbCZnjuN6G9aVo+Tzb23yomL4pPkSHkyqC8YNvR9tvzTIKeGRABCZ47mEg4Y
Em9L/YTlUVMw20JTbF+yvGT1q6nd3r8vFGZCgidsvIX/ai8mx0wVPNqWkyEYI/viOhRAcRw7dPla
w7yYCZ+0XwvzQokyr694jXh29nK2Vd0y8aiaup7gjLC5sAiva6h6HpylF9EXzObowIiUEXbEKl3N
VFaH2p8ouinJmQ/8nWFV1yNhfq0h8dK+L3D6ZamSg1v88n3z4yxzMki0DBelN7nFGmMcKImg8XuX
hJApvEpKz31NqCYWe6YdTrCxdTbDh6jGbNuUlvhcGEBTV9X7J2QJL9O7QctlGcTM023keBe6I4nz
keIZkXG1ZAuqL1FsMQEjumJsq5etSp7gyrQmZFQMA87R50lfKoX9isupz3il/HtYmnj+DCpzJTqn
VB6wElmXbnk9YeVZFzPOmJlyt+c3ZwPLVZdWZn/dgEVIDiU1P1ZpfsVbC4E0BKrOf67w2/ACd27O
PcPZGD3rIQ1QAIZtse1aEh2RsPCO0AvxXpNy5J7qBqrR90GAFCV9PwHSDUHlYGX2Jzq4La6Wc+Mv
hy/HDtPS8tUT4ty8YC2qzyCD5YHlfgvK2uGppjbWh4KJnPuAbvccVal4Npa2E7pR/1WGHd+rWZTl
lgqe4ePy4YuXEj87SCfeRJdCvTqPKUOAR5KW3gK2ZPDBdRWr20gLezyG9fKAMBEzNNm1aA+ltABy
d7PGast2FC6I37EoskNgwYiL4/JhMjPv1ckQFNoGJu81rhimJh1aj6MjucnUIi38YyIDnEwwVfOC
BYIPvbWoj79fITMRa2QshvFK1ihE3ze8uCyal9ly+ERjtqgpQ7e5GtnSPvYwLR8Jg+axQJ/Rt3M4
8pzeV4zv0+Y0m7xRTYFEzgkXnTr50NFVZYdIeXqbWmXfs5NZ7ppsBtJAs9Eq5o1cTuddFgkL0n1t
egSI6yqJo6sCn8m9OU/4PwJndmj1olJeeSpmOEpzPi5MJIyORF/Ch0l45ckyy4W+T1LhO9txCNrD
lAJv2XpRX3j3mkQWpLGjm89rA5XfK75U3hp+OnqutMm2tejdY97Wi143Qu5+Kgefv12A8mofLNMe
eUVEzo2el8klzd7HPm1nxr6OLQZ5liLxsiV38QksQvX6/H4Dvo9Fy8Z9yGzGhWVgJaqLGef93RWx
ZlrTHVRHDfjks2Qaunt/P11AzfuMQsCe4FY3vw76kFckNHteKA+caRJjIfnnhSjHMvwGgSuHtSUH
srYof8LWabzXGDnU4/tb4RPBPK9yW1gX30U1arWVdcm8pdoAkjQlUaqqrGrVeRUjEY04Yx20NkUI
6WWEq6bLBRnYsskhpbe4li5d2f3EQkhu2HtaF8vlEnjlrEcv8ZGsQrfhywpIpL+3oT44gJt4aWBB
Mdo7qXWD4my+Y6fOS21iPUE9NPKpvI+Abt7lJZH0ATcb7PsyfSMtougcjHw2ywREbHZM9CSt6I5B
oY4hnmPYCyOGq34526zv+MycFpPQDoGFvi8nV0KoZKv2HMHZecanynX30wBZeLTdztgAa9PWSrIW
mh+wJKSahvlQJTeWymAdEKtrXSTs2phNI9JRZv6at920xCwfSfFhERIbefRsjnjOqkYv1wss9tbt
7eChD3V5YzveW2IIY51HmYK63ZogUxnZMcVn32L8LasA193K8dlSr8nv4wPWTI8ZQTXtekrHed1R
8oxYoUw+QT8T9xlPz7yqvXHG94/mYGdWIY5Rguw62M3kqaUNOCLHVZa1ZtYsj+zsNXlfTTWtiwYv
j8Ct9i3SxWKtsTWDIYtMsQJD3YGnxttintpl8D9lIqYQGSVExpFrVbODKUhhMmqbKgxVtn7dFmI0
HoAY8HhAa/En6GRukuPRZqMCSLyogxXJkcvg3w6sccplSdcmob7PKfjvyTg21n078s0sG2WkDdwY
J+JTjZIWH4EpOT0MqhSb7Jr1gStGzhRyE79PJIzbaF/r/GvNGpPZJWqiLYGF+FGMTDxDs+MNet8Y
xmZcNaeiyBqGvI4xrfZ1IM7U0+QhIL7pKqXLchybyLrE2oueLaNTX+wZiIXvAK5jD8ZzrXyb+VNm
TG59GTNazT6oC+CBxfp93IyynMGR/DkHCGvFN1Es681GIA4vJbL0jWgoX0GWx69RaHi/HeOebPmE
uoKXJxUGcMba2/nxMjLPpB61a/Z2yQGfTfrVHXxTnb2m54vrDIwsiB6iK+P7CqOlRkJu5LHMq9A9
IrM2gyMbNt0dFPsb2HK93Ned6ncF6qWQvUpHpHI+W49haFGy8yJGJeo83JIgw5a8EsJmJ1H6TCz+
MPmPCRXrzdwGzrHxNN/DvOj+vy+ZPbP85sc2dN2oKk3UlGUQbv2ps3ccOXlMZK+fdOLPV4k7pU9N
H6NE5wthdGa3AwahsPuAQMvShBrmNsatNPxar1lOV+GWjEl9sGPPeOsbx/sCzHz+WrCqRGmgFcvt
EdA76yqbyoUyicxW9R4L7vjR5XRJFRaiwBXeVlm7ReyOogrCyCUNsDzFmZ9+KJsufvBZ44O0L4tp
kyvP3E+hN10ipxFPtMbyt5oMLLkhISxVrJTpJN3OlcGOtTDj0VpobIgbZDT4L+/Vmf/r8Pylw0P1
b4l+/a/i8C8dnmP1JX39Kd/9+9/5p70T0sKht0wTFLUhSFaqUP90d8LwP6j5Y3bFo/se786/+s8W
D+hX2gKmieTMQt64FHH+UwtNIszSJOGvUZe0l+Sk/0WLx126S/8qFyEaYwXFWVDOdsCO8bH9WHfr
bTpYc6IpZTiz3jhtUbx6GdqgVQ9NjkXNPNjsYtWEAqhfnDl5jIrHT2R5PVOu02uLMQUUZDp8CXqr
vJmFrj5FFBYoGUQ5AAH+VrnR5IntymquPpUeMi6TBtCNTEeCQbJBOtezVaAwyjO2+lsVFf4+9cMH
spqLe6n74cYcXstaIltUSf6MP0S+1BgXjfU8QFDf52ajXxUZ1ppEcWOaV4YT22Kjo8rRiM9I2iQ6
oc0/J0ZOGcGRiw9ksqWAxECAdq5brci0jfprqhGCxZ0pZnfjSTt0tzhlSblAUYgoGSa7s29ZJpAC
k4jkyqGExoCAnzVYGVWBZDk38vqtQQL6UqOpuvRqwozpwCOIIzW+heVQvSAQYcUyhDFmoTGnV9Bk
8SsSQZuxy4bF0fagRyBC+kR+sFcMxwuzU33rOVNNImuoW5rZ+M6YpdL8EjqlvnMLBy7qRNyaqhln
xz4GO0GtoepRv7nTfrTT4NZqFSyTzCnB+RQW03kZ3pLM1ZBwmHUPLF8U+n+ltqi7HIyXDe42xGjV
yeviYJPBCz2HekzFcVZWexpmmO4rACLU/lKvpbhkgv5fS2Mqnp2y6R96NwfR3VvjvGIHaX1Mg1x8
7IxGH5vRa7dVFRlX42xni9DOX9UzYS4j5YqrObb6D0U+Ne3ai0p5NQrZnpMwHEgujOYM+uMSnKkK
d/F1VcW2aaMqQ7AftRjDKRVdF4RTLOrxPn9tp6zYxkq33h4UY02ETTaqT8TCElE3AgigENk68W0V
RpUFZWtK75Mmdz7YcZneRbPH0RBeygdspNmubxP3bNlA71dJXycHw4EUQS2k2djd0B5GNjf3cVJi
5ioz/QLQRZ7Ak0ZfRzkSUuSbZUxssYNJdTu2bXQfZf4MPb2La2JFY8e/TVwWWqshFPCOyTDJ39ym
dsAzJQA7YxPGZITedI3JsHrkOeZPo0VuUKAzda2sKTkFFC7ZqxL+CjKrcpEPYyHc8LrWj6HTmjex
7OCnGi3/3qpj97od3B5fF3SAC07VOlUELfOVf9RQWpYw1BjHAreHKoTZnKBBmPxXTdm363CRDlPm
36s60mZxRVtIV6gcFaLSQzn2IyynGZ8U9U9nOiVekh3a0b+1wgzPjxvMa1bbVChRND5o9EHDVgF9
fhEimlZWIYi6CHo3UmugKfVSb/Ue+t7rKTqlVrfu3KldJ1VqXtym1FcdluM9/DVvBXyISBogsLg1
sE/QDuRV5Hu5F0qbSH6HgUqcGJ3yyu87M7sNUixV0cZt5t58cGc1lvgb4U94FxvYw2Hs5bMLJv3O
yEMgR1jFxqMjhxNbUP8aPIbck0FlbwpdzHuCEaa7FiIWMtuihc7sxUfQR8XdKB15X4yZXrt5lu6E
ExEygip8gyVmVQpAIlabXJbCQA9lFDVkejVkJzQ4/CbHaPc9e5VtlNovvki8lZcZpyyjpEUg8wrl
M+AYn0w43Sr3OYHnchRK1muL27JjS6xuUtN9ifom3owzdWPAY8Z1NlviEC+j9dSbHyqra0CBCh7y
9EWq4UwMabEWnXnOUrsj1STKzZ2pkift0PAosvo5DKbgWIbNGwGNxVan9r2JWHMjEEDHjrzxxyy7
7drqo0v9iRL9me2juSvN+gGWCDHMOujWozlBmhnzYWODfSN6WDchK10rX08+wTr9oNqAKjAhzqml
TtJRZzJr490UhcPedgZ3Yynwn/hMAnMTkLNyYufqplxeM78kWqlr4KNkO4wIz3mNzj5P+8qMpc2W
rq/uTfxle8KVjEXYyds01fNlkiIjnaqmNEE2X3PXTlN078xEMmzitCvuckOPN34kvwR1Yp7yNLbO
cxnB+VcQk9fLsnMZZlswayGv3yNyawIDLK/etIScbOdUlbhL4ulSAP5YTYMln+YcawouTXWxo/TO
A4/KJ0FLAO2UupQyx+FSEu88FELQlhe4c3pWc15tTniPh3MkzHGDSzB5LbR4TZTZ3tm0W29tHelz
ij/n3k+j6qEfaX10jn9ShECvwbQx8hvmB08l7coz+CPJ9JJ9xpnaefA26kHdh6is1jOmwR0C/miH
kaf45itRXVAiqX5Gt91RkFxJ6FAXxhjjKuvSgE4IgVr37MuKDe3v/OwEtQPt225IblDJm1sUfFtR
rSBf5/09L2FBxqlZ3Gae8FZ+5Qfb1J8V5WPzNnCBFHS4R4/l7Di3RehEG6OfmhtvtD55g/S3Lanx
D1Tk2Wd0gf2hq912p0ag3rwZSU5xmSY0zvKgIsbalkijHH9P/zA9G4MfnTw1ToeKvfTR75gidT77
RwOorLX5v3Vy1aXd9Ld18mJG+NM6+fo1rb7+WwRFSNLyN/5ZJftooHAJgd2lyE8+QcSC959lckAe
KO4fDDZM4hYShP9eJQf/4aKdRkcd0Tn/gXPqOqQgsHjGNYR4AYdd8L9ZJXOIH9fI8HMcrCWLzwTV
vP9TS3VCReoQpj0farGlLedNBMrd/Otu/EZS8ushAGugBCdjlFNm0f/jMhxBcIHFBwv7IJxVPodg
NKC7+9zS/9qb/H8cZTmLf8nOJf1tTUkY7Wf1SRmfav21+xui9W8X8pM2Jkhrt6oHDoH0MTDvcBO1
8+c/X8WPUgG2LHgXIDP4JLYi3bWDnw7h68KuBiOkpO8uTV0jitdpU9+RcbX3Erfc//lov1zQ+9FQ
6CHWR6T3M+Q20J7uvDqQh6kGmmcq/khLanpF3BTfR4//Uc30u0NZ9hLbAdHMc3/ei5nKb7StLS4s
CeNHnbktTaXBujY7Zsw/X9Uv2z6uCo3gArlFdPYLHsrKPXMqwDEc4Hf2VzkRHAcQ8NNa6FmvWrAQ
exIkp/+VfOf7g7PZbzqwez10ZD89OC8Vlm2w4jzQqsaX7vKHT5b9Cla7+5fr+1Gi9c+h2NAGARtv
cDw/bWtJdWzmpjHkoZxQ9xL9ZqCjb8MM1hbBO8xM7W0zWeQcFnNy3UOv+cvxl+/1v1UY/xyfjb2L
hnIZmn76nqfYbRJy9tQhLLGN+VTBVrAKnv78EH+Uenw/CNAsFGDmMkQG9o+fs7bqbuoiWx66rrX2
wZiMtGEDR1wKm6CMeaIINvSR3taSmKU/H/p37w8FA89e7HaLkfvHQ0eeq63YduQhI9ljSzGsi1lm
TME6MEwWww6JpSjfOrH982HR9P369Vt4PbnYRdSEh+OnO6sKg03z0Eq06pV8q9HIEWpk4h4LFoqu
J6gasP1Ci1EAHnaA5cAfcHgEmbb2CEfGfdpI+Wwns0MxelbZRnbBne2Vg7ehVj1eRdJPd0AmCZno
9LCzMEo9pKaNmnzB+z9OeaiJRgiyM6yUYB3WzSdWxuy3IDkWLCYPMLHZvy66EiOyiDMzguSaIvcS
xUa6n5/K+uzLPjsmZhGczXD2X4wygLaQeFNCHIjhn8lpmdaENKhtYngsz+Oy50Vd4ILkRvekwpfz
Ey6CYoM+3l5nQfvmo+8+ibSkT2kQ/KWCudy7NqmGud096Wpy70bRW9Tmg2JbU/w+uqUJp6K33J2i
e7kKdGNdh2YOBA5jEf4TPdw7QccvycPuKpgxR9agLXC1Tsq6FpSKDnXGsBvXfXInsmF8izo2QwPw
EEVIiuY1IM9ib6Tz17HyxcekYSW7wQozP/kjzHL2JtZXKRfKjafc7ptB5z5Z0wzvniM7DROiAVEC
D4PJL1puMADV63qCZbUqEa2taZ36m7IRHemrgnwABBHlVoAvRRpEYAu6AswcfZEZlyx2v3bKcFfj
1PVfslk/ubP9Naoi70XbXryG85V+7HKdkeDYckvQRVh7WnNf4eDJiPBdOG1Zy4iRwQ0moBIq1XNv
8vtKzXlkOshPZeSpZzSYwFh1G5zLsCeurRzF1kEhCk91TO7Gws6I9yFxNJKN3OGnM3Hn2mR8M+HE
60hMYhtq2qj4hUmCoLduk2vncwB7Jvegzbo9bbUc6mM2POB46x+6RvDDMlqSWtm93BVod1YmXcET
slE2Dkbdb+kbuzdhxO1EFAXbq5SNvbFZNl26McqyY2b7JT6ilpBzza5LrHsprHsa4vHdhJzkIasQ
0gKShJtG5wCCaxybe8uV4rNAnAlTCnzHxR6jWqxhbAXkelpVT+aNcG9wI9mbKZ6Q6Myxe5oa2SIs
CKx7YiyHox81/q0wHHILm8S5DawyvqKx+yzKdr7rEKWwu0VDfOiT1rePrcS9T8e20Os8TcTnjj3o
KmpGekuOQfZhDS/4m0sT/psRk4Wu2J+dZWBFn5PItLZx38I8g5pksnGjaSXqaLkfwsz9DULdL0Wr
uJNq0GRXxY0JQYgUyJLC6xV1fffRZKewFRP5QRzMs/YhVKM9Ccfjx9AWw6cKn/CdWYKJAo1Y+Bu3
1ymijZS0qBLH+puVq+7Uln156R09vkoMh9dVH0c3uHCcxyKCtI4TJDQAXVneebTj6dYZwFnFjQxv
6etUr0jpxjs5LR3+LOkuWrX+laWByKg28s55g6/SagG0UwL0H5rJgQk2TzOFFwNzmWdiAV+19DSx
xdiiu5P0YSA7mSIPVhWGhE0aOvVuEKP5zU19kmfBuyYPLTFSX7zZVwdrYBDKMVDueTW8jaaKTLGx
UfuupvG/UU2qNiwo3W1vuu25GH0KZ0ndJo+zXVJCJsGD3+mJxN9kUSDW8GvmE2cbP9oYZE7kOLdn
LyPGtPDAyq/h0Jvsd8ssOgJl9HY1YYPAxGMM3Sqqd2hm621jxsZeJjnuqsp3eCdC3MwUPpYwnEnK
Iw31gstowWsJRBzbQCwCD9ssovWAG4jibc0Cx67QSVUsAj6PbdcxjA05WEQ33CeZOa0RGraf0jQC
1oti8MC2dPgamMSPgaD2zmDsqv1Yp/gSQyNr0GTV1ucuqHB5FVEqvima/M+ToniAdjs/vf+4XUHY
KhNkg5MGCoggIRhvxjnDCAyPeksKWj1teYffS7nQAa0Y29L7IdO5waWEdWlY9xNh4Sun6MzPed6p
D4Emk2bwEn7UlTA03s2vsL2ytQ0I7t6ttHjJ3KR+HtKy3L9bfD1vFtt0Bt9FSaAEU4VIztR9fvLr
/hWlbHdEcw7bI+4zb0P2FmgpcFgMnnK4RJ3J7Xt3cqIISa/9XA/X9CXjaDVZtT7URjTZq7CBlYdT
gvhxEwjuKVMWTq6gZtu9gdE5ExDTcMKmxoAWpbn/YGllfuzUMJOUpHh0zWKv9JoQi9m4WEfnpuew
aQ60VGOrXFmyJ51tMV02qY/wzdA8+tDBjlUHuBj7wkm+RASonPIi8x9K6XtnYdUREVMEpNktQEW+
fiNEquPJo9MY+fMYkTVZYf1+WKxzW2+xXIcdIsQ4J4cI2/l8UBFhRO+i9tEPDDBmmLPqSKH2IBDs
1pGTizwMERC2ivlEWyQ/zbzR68B0u23pmtXXjDn8aCtTParcn595keJbPzHimy7ro4dqAT37ror2
qWyqfYjs+GPHXrSjCWOLqwIQ5rRWZRXtbWEQqdDh6JsNc/g6kILzVAaNWM8dcbObJa7r+3PKOy2+
TURQb7XrjDvz3Y+QFmQliZxBBiD6KaPTCVlTpy9Vr8K7CCUzKsfe++D0k/thkIb7IfOa6cJM5e+S
NjE2E5TgjdG4yQHxH8n2sSHvkQvB8kUztqW/oi/vd73zsHuAAQtBy1FKrKqaiU9lZ0/WFunRmOSq
nhp4zYu409S3zkGbVFtMMN2xnDqHyn4JHF6aZNqLIJpOvT0VN0ht4yMi4imHjoFdfQ4tZBuGSwuf
UsN5prhzAVEvtmURQMV2qc2vsPfmNyb4rSPh1v7HSIhh32H88yj5MRmaMO6ex7mFf6XIHljaJECU
0R6szSlPGAIt6z4x0s8yn7CaJ+10hGBW3QSgijfoGCgkTZjin02NLHdVEQ6/nftJ7QILJX0RTRn9
jyC7ocRn7HrHzk9uX5L2jkri1gpGYytko2/aQDF1B4D89gGSHzIE5zLINzYebujb4AW3zE3DMZIx
ibzCVc01idYVQuygqh/7Wle7ngGHNVAVqDOS8O6mjeG7SQSc6xjDwvU0Ws2pFf64c2w89bSHKuPx
O1WEnhQrZhcIXDEwbJjvpuHOa4gCVKmXEbBG0FjbLCZoqyqeF33utmygyztRan02Y4jzbkniHphu
3K1RiCNdpwAbDJcoOAqU3Ta1PPs063G+k3kQnPzRnbZhN0kK5faAhH4amnZVRv6gKeDVjHSo+OY7
09d884ZDTMla8D8eXYPAi1UkkuGq74xsLfjRWyIY6ZtgUhMHRetin6JHh+Ek/P0ILGy5opsg0bCS
ImAemLpxFvdp+WDrXJI3nFXbuUmMPXv7TqIPmexPUzURRW5X7YNDBwP5RmqcYzHc9g0Z8tQbk/WY
GV/DFkm85VYfoTtYlMcnccVlwOU24erCTFVyF4Zy3BK3aO+FSAeku6I7UxuX/RqxTbBlhZicmtmj
TJtMt5DtiW9VfvkWVMabmr0bbStnZ2vQ7Kzb2iNBA/aKFJPHsU7mtQyN+MBotedGDGvLdKtNLNje
RXn4EWazhH3k1DWtUHi+4RjHq5w06I0Zdsax8hp6mkHD9VYN0MZVT6YPI3Z1rRsYU2jdwDXE1dZP
CbRcEYbc7+c5Sz7FpHrDykIkB/FbD1tAt/VDA3IH2UFsIiQu7eScZH5zW1U54mmwhStm9fJFGU3/
1gyB/xBY0tWbIgQ02w/TfLLTKMeFnPQHI8k9DXW3dVFgyvkWUqx8INCAVL6yD6a11pKUtdn3tzqQ
Yi0A/O4L2oG7oc2pxplFeoozC02J1cHMAFp6tiIDjnVeeBGCsDp2SE4Oe53nZ1V9ZnlvvUDaCa+t
iH7QWtpefTe0GQVju+5HlD2IYvEURPvMSNSuC3s+xbI06ZVERoJWR/IUN1p4n93EbYHvJfN041pd
dlcRNrcjwV2++JL1FcL7xL5MJKqjrUmCEyrz6gNmKlOs2qp3ns1lhvStEtJXEiYw4Kv+nKShe53g
NPhAIrIHFrIdT4UXD+fRmPK3zs1AZyTIQld134nbIWjKL6UKzPXgW+6rUllt84k0wcnKbfdKduzA
fUidDs2HymWvq8h+m8j7eHKqoNzmAnXw0h9LLrUxfc2HIPxo1wFhLtEckt1EsImnimydDeW0Yo03
MxXCzOhXPX2RjT9JRrKsyA5ZA8EfBavJ42W2PU3sKkhScUgSsNC1qGbeqLR8JAqPDmNHQYtRfkXN
Fj9VhEA3t5oP0smcTe6Tnbky3QDumcfKGLi6Xz7WeVlfdXNhH6UULKWw3E8iRrGaN2EP5FgRc3Ng
u+QbX6euoFs4Su9o9X743Bm0hdl3hnt2MSOwsVQ8FY7RXTEpFrcsFbNXbTn1U9aCOW36Rgf7xvAm
a5UKRJ37oV6aFDQWbTZTXXUHTm6s1qpO9adc+kgiejmSz273X+MxHNGbh9YVJorq7LCyfasamhGE
M6mNb+SXuR4wvSjHKPZdjoZu5FFdoeQfIXW2TXehEBhfMhZDBNcWmUJr7LXXMib1VAEzvuf7/4IH
D34bcxp94QDEJJHW84nWSn+bmxQZ3LhInjUtICauwNoSiSLuFK6mz5TBPrnYbz65k36YEXu4u8BP
oN9Xo7XPiELad43hrPnUigeofeQfJUkr7z2zUOVa+IrIj97czcPQrzzeeFAUtbtPEj+4Aho7MbjI
PjgmtGUOtCjjz94E4BYpd037xYh3YayDR7Y6zCdxVH4SUA02TRx9cLU7ns3Gsvf8FpuGWds9EKsO
ZjqUNwNFrc/xLIbdsJCduW9Tdh1F87gfJGRk6Nnhvl2EctRXuCn4eD4EQ+I+pkMtd1mf8sHKKFmN
FWuqKfGjnWd4wEQT+5Y9yDMDcn6jm9k/kUmPinvs/G1TVOK1XjR+hRxDyoROdvFRJBAiQJ75ypas
brXyEL8NY3VfzSpmhWtQby67I4lZ5Z1IDf82IFRl42e+fbGSwflmxVUFhXiEN96n8UlUSX9TeTq5
Krzce3DJa6zwCc7C6F+yykA7mKNvY7jdDo3TwLvUJoa93j9gKCFCvMvr/TQ4xUPHiEvztIIhTzDF
Xhb9Y9zTYNRkyOHoIZQA9eonIGDBIYsTZiwWgicGUuNQOtFwxVIuOI3QOC4qbnPWvyT19l0GBbzo
ms9OmwEcCzvI94g3k/xzTTCviZitF2c01tmGagmSR7jEj71t6GltIFCKLpDNYpvE67ZFcCPrxtu1
FWVk2N4yulSTLB6rkmQdooWifZKqeNNQwnr0bfWVxIx+Zc4sVWTryJM5j2+Bx67BK2wAxp7HJqkd
QBBaeUbCcWSRUWAdDNwaJ75/72NQ+s9lzNrYFXV8YFVYbCh3vCmIThu6pmKNDukWEAYgUe2/BmxB
cCNcedK8Yw1F9lVAmcjoQ+vNjYrx7C5hpX4LYMHMK3kTC+swEP/yLcEyfuuZhn2ndPSt1a7xHPPp
Pdl4+JKNp+oWhpbUSziAtWiBvHpvRrpHgt9WG79bkmQqKgB/LoT+WgWF2YSkDG0YpVBAkj/WXx1F
1kSQUn8NWtAjVjk8YVmbD7HP7jYKKOT/+XC/60w4NFvgjEH1tH423sayNS0jnDgcSs3H1m737AD0
thWB+Zd2i7VUjn+unBNqaGME9ei4/GzLjOb5n6K2P/fjm3ov0k+i/6I7ivQG+iWEWr6598PZfE3E
sqMcqcf9+XJ/V71HXgcNwHUQ7//SPQicjnxME6FwELt3Hqof4gWok/75KL+7qTzCpYaNS8V+r3T/
qxvnwkXp3ZIezHs7BAMk9cho0ivLzZq/PL/fXZCL2jB0QSjSYlxO5V+HynVfDRPZUbhgWjKgxvoT
7Lu/EBz+doyfujup19k+X6s8WHaHOFDu3bD8Dhr5Hxtkv305eP8gXPAqeuggf7yOKMrCUdqdPDRM
YNdxb9onu0ZFPg9j+jExaLW01bBonqi1NthKjqFABfjnx/brpwcrAkUnFCkzYv/yUwPCRfLsLD70
Q4x7Bk9M56+JuWuvCiNrj3kTVZs/H+/X+8rxUIgSsenZv6Ia2iVTYyJm6lDiET+7/nSHbib4y3jy
67vo0ENHn0J9x/41MgSHVYf0pWiJUEOkopo6XdfNcBVkFDT/fDm/ORIXsUSq+Jbn4FD+6RGqNJ2n
KawPDG2EnRvqjIjysZHZ85+P85vHZAUugEmeFSPXu/D1X6+835S5E8mghrVvbmXxaoTFOsuJsAOZ
9ucj2b82G+E3/etQPzUb2aj6ovQ5VA8Pf+MCll3SAb4L5votgVDz0+TRmEbyK+SmdYEJmLIVLxBF
jS2B5wST0QLaA89QVOkdqmClO+cnjxCUU+egzY1JAL0WmP3u3bZyCOCiZMziqtsWNgrOUzBAyBrr
njIWkUxYYig7rEY/nf9yoT/zsui808qkuI9TAsqM93PXryhmw4nIYz/MKuk+RGVlXqwhvJ98P30t
icU84TWkifL/2Du35baxbMv+yol+RwaAjetDvxAgCVIyqatl+wUhWzbu1437b51P6B/rAVXmiTSt
sjr7uSoisyKzSoYIAnuvvdacY+bh5xYz0c5GzMngyjpYVkGQC+MZrakzT+8fi5DqqLNir6wK6FMO
xE1Ol0WVNWCCR5oOibA3YZsKfUUrDZt20O2jkiq9NxmVgYlggXneObrHdVKfc7x9nRloGdLMDdE8
VbHvRqO32NGE1A/XKndLVygeF6l+tUNQlb9/At541vA1aCg42LPY99dp6d+etbAYGsawM/clVeT1
oLniwLc+BVHaEjmPrHgMfn/BXye/ELwg/JgGeGPc/heT36aCDzWShxO4TgfyJCG+qUHoeW2JutuH
TtRdx/RfHmB2RO8ABt54fRlrq3AL0eL8Kr5oo3lQ4t4qA86686cBxd0XsI94gDQr/f6PPyRTXlYj
Djz8dTlDZzhC0Tn3ALmHltbosJpAaQcjZsWWfcAoAWJLMmWbMU7Rufv9xd/4nNRVArCQiUSCYfPP
X6mNVo+zZ1liqsUx14xQw6aIeW86t+/sJ79eCTYH75ONwgirwCX/h4OgjCCn5QGRzk/zDL5Xh1LK
WyTEP35MKTcQTCGMQoahWhefqZZVRap6nzNcJOlosei+iPQ8jqYF8tp6+ac30IAVgR0RxhCjpF9K
xiSvS4PEI9xChQiUei4rBgk0dmUuMvnOPfz1BeRilDaUBsRh65eJVw0D4tjCNBMsivEQC+WpWZyX
dBIP0Wi9U4Os7/LP9SmXQp9j8dFY8y/hO7jlk7lUmMYSa7UVNEzcCsKpnQ/LZimHI72K96rRt6/o
Uoq6qwDuEsGjEKrgVOsVG2044il7rvDciRY5bE/MBqJ0/R3wzVtPJIU3EneqDq643u2/LWem5NzR
hXYWKH1/nPMhMIzsnFjqO5f5tbAxVBN6qAFYiOrjUlmF43FKEv7oYFB05UGxS+NQT+yIv38Of10q
uQr+Ko2VWSWU4OKhnxR9KvEmZ0ErONZy3PPytP9hl9Yt6XhM1XCeYK94Z5W8QAet0hyuysIBmoqw
YOvyVQuLpXPRv2SBa2JJGQkuZ6+rSdqYXEZ1C7CKDYAd0KBKRXqZZy8uiAep2vtuaqJDzjBpN1IW
LbPZ3Ll9lhHySmToa1nQVLp5hTbGenT10QpgGZrv/PZvfjGOux5+8AYZl18Mc8k4p72ZB7Soym06
Q2NWJpodv/9i3nzK0FUSd+Lqa4L9z09ZYTRsI1GVB4Si5NAHhkDNMADa3XtVyxsvLIwualvWIYLL
Lh4A8KGirJuShWiqBdPsMD5Mljrtfv9p3lqB4NCjR3Q4lHPvfv40S6rqU9QrGQoCMkIHm21qMkFT
EvP5dUiNf15Fc2ZEJsqWAZlLvTyh4vy1BlQXGWfH8GW9d21i3RZt+PT7T/XWywMX1YK8j5ANwP3P
n4rklhLSKS9PnpjOTTZr9NlD84WOa7VrI9P5NuZ1ekDFIt/Zqt5a81DEgqdj8/310EP/RI0FGYow
O/RzVyrPSwr0Nv2I0fie5fqdq731wHPsIQnA4GT5i1qQRFV0ZLXMAkIEsz059/btqKfv5jK+9Yxw
E22d7Uggc75YV90eNADhqVng9KP6MYnVaqegON6EAHVzGvT2+JhqTkW+Vzecm7nMTmZui33sIOxa
5hr0eJTWvtaQJJ2PDkPZnqird3ZS7c07b68MSejycPUuvvI2lKo5FgW7zWTQK+yaZ61zK2I/HHlI
bOepn+hO2HVMJ7OE5pqNAyxVYrVixrqLVXcYWQrjQBfJ3VgkBmzcmM/x+6fyjfvIYIsS1LYFeWaX
G2Ju8ztAja8CUude6kXrdmqNoirMGWLPz7+/1hu3Q3sVGpqrYpWq++c3QNdm4PtwNYIl1F5UGg5+
YarPwHbLwMZ/tkUz3L1TYbzx0uF50CwqGnasX/TNQ5vPUwvJPxhT81OcRIqnm0lOMxOfLyyN5rFp
x8ZnJDsE//yzahpyTjpSFIiXK6WhuGiOHFkFnNVO5KdgIWzzW2TJEdHB0UesyNE7T9tb3yQlG20A
XeP0e4kY5V0ZO2mAJVbUCLiANjCaLEV3OwKeCAqLg/TvP+Ebew4fkBpqNb1SLF68gUXYkvRZcWun
IULCbZC6CN698QWyuP+fSwGXJlOQgtG53ERr7EldUXJE09yqvAGzsMB06KyrpNe0d5avt55RwHI8
ngbLyi864AFdTLnQGQhk0T/0cfXdNJsHYNTtJomaWwfS2j8+HLGAYboAuqmjI798AbWJhrsulzJY
Vo63Cnu47VuSpi3rnQu9sTCjLVZNAfXRwMaxfp9/q0TrZUQGEnIEzCPzKZqg3y/NwzuPhODPuCjo
f7rGxTPhKmmWGuSjBqh6NRKRkvooTWne6T30OAJZiMiLAEeYY1v7K6PmsRpbG8UAA5veaTOaf72y
bcuEcQ9JS1tFaNqW9O08SETXHhfDiG91N5q8cga1HtZquS8gg0FkcmYPLVx4iE0iIBYVsISptQj2
UmZ4d4sLS10tNdLxqkK2e3VoQjzA6MfOaa5SHVYEqpRZ0p5jAKh7rZUzQHp0WoOIiw+D0g4BJMAH
YBTS4w5nu4JeER5q1EIBCqViU41keYd9bKIYzMbryhBg7YHJ7H5/e996NtnFbY3nRDCnuFg/CTFo
utni2UQr+NxM3TOonLMhlJ0oqm2ojH8muP3bFvFbbzg1N8Ue7ftf2ahmPJc4e+cyIMVq7Tmd8Igd
xq58p3j9teVn0CuFFkNtQpvOvfhYxpTFosVjHqAkva0h2yMccr412SOTqA9Mpb3e1L9EbfnOkUm8
fV26tNxRDteXBZlbF02BjZqeSDUvn+JJxSXUGsotanc13zI454zTmEW4hTPa+DkgHSZcJQt5ow8H
cHzYSUflIFQSIbTOKL0QdRgPXL3H+MEYy02/mtrAQR2iiUdmfOS7nYYff7AXHwjXvZ4Z0nMWs9lk
XWrA1FtqAIX8Pj7IkO8Iv7Wb1Fm9sRCidzi6+PcAVrxYdunWVmz9YyPM976Kt75xi2hNOIK0GYS2
3rK/rRGJKs2izIYyULvnGe/QZh5J+dK64Z0F/a216G/XuSyMhnoAA++SD+eYuQoZyuqBOcbb378u
b22IAI05rerM236hd6oNoTuN0ZYBQycA8sRTcBh/qrIYYa2c3zGdvXmxlflA4Yu77fIQYbUsRmXO
u6LEVsFJdNkPRr1DBoagsnsPc/3WQmDR9me3wLL3S/Gbw0C0UqQUQZu2t7q0cWuG81OVt9+7BPNW
bL1zJ7W3ngubUxIHWLxUMLZ/fi4WWefcX+q0dMpjrB66dnSWdjzo9OLByIF5M+qm82CdirtEDeNg
jlA2R1VSfnAiJ9u5lTE/2vgC0GiHkbG88zi9+euxINJGon9LCM/Pvx7IA6lkMWXO2NTfhRt9jPXh
PhcMk3//RL15HZsIBSpKa/XN/HwdOSgzTDKrCDiJ1nRzuudyVsg579t3NtK3ylaaU7jX1PVv9sV7
KEYXGTcCrKBDOB5LdG5jedtW5jF1tHNeNQ9F7r7TqHjrAf7bJS8L1nQxcoQ6ahEo47SP+uo7Ufco
XK1jWw3vnDnEW88vJ1KGZJSPnIUvzkXd6AANmOyCZUafv3Rx/YNgbcsbYMF5tG8jT6mVxCtYkbdJ
swqOFW2VZ7Uof9xBPhk0VZ7CxpFBryNbxtqC2SDu2vtocSvfKQFTgAZwdpM9Oh8dk1UTi7RENaHI
yV+ytbVZ6T/UUUfTToD8VKtf0qo/4Umstx0lX+IM46aYRbIFS6Df1ygv2ex1852n6a274K5OXVoc
PLeXA9g8r6UsESkHS70clm7RNp1qPJm1eUXP9KlL5vGdC771Fa/2DByDNs3Wy9tepwCHoWIWQdK4
CuKYnqy1hdOvL4Cs4t9fham/f2He+Ijs66vb2MWI88vp0rVmp+h0kQcZDK5t3M7WhzKmQpvTSj6l
YPECdEhff3/NV73GRRGK9oZMLpjNtO4u9/UIegqT2bwIrGJxvXjsrXsjJh68FLN5FVd5/rEGkwwb
DsnWq075NX6u6Alf6tAS7ZVxRDL7zi+lsTRc/lJrdcPhhzPTL2dfyGNLDdODpWMJ0bOJyNihShM7
GULcc4lS2PCkIJ8y860btTEoB5khvzb+dNX/25pOvLGGrb5w5Bgrjt24bBWqSCOsoksKfMupYDSy
ipsTkS+3CCxL84qvyz6QWm5e4bMAxJrTRNYUWAoQAuPhZhSjupvnUP0UGxTe5PeonyiLyasbeaSw
TZAyPrnmHl3u9xlFJkv2sDWsNN4iGDRIDi9X+nVjb6e4t30nutKrTNxnopzOvLY4UWBKLE+x07vH
XLU/q/2cvXMwf+vzMwHDg26vE/rLxhHttjSXneDz59l0H+PPJXl1Sp4STYl3v//S37oU6ku0BrjR
2TYudk2GTk1TrNuSW4nYrxtntfSQOAmcPo+efn+t1+/t8gFbu7+C0yvb4OXxv1SsvIfkyOFgMENn
0zEwxvGxGNo+rAmELu1cu9IqNbzpJn086boS3eqdQjadyOt9XZJw+PoL/Qdz9h6+AbIBy+D/oAR+
xZxVI32z768oiMPL//5fNJ7XH/iT3uCqf/BY2rybPwHOXOsPC+kteyZ2O4ap62TzL8CZ+MNkJOOs
sx965a+P2V8ZNuofwlqRaTS1UW2sP/VPAGeXJyYaMAgVWMUEFZDOIrYe//92PJiLrhtKO3GOalNM
V0oqa3/M9Oxu4gT/UpTDchjDzsBoitQaQescZichivYz5jMJJ8eWyo0W2SotsHoebgBBhB+zBTrL
VZNM07e4S9LoUDWiQZuOsFvxGiyPu14L3W045fbH2ezGWzYtTBbtXOT4IjggvQzDbF4PTe98jKeK
oEqSFZxi0zEkmf2yIuu4AzwUu0ZyGMwh36axaHrqAdfkzF8I64VCJf9eAlWM0GScUlLm2Xsb4y5D
T7r4PejkH51YinOkDB8ywLFgSkm1/LyEonk2CH58mqKm8PRZxj8UIYBQupHZNJt2sm9qa3Ahts1C
AmqJpg+LDRkXgaMx/7ALRbmtynQcNvaAhpS5XXiwGE9amwjxY7IZKwEOP6ahQrdy0fCIsis9c0ak
gWOFcmsOYfxZYyOZPOEUzl6iNbE3bmHl97MWx2eATwez6hFzJqAU95RGzhEB1rBXK2Y3/lIUWLri
CIL6Usa5vZnnGI97hcFxoUMJpMonOMh9mTV1wgrstIjj43zor8D4dJ4eZs2xD7N0VZFaC4L/ysKQ
MblXa5IYB2NIRBvVrZ0TcHAXbhNDnLvBLhB6kesVZBDggciFTue5CSdBz6Dbfd/kY3fUbEfxKn3i
5rg5XhylLvOzZiOO3DjRkjI6navei0x7+MQxfd7Ay+6cKy2u0DNjIEDXGEa2e2RiH3Z+VOAjyimy
zkiGWy+Zkob8OKtusNlMMeLUBE9plzKH3ljxFN04Xf1D8qf0FKZLk/hMFKofY5QB/xckdoy4o5fu
W9lCjQrIOMw/hnTPDwRyNluyJlMImqU1PNfwWm7o+A5+VZfmDgsFPa5UNGKHeQ5u3pRo43npZJR+
xCcdTgMGNCep8q22kJi2t7UhuWNgGd8Uujtr+Qvfrj4a0IfbhHtLkF2MMIbIx7lKTqplF+EpwsEK
4h/TwurV+jyaIwGLs6Y/Rg7XCGXjp/lyb0iCU8aS2CSv0zQO+SHY2J1Shfg/eUO9gdHicQbJvZNF
VvB644AhfNYjjXjcYKvHG+ka1VaqdeE1nRbu0jgDC253xIhOLqVEJKCZZ9qV3rl4zFUUvFNl3IGC
QXmtmtdLbYTerLbqlsJ+Dqyp4b73E1zvzWDMoV86LU8gDH/1pKyBFL6UvfAEpJUdUejdUS9apE90
9A5icsfrXiyJPzYFkaNm33ebqliaK0s2/VFP++Ju1kqjJKvdMvdWWnZ3iitvl5gXM6vSH2DIH8lw
3li5k5HAUhl+alkxEXqpfFB6PT+RWWh7siS9PZlM7b41MlYtpwCv5UqDKHUQCF6Y6fEmHSPHG3Sj
Aw+R3Qij/Ogabe5FCy+2Uokg7aI7yyrjbcHBxgsbtFppog7mBnygE7SLRbZGZq13uxofmGLEvjrM
7sGujGWLDXrYO4SH3FmrVIflKdvOBq4MGwUc0xIXRFhkyP4DjFd120zpdD0X5vIkcsNA0I3rLM6Q
VU4MmI428OQHxCz9VT1aOcLmSLKmQJlirUzMUPmmkjkAozKLljOGbu5cGaU3C7Ts71kEX6yi+RoQ
DJVej5oCByOS0bQL9QXEc7naX4mg9XAaNcCEh2Rvt4VzlbX6My2FGY1dMuwm5vgbYA64OOUAHkBw
U3DzxxAvF1FC/Ity7rYuUl5UGFrut4TgFe65GOi0JSiWSbNQyuvEjOU5lc74Mqgmh5gyW+DI6epW
xXxFTW/3O2D5xSdgcg65AxFBuxFf/6fUMXe62SsnM5vKswbG3p/R/z/orp7/kLPRfba1yLi3m6m8
bZo42s5ao+7y2ug/DEvnHFLVkGAeAFNuEUdglka70t8nhqiOTizFs5A80hR84/WkN3Q9tFoGEzb3
s5Rm5uE/6nmrxvk+0grL4SSqJSccKIDVYO1dSzMPAzU2U29IZebjnmbJzKOz5so0gB2ckBDe284m
GxwbbLCIfJF2kC7DLl6Ac9TxroD4ecI3D9oW82RMKK8pv0DvSrLNogzJtT5kMpB6iMNs0aavRddn
HjmmywP2PN2DgGC3kFwQrG7sRj420ahfL3E4Xi8oBqNNbqnrdK6J70yr1+5JPNZ3S8X8dMbzPXsQ
geOnuqnljVjWMCZZYfVgYWoCdvTpOc6a/EHEBsHpvaVN23EUmYeGZcE10HdHs+1uO7ye6So11rru
k9pYK5tsRg+XqZ9mJaLvVOFYS54g4YQMYLrK6tmJMhV01FLFg74pRV9se81q/FkAyd7W6rS8ON1g
bbHoQjFsE5ZghuCwB9p2DDdRPPf7US0gNpNNiiM62vKQhvgDZe73NPJuxQoCBYNx7COl9hur/VN1
8J/6+L36GCAth+N/Xx9fPZfyWf5UIf/rR/6qkI0/UCGzVDGRoHWir03qv0IeVR1WGUoympGORq+S
AvWvKpke01/YXwBpHMtQr+iM+FZhxD+pimEI/3y0pype5/uMQWmZI0m47Dc0YefkaTRZV4VeO5rH
IFbD1aeNvBxeL5Uapx5Y/BCoJ7klVXhCZM8W3GKDAfy4dDyV97T0VKU4SmkxCdkqy9QaYeDAmbG8
Xgycw+0mX+pTFtN4tnekARTGeOpUIB4TAF6b6sCQCv6YXYfv37oejEZ+y6LxtjMSWBGQomzPwGkG
Itx1551s8A3py3yvOAtm/6WLk9prXK1Umw3rYbrssUwD3S7xqaIDJrFEAWsvgU3ljdM3N6kSZveI
rt3PMl8E0EU2XY2XbEjrK6tsY3jAs/tJEZZRcYnZWrYT8qw15BAOA0ZlDO6iSpxz1pTW58a2R19x
q/FLMhjsOPBmdlU/mx79hnaFGusTe7uIFc60lVLvs6XID2mfx18sfGSfdCmg/WpV4n4DR/Itn+aT
A7g72QxZMR/4W/hh6C1xTsxEDXBzaFtMvcQZwTXi/yPc5rZPy5hA13lW/W6MBvLSattlpteTv5Ub
oYUkVjOHgGjC4obgBvmRgNzwgER5xNJrz7eu1OcjG+MKFE4oXAGsK0lAWErywvNg3qbZMIjtUOnK
GX+/s59Mi3iZatKg8nblQ7zYlOBOX92wxdreMEWIP1BJ6B8Mc9CflCqXK+9KF+fKiHrfrSmXC1Bd
B5IDl6u8M+fBT3r8qJpewiBYV8NRCaedGIEt5LRK0ZuEzfJFoR2zc8AW7KHULAeDIN9v0IaxHEqt
vl+weJ16pamuKyXqgRUtynyeeuxkmrabBqNbU57++m+wrcYQf1BMvcZQl6iFzRbdDK5RtscUBe5Y
Hum/jnnl213YpO4OiCRcTM0Z1c0wMkxftuRca+q3/3Qc/l+AkcSereaef7+ies9tlSfl83+9fM//
675v/762/vnDf66ttkPoLRodxH2QEy2djtZfhHXxBwomGg2rzeRf/8ufK6sw/0C6u0pCBW/0K0X9
f1ZalmO6UeYaKrpO4eiA/YP+g/k6Cf57jwsJKCpXY5XpWaDvLjvmEDxwE6bJKjlhjd26cSZGryxh
jsSEYO2sUjd6j7rVuXVJch42elImpxHWjT/kseP4reg1EqkS8WTJeL6pLL28H6QVfqFPOt3UC/72
wB4XM6jbNTSDMZB5RYYWz3FGJ8EjSBtDdqfAi6aYgHN57ZDBdMq0iki0nN3o2C9NTiCBm0QoVGZw
EV7Wc7L0lyEtf6AoIVkBCIexyxRpnAnvmm6yODQ8pZoGZQuwTBzbkOURirIJj1vBaRsfhoneycB5
6AOxU2FNKD3Y954ErOPIMebgTgljkilvhs9qwS/lN0XYfecqa61jlK7mofkAr+LUTQJ3zcrnrbvG
JU1habVeZnWEryfKaAYJnUx7KxYyHxK+cPBv5nQDzZnaCOJD+LJQAHJ60kb5VC8AqLyQ3+zJoNB8
Kkc1u+MMQpzHlMTnsQ/Lh1o61bmT7TBfwYWPTIBOOh7jMLbR6xJuDyRL1ZpKhVRcO7dTxu/VWDBk
NqkWciJVRRJyGAQLdrsA7vmiRdTzRJQicpiWVtX8EAlU6WM2rXa2U8gNWZcHjpL1OdMa9wZEbxJf
p5BQA8n92w1keEE4SwhSj+PxOu5dfTfFA1k0iVlW95rWOLcKATonklZJXUKeFRSQg5gjtdrDisg4
EGonjljvsYj0dnXO2mZQ7hejmLeWnWpHQ44jkSlZb/gJineJer7o+Mya2IkyAY60FM3ntq/0p1qd
DULqlsa0PDMiEo32urOFMUAYtEMk5u1URzHtGMO919skup0IEwDJPbU0a81BfNFDGM0bnjxT97tY
GZ+dJXOgXmjudV1jstz1sxodiacqk4AcyG459OCOZjJIeoXYrTV4YNShFgh1csp4I0Hyd+hmMpPk
OwzSdzQgzew65ox9U7Noi43WWtZjqc0AFaSijpHH+VKhHUPAFnoES2sXsY9ArrkhXB9c2vQEuBFY
MYlvcT43A54jpXMphuLaEiHfj8LZmFiavhm3tM2dXcQgSO8JpWsV2jGcddVD3jRz8qTX0uWAwH/Q
svH4fLLDSCEUspWenoUfiBIarpKhk09xU5zIGo2uCX+nEkhNhbqBw2RRGcqR0EO79G09Vx+xYyU7
PHOQwpkzQI2Zs51q8Y+dUPNDs0Qj8Vw6jR83rj7INMZCVXd3APhjHw+GbkErROZNZl08frQsJikB
r7fyUEYi3BOrsLTQCwD3e1SftZ+keuODdop2SgdG6oXThJ4Hs5rgSBl6vfdnbLhXiqOmh6pXTX92
yzvQgNddKsMDrFLpuU41HVch0daeknxrdDHEpWra49JVQOqw0uRh6zXhsichLN1Tfmibue7skwRR
AIo88u1o3Dtdan7UWrw9ad/3G9pb1Xl01DvYovpmaHG8K9KF1G000QZgds1SYUW7sJSeTM3ySi1r
+Z2uy0mlVfu5abMxQJGS39Pqcs7pUEnkV0z0jVwON1rPSAv0Tr4Zk3jeG9ZySuCH7XNDXXEIMt/N
WqZtJoWf0jLwQ0mLyd3PnOUzyVCmx+TuvNTth27MQq/W48HLRNXum7CER2Ap6gfQFZDEaZ1AZam+
uqy2+zLRnG0C929XtV3qwZGTDJH1hiEvzst8GGC+F4l2NefkKPV29KUCX4MCJ05Q5cylr7uwJHMY
hU9j2owBGQPdI00IhLDWqOyjdvrRtxYhfDHkxq59jTnUwy8iM8GVT2FsHKzUKNKNwpj70BOShZul
MBifNUm9c90W7laNEGJf90RqEkyQe5Oi2Ld9DRgloefipwVpmB0dHZ4Ka7FPs6RJRPm6JOnWaZLu
zoU/89FFiQQGETUSp5z4RDe3+VpWpEJuFgIsPtV2Xuy0Hs1nmOjODvCJu68WEi7rMVSfIB5hjhzg
+VfIfE+loxM+2GBhLkTh3AKnKT9Ia1IgqEUfbbrZqqe5NCwiuVjEk4awXfupy7SjOaXRtZvB9NtE
JRCHvEt624OjDuOmwSNJWxXCidkZFS0xTZxECGZlKeIVMFGTTmZXobO3a0iPBJ3nfltH/aYBPPix
q1X5xBNXNtSyY32livbOCtPqlpRY9STwmvqrOc8i0jm1DBhccH08sDBGoBM/shmkoRza0E6/C2kU
33sahb4VC/Kthi4cTfZBaz6WK5naS0nn9C0z0R6ruB/uYlg/L5PTR9vabZzrJtS/KG7/I6H79Ylp
Li75uVQ9aZiPpWEqH3in8FyKbNgMGuvcMjfhY9Qa+0mkX0Kr/+bopGQsFd3AJWQ8KpL500w7D0VX
pfu23T43BabOQajELk7ZttX0+nsU2gNZvgoMeQB8waD3ZeVxOjO2pMJoN7m02m0mx+y21KwTaWHl
dbG0/XZtes0bWjEJiQBxCxxDQoQ8kewRbutCvvRp/DBXPqUU9UWyCG0zoowPbJK0fTNU9YZOJotr
ZtISYiTikAvRyg3xeWIbl2HyrGfZg6JblS9A232JdTsJOLPZ31utvesH7QeESeRyoAZdxf5MCqTq
NyahX1Om2kd3JoOkVntjY4vmcxUt6Azc/jgS5cfaWde07ZqM6e9Af3Sai4MY6oM5k3uVWtpjMs7Z
dc4zvyHTRNtxEoXVlnaxV6vpvh0Q3lTdRN4ETCFtWVMVBtPr43R54SRtMOzpq/vQmRhqk06RbcJC
zD66rGFrWmAu51IWO0ytxaZVnG9hpH/Smij8rDamOOMNRTjCia3ROp4r81uhF9ohWXq5rTkhX9Ul
MbV9o3+3ixF4kvYinayJmRDlmHFLOQYOfbSNNCBDJQ0is8EhWYOKxb6DFRb5MTEWO5Xq8ayXdnjT
htWx5UtHtbXHvnCKZ2l4+Hp5RDUn8mdwW36rpdpJ1OnjlNXWXcjMfL8yRHv6CWV11xOhwumcszl9
LtOKCINmS79WGknrHDJelyb7tdhstPJc2R1EhNG9QhP3g6jfoNEL7G6Keg5HeSajnKTNTnKSZ1JR
F1/aHMjIIqeHESxOrXXnTilhurGe8gfDmOxC8i8IV6YG7NeIdl5z08mB4ZiCZjIEFcO8LuH4XltF
U3qx1RJlYdPGULJiuYFwl/1LvPSfZto7zTTd4GD1u6Pfuf0e/Z//Lv9+4vvzZ/488aHb/8OwsCai
m0N+i2/nf458OBf+MK1XyzAjajSNNNr+6qZZf7wqbFbCvq0KbT0o/jVz1uiuuShvVrE+8hvV/Sdn
PjjYF901Bs6mZVMy061jkH0pWsrIzMjG3k1u8KOL1PVQlExMV6PMOkPoMoxbw2qQ0FS5So1AAg7V
62YcEsvLwqEap1ODkppTV7ZKD7sk68RdTO2cT0+mMyiZ6llZCymTOUIQLaU63nRw5V6glI0qQy9Z
4otutZhASb0n8ocREVFC5KhUrhFti7hJj0Vaaj9EVDJOZKN2vio6eXuTBXvYzoDOV6x+tP/t/M7E
gc0Ytlp8QmzUc5Yl1apJsijJGr0t2MjzujU3izAUpJLKV2eyYgwySkp327VPoKYSFqMlvZ4AoB3s
wey/jGmvbw21dolcL634rrUdIlfoLc03AyQjly4foTxbUfOJNw4CJ2crm7z2gT3FV02Y7dg9Iq/D
2Ps1GYfuUQ5WnJ5MmliAxmr7nMCNHOlqTdRKOaRoD6IwJSjRB+6AmBaJ2r1tgvf0+SbmT+FclRtF
dQFcEf8V3SNYQGYvK2QAyJni4ZAQwnOFDWH6hDNAYy5nTOory3nrWmiIOA+mhbbD2AEdDiBP/TS3
E2LwqEkRSjMlPyqyhIdFSDltpyJcnLOTjXYPx9XgkUjBEpKgPMVy8VNTyta3cnv+zGihsW74JMSA
6dlQTJwZOZEnak/EuEp+aKGk8Q+7zdGnMcAKZGL0uzESlm82sI/6KrZvm8WYiClnOObrhLHf0gZo
j3NlkGFZNNqtYrrjthwK6xga9qysZDvrZQ2c9CdemhN+nYXJ2r8S4SPYjhpQJ6W+Nl5D49V/Jcij
Bh/Jk3dNQo2dLTfCqL1iiMv6xmCTqQ4LZa6xnornCBabk7Ck9oU06CEyqyfxtkQrTN68ZgiDHE7u
3m0vgVYx7Rns+4Lia/Rtounrj3k72EjXK6myx7jYMlqVACtPTNOKWNMjWR1TkO2EKnMMfSkae4ad
ndtQjnP4XMr1wO4hPXbY6iQZW18PZRdfWWE5PusIj2FUyBE2Xl3SfZ0Y9puA3nRE8wozJGTBgFIB
LagGuMdOm8niGiGfdoHaFvaujJLkBi+aRtJuM7CBVm0ILpma0SZCtZ4TQq3RaRIQS9jmcL0sSd/4
usJhmlShXviIygfNU18zHNPXPEfrNduxBRptf4AFOp7yNQYSpEfvxxHOBp44A/JjahMbmSt2clKq
KgeW9houuRqhW79YMyd1DhtQf7ETHw1V3i1Tl8JL7ZVvymuUJa13ukMOqgfz1FVCLjsME0W3i/q5
+jSFlQoZcs3LXBYK770R1m2551+uEbjo4bqAlWi+Nxp3qg46FjiyqfNct/a5GuvjwU5p94iqbn9w
6ns04fFds8fK5X7IwH4GYwbGkNp3nnynVrQrIaUKASTVb41y5H0MDTLGt+mr66an+w4nOt0vk3CO
Ka15irBRmabrSSOl1WaGuaBZaLO946AwybWIZNuE76qCor2kvr4Y4hb6gDrsRE9SkeWm+lWFlGYr
HKJFt0pSA6s14kl7qBcj8VWRcyDtMiNKv7aNnT6nlD+PJJoPn6U6De2WwbvBu2ZMUPTSRWwLzVL+
L3vn0Vy30bbpvzI1e7gQG8BiNsBJPIc5ieIGRckicgYaDfz6uUC9npFIf1LZ67dcZavKIpE6PH0/
dxjOOtzCw8Iase8TSR93J/6CjVgWUnAROKZoMMvDsqpMAF0AQcg1tl2nwYd5Lmy5UZzIQ7MX9OsB
2mMrqGQjMaLrLDQyQzlhfkps7mhf1BWOhviJRcW9QfDwo5yWTzZDGP/XHseVwK908yC8yb1Zjwub
eIhmYpWS9gytoqtvqwXeAyAMTlO1mtRtFRHoVJTmKIOyc0vjYupqfH2HRWR7r62tp3ZQT7FS2A4O
HJXIWkqjAuqA1Af6ojJT40W55hEvs9HflhlMJoLn0Y7cGEpGHaWxXcwLfupkCbg0im3s9KIjwWUT
HBsvN75TF/9bUP2uoKJ9SNPwf8bSL3D/fPmajP23YfipSQkkuv7kf8oq4f8B41lAfHagXRn6jyFM
b3w9Cw2s5xCB41gUcH+VVeYfkP4hcPJjAOdoSX4sq1Dn0rek0Sh8RHb/iMr3kZm6WqSgSTawV+Du
zJ+JfL41Y6bZaM2BhtBrUseQnr06ClKPoueHt3P9HZz/X3juXaPlGPr/87//7komsl46pBSXHzRr
BSQce1EGVzIxXaauem6A0oMpSsbwn1+Ja9CLRQGLt956Jz+QE+NBI7a7yRtM7EjtjEb9qpfgMqJd
Hv/xhXAsMzGl4HL6BzGMhEnr193SHOY+f82L/JV+32vGf//NZRwPNRZf/MM3ogrCGcpRzQFln78F
72mDHo+SMFfpv3h1jFU4w3BFcY94L+WNG720MURuSMwiLFTpI+fm2vTOuyr7zUOJn6t5xjRaQnSu
KLLol0NW/fkjUcR5KxbcHJJpyiHvzbdzrIjknh/Z0r3Nr9/gRxUNF7PoZWGuxBFn5cz+OCI0EgSZ
m3Vz8Nve27h9ScSOB65Qa+mL7oHup5j9B8ZM1MWvL/w3g57Dz2oP+CZAeD+9RFfDIaN2O9BzqWnI
tRbMJy1/xNXO+s38Wl/Yjy2xtxeKepJVwdWh1L2T0ixjNs4pAaT4y5DjU47NvM1MPbr7Fw/0w1VY
sn58kx5CAqmNBVfxFbENnXqUJV3eqvt3r+6HK71bmaa8TGpZcaWkGOeNUNnLApxMBfq76fVRCLG2
74gI43SJB9eHQd/g9EVW1pgfkrK0j6Psy9fawg03mIap10uYdbhyEnKbQdrPjOESKhyDBfjqqjEq
E+S6fClVXR3B/LzNbPJlOTNVZVjMo3OyceU+p1fZneei98FeQYODYYwcskMBgy1SYuqtDXfzDmdE
+4XGKu1Kn3/tabm4N3NkeFZAUYduOU2z5xQnWRqdBEhRMK+0w998Xv3jiMWrw/OYJa5PTLz7bqrA
AXW8sm5K1ANmvWl0jsZrJ4HM+7XDRVxmvTH8joMLpltU6ytsXRCJarV2dZR0svBtrAly8/BtCbu6
wns2ScvwrXZdQ/p2o5u/zlDez2IOJBeN23PuaJZewDep26Bu+CtzEpVbPZ/MEL6Gc3BVW94QjWp+
yl2zPnNIGH2mwJ83U6kcGlsk/tQzMQ4TZMBN7irCf/p5BJPPK+VtZBvbZ8OA5c6YF9UWUUt1h9u9
fcSSe/raRux4xiC4d3zDb+bMrk+T18sspDuZ1JAsC/0LnUCq35770ZBbvJQRD53LodnVftxcxeZS
b0DtaeJJYO4sMMbCV0FrAbwL0gh2rc7wyaClb7Su0cJS5+noAWLRj1du6A4MochloeXQiU083tDE
EChjhxiuHqDiGtbRLmFSYlRRnwx9QNdWYsXv+aUGvR4da5xI56RiI3uOvbp4FFOOtVpvNZ9bUZqf
Ip4d1GMy6ACU9rhwTzIC8HMbfwgta2bdU8KmN6HBVn0khtU5eVpf3mhaOjxHvBpM6NvmSozZq27w
TcdMmJ+IE3lV/RTdDWKpz6Z1m0j6nlYCh7p81xWEtLHOcbwmb0eoW/wu7TN2twGUsEz3Mmb+UBLR
hSYtozqmMbaggQ3v7jK2Gv8qE3H1Kgj6ujQIxNqD9SOFNrXJ84K3JaDoY/tI3o53ngheWZ7yEtDc
k91kJ3NYtk187y14kxPblubPPkkJhIBP9YZcoQxeMpkICzEZaysnrUy9uaBb0vi0CSL5lEQNxxfT
kL2Hi2KeLoEATTonX2/55OFCfK+qvHw13aQ+8ozzFvN1jv661x7szPAfa4Qb9xZRjVmIIbKDuzvU
nRy3lkTiY69K/7yDco8i3OQTAJ3msH9NmkIB9v4a7H7hP/Ztx7Sz9UULJTAtFjW+tx+sZjULx7Y6
ecS3J5b70auyFx/h4s6vmEf4ZBokh/uy2PcyUrdT58unpVvyPcaqA8YGWmemu4xIuWW7ZKDVQQc7
B9qzyo0v2GT1f5oLc4uzxGxsisnpH6Q7NJ/jjP6VOxfsJ6rmZruR1rfQ7XSmwZNqdO74Ek4S589t
bFZHsJ5q26neDPMuezW9xD+PDGEduRHge1zmNxo9rWmTlCK5JAhGwbUs1lQAvtBoUQYg9SjCxOu8
jZP40V0mO6ICkkYl36qGBn6VCwkbNBHLuW2MT00/yz2dXaJv/JGBsExehQ93+toTfEQ7iSiC3ij2
9Ly+DWPnbpJe3VWteRhq+WVM5vRYVsLcjlEjTpQF7k0yMimNitvSjUJeyKHzt3HOPIeEFQUm3apP
dHOXE0bUO5CVldutmiEspxxCcJ5CNbOGgkHNqgj3tWhQnYyZf2VRYO9ajVmfj8W8kehIAqunh7h0
rG7lNMg9OD/pxzbPbZbZSwqccuXhU0MmMRkylhwMJKn0GzM7so5qZEThRRo9j36EgU1Bb0dilLEF
CmAalV7rXw3V6vKsdUWHhoQ1JyFy7sYQHVnPevHiOCyUXcf6Qct6ZVUQJmTSFd5AEqiiwLFG7wam
Q3duALcio1irztHvWnCIciS6PmMRM8d6IyYuzdm2O7ztSngyT18TnAgQalREEvSEKGCduO3S4spq
CHJIJpK0kh5mRt+uZ4ya5mNhNAymqU3GNCgNm0YsbyeN/GlTQjDevq26U5J+HnLP+KZPrFZyHSOO
vhiXeTRA03Boq0t6sqxxVFWBpg0OCXXOricZKcS+3gwd9AH7dgCZkYuoH1LFG1rcqNoo3e04PxON
NvKFiWnXuw7rN1HdyyaOQk9U1TFaxvKmH1l7tJjVY/KZ9ICHvHO/HndWhmtDXMmUDqepf/GNcThJ
zaE2r0cwyb44gD/IfZagXS79mL5hl15ZqSWfIEj0V7NKhosoWz4RszJ9IvLa23iIOSDdGc5h8dNl
W0FouGqg+1wX+We3pZ2ZWslrHa+21kP6wHx+7KQeH0zMDIEtyzYcdAsvkLk3sX+b4z2L+xdEFGNg
umx6q/r2TEuT4pHAjOoIVuw/6qVn3Ke60axWU9PcfF9kSU6iV8c3gFSDm0UukEGwb1chltdqPCCC
trt9lfiBaSTNFAy9n6GHKgoWs4wDb8sQyfwyNGI9P6toHPqQCdzVXKUru80sWxgSRWOh87TidtDJ
M0PAQU6V+dDTbDtOrVUeaVXpTVhDND1aRQ8CayDCLjZRqzAWO82TqUp0Zjo45oUo3Sm6bc0JdFPP
MyJo7FSCC02ZDw08IDhNekdbjisOJkbLtejd+ihegwU3Y1j/WQIABEf0W0P7LDDSGAqR5zagkjMh
S1Q3DrKKXrGuz96qpwyHbhiuSdsmvSSzCQsK6ZhnqIaTzt4Q2GjIkrWnf/ZyPR+AhYq7KbMUmR6G
oK7koGFDBnBneayKLN+kjf7F9sZDk1FiajPx7rSYk52JwmnDwiFvHPLqLwyr0rLN4Jb0om1oPMxT
0wrqjIy0sfBoVLY446k2esnh8BDcaeZEtKFqJ9fLeKJJrC5H9mg4FzExnJVtjlroF9ZyyXSNv8aF
iw1dbtBELFzlU2Zr2hmKF93buXHJ+mYLlm87pjrh5EgvYLJxJtg0PPAhR25aht7syP2vq9GPUlaf
vdPjOONjdboSFH8+bfQLQYdjrxeHlg0UTHqSFzhp6y79ZuoEehDp5YznBGqRhboi97v6xIR3ToNV
ximBKL87tKLG/PmMtd4PaAkGeivD+72O140JE/RYQg9daRBZOZ+6nDV1ctOXqhhvo5lt7tdv4MMp
maMJbmVcCbHnylV/9wJs6ZRwsYqDbCnCKnL32KDYjiu6TCcNSd13re7/KAr/6O+xXtB1VnMANJ4f
3MqqjgLHFvnqm0vc4RqrU2/SHuR0k3HMGbBoh4LAyUfQxLp+23YmEsfEHoDa2CVGoSGGKpwXAqTk
XpHX95vzibGeYn865XJ/ILsG7oyrrOm9SVY8kpjBip0fBkyjAkfr62CAixJOlv3UpiRyaJRKMNIS
c+d0vhPi3/xPnS9h+eNUgQEpR0Y+zbtPgu/SJDCCSA8+5+29o8X1qbGn3w39D4gFVwGowCwZD3RU
wO+OYWM6ykhUdXpACWoFAhNMnE7FELamT20tcgLB5oyCOckp9H495syP75ht2VrxH0zrPprJQ8yy
scubsHLppziCOl775xoN1WfAcufU15MzX/m0uh4re37M/bl91Rpn2g6zRPo11FWSrmsMlP22GD1r
Gw8NJZQND5Ca0z/P6qr/s42MaDjTIlzwviMu/8Wrf4dXYzHIIPkFXp1+xdbw5WcGwPcf+g9U7Zl/
4ALBOkMXH6MJuN3/jwGAGJ2kCzrm8GRxrviJAeD9ge0fRgMCCxMdIJm7+P8MAMJLMSNeoUsmDQkZ
/4D1/d5EE2QLIiJieNBCjOu+h1j/gOu2SkM9V/TGqWpsSXNMxmWqDp3D4ThK9Aq3pTqZibbKVmIp
ZR7Wx6qZk6bDLKZxXtxUVqaxIRF4LQmcDP4KZFIbZcQpNls6Sn5UMbfaqodF8MOb/hvs+90ybrIn
gEOv1i4sHNDf381mrx8n+JlLdyI9Q90aSaWFDqXJ+Sxd/ZIgMk6Dv74gm9HPCyWXxAB93afA9QVf
8x2+qqWF1WiIvk9C+Of14BLwVyDhEHts+eJWJzhbaw9GpzefIeT6rQpHW7r2wRcsPDsnXnuJkZty
iF4ktu0BgdNgB+aAqs+rUtfa1tXIIQfJ0j2tvWGhmVnVJzTg2MmDY4BhGXlET73tWsh3DlEpcAym
inetCaluiwWojG6480J0ad0HWetxKZ8jeLzt3GgttJ3IQMAiNE7igi9CQTn047jD4Gm+mEVq3neG
xSCYLLabzmL7n23Nx8t+aIzLzuPsHroxPfIthkIrcX29cz2xC6Iikti8NwyocEHq9jwbgWDtZy0h
DjgWE7ehSMtWUCzN5rMpJxKsRG22yZVKSu7ojTLPRp+oh65dE9w4aJrGvZklRo+HCR2JS2gqrrYT
7iyaJ9Maq+Q4dD3jL0YkBYREGNPt0lXmPREXpvqEUkxpz5Y58Oa+9xshFtAA7hqPqkqSH7IQGqZx
6aKR3C30Ue6O+FwQRrW0OpxqAqWS6wiesKBTXq2dV4SV6RrM4bwgS44ex5k6X44dP+5PBoeIFmNj
vNb41Xrf8pLS2eYrCJtW11Mysd0fbOj/5Zb3aI2hk1q8llQrOLsrZ2iXu3lBZA210zGNE4YCRXJc
1k/irnoCn6g3vh9JaSe/1cAT0mJAdkbe2XSRxKRWQnRGrQYopA643xBo15KUjalzNzMJCx9QIejw
MHU3tTThOkduvCmc1iBFclLzvRjMAVm4z3mkzMjuJPd3rF/ibHAu5jkWjxqKkMtJNsU1gazxC4J5
+IpaYXthCt3upYpz+amx9ExBGmTIJhNiBQnnxQuTbK1jsZMgx9VUwlFbp3b9Rw27xeHGTBcNJoh0
GTayc3m9U1qK7koflIN5jxNrSJfLsbUMAh1tL1ksTsq2Zn4FpeTbQWKxp9c5m8fmM38ss1fc/NRt
Wuoc6wWC27COGSO9WZljyGnRuJ/N9cujM25FoMHNE0GO8wDQIeHtn3kzTC6XNPFlnzf1FO16XWv6
px6pxi0VLBNBg/uhDqnZQCDISY87OSYCiwDNAGdcmYHTZZGp8N5w2sO4GiacW2STw7epR64CMJQt
2FL3wGFKZbwXOLMoYUbiZk/wX8zuPl8WTXvURndpzweEXd31jBo/2hWU5NMDJIvZf0htvcxvI5l1
B1VqXQsAaFlni1xB7mUueZeco1aalD4Bi/t+zIugB9Ud6IgXiqohYvY0LZ6R4dtAzpXGhyMVmXks
5Dophs7mt6jJYg3Fp8K8T0ekCiHdp0Q8qcIbzass8lkovNjI66+uNRmXifAoHr2i5JpaHmeK6N24
y55htE5xE5BBO/xp4UmRf+pYIYwkJLfO6a7qsqqQbKtYw4fELQjq3Zo5JmWQcfTs2Lcu33woOuMy
GxZLffLGqM2/OW5lQrG1Z9il21KXpnlVsv8sCCxHYjnPosr0CK/GNkPXzxLT4lxMqgWYtoZB6nOq
FpxS09i7rPAxenLkGK0Jv3cuTrtTaJT1+DDXs7YlujrZMDD60Brj5Mwq/GgDGI3ou0yxMDMsY3Y2
CU4AB9AOsRqTZq2WAh1zvNqh3BEVJJtmjiDRNvVZ03j6Y+80ZmiV+rMGvBEMFRRaFNRwIpJJeQfi
MOMvRR+53xSShwBPiOqK+LfzceraeZsXnbohSy1+dixZbUs2qQ1ln3VL0616Nuyk3JmVDsTiLqUT
6IPbXfsxIgC3yememOSMXqRNXDyYGTRUX++HHYYYHHulwvGV0F5iTKfmShZLee5wqt+Ok1vcsKw3
z5k/JnfSLq4nV1ewhOFF7NqZDD2dunMv0zq9i3tRPGCn3ce7bqiqcxSpYJ55uxwLzc93nsXZXJJN
gjjJBbFIpVXfs+k0T5VTNskmW/oK+aRef0qEWF8tOpPAEw6ceuGO6rIRygrwOSiJkHX7V/Tm3aYY
8UwwV7f1qTDNS/JsXXuT6E5FCuhMObDpO1MCQpb13ivaee1yWfXZGrS7ix3jJovqZq9D+t2QCdg8
ZXkH4qJMKc4q+kNyO5fueNkOdnTnN4nYa/2S7xwNHz3CfRYPly4hLrVkaE8s2PMBe8r5bNIMH6u5
fNrOfUe+7aqXa8c5OyRVL+5lKpc/db3ITr7nL6eu6vziNy3Zd0dp6hOIofzzdq7FH/7dMaqtS6hC
RUMA+dAAIUC+CfXJYhOyNWDQTIdhHTHLD7+ui941Sd+uunpwkSZgEPXzvh9rR0viJpPjH9uCVTTF
TboNGzQ53j/r+75dB0t6Mguo9lbWw8/ndpnUYux9eDk22DBrqt6xZleq+eyoiAXj1w/1rmX3drG1
5cvrxF/8g+GXwRzWYorAo1eA1NY1SpQ3foCWjv7215f6WMiCC2B7SS2uYzT1vpHexr7bEA5PKqaY
jctqdfhwsKgE/RrqU796KP7j663qU4NhogtioN41tfHtZ9oWpXNcVBI9ft+CqgS5ewg9kmqkT4n5
+83rfHf05nXycKvdJjJVPt77Yn0uY3vA2sg+drAGMWXSdIofFlR24EqBJAKF8VOhVkr+rIPjqn88
SGl+ObxnHWNR6M7vHrqu7FZXRS6O45iu4YIaGs2VlvfrV/txKnAVnO984jsck5PJz0O0iMwJdUcv
jvEAhjcjkN273m+dJv/uKhwoPXS/wBkf8BoxWAhhNJ7ljXkhUromJIb8i2Hi+DCLSMDj47nvh0ne
0hEl8ds5mlGX7vELYFDIeaIPDaXDuBwaJZffHOk+rl+s6axhPBZGaFz259dXpTKap0LYR2yTxJMx
QvNedEkpMuJnvK28VcQi+oUh8uvP9nGyYyMIZQbRMzENH2YE6TSpvjQEwOcjszuqWScH9HebJYMP
+utL/c0jMjigNlGDw99/v1i6RFtyqdI8qg4pLClT9Wnp6QoW9gr6ric4tY6aX1/0757vu2mH7vxN
wpXU08qCjWwcC9j8h6qEKVDoXrLnoPPbmf6Gov2AJjLVfdAJBxd813e9jzNtbTXqrCd0KHvfQ3Bc
on3FMrW4beTSXdYZ3B3IF5TJaqKuo98195eylSraAULaHC5qmnSxiXQX6x+qzqWi5+3lovldmMrH
hRcutIU0gxUJ1p/5bkOpUmdCdxwxwtF7W2Eapc3nbFVPBuTgrHopn7L+11/C+Dh31yAc6kqgSHhu
76kgcQFeErHHHTVPo9ZVnsX5AaXqgFGWwZaZNNE63rPUuGzHov0spQOb1Up9ddv2ZluQKD0u7Y4q
CVkj/mXJ5tc3+HfvZGVOwlOz+HZvOOYPeJDe4tAmPWZ9uXgU3bqTIQ6nQU0WWoVtXqv/Dsb5MDYh
Fa6zASiHIYq7zM9zvk37teifl6O0I8Lh9YxeztxWDFO18n1+/XR/dzFwI/zpyNdiO3h3MRgMPvEd
/nxUcIWvsyr3z/Xe45Tj6A2npF9f7MOn5snwQsXxAakvy9mKJv3wKstcM5o+0uejiBwOlnE6MLKY
iJwSf32h1eHnRwAfKizL5Vo8wGdkS39fGRW4ZSnRuBMVRJf01zpnuDHUvH7A5R+z9P7UZLCct3Zs
Q++YEppdReNaHVjyug3WrbpN0hycQJs4LNFjW5rPi0vbVtcEUBaol7XTycLjeN7mHI4nOjbXQ1X7
CP1+/SQfv8+aFAVvjH0N8uf7UiitZhqaZd8fUWh6m4lGyamkU72P9fkfV13CwSlQIKKih46c6t1Q
GGLdHKRKumOnC+sMHzien4AVf0sMW32yK/Vb/HDdvX5YGG22NaiSTH2aABCQ33+laikto+0c+ygI
LPpGaJA8YkTkP74BIsLtQXXapXAeaqXM32wA5vshYq8kTcia2A+ubQi8lH4ejHZBXx96SXY0DJCk
ZaNnHqqgPfZBIxZleLx7X4SR5/YGybnRX/oxDITK6uL0YA4zBAaizOdbfSxBEZd8xWtaEms5WIwd
f15cxlFXij7bj/z+a3eYtYrfhJry4EPDoTubY/Z442Q9rfV1eBUam8F+HjqjOcpubvrAFD2xIpMC
GusjeqanHOAI2kIr49XKmM7rBZ5OebfRjby8mUAbLjsxaHtlp+KanEFt2dduRU9VDtVC0ktr6ufA
0noV4t05+kFid805agmsNdyCuJZNjVs3B+glPU5eaoS2LJyxCDAjaFFnjm3qDGDfupzqF2vJVlZ1
QfTlEo6NURh/Tp2XA4prGfPFV80Khs5xnlzLWfFnV2uhcKGIBfT2Ox/HfjLQOBVV7cL/XVr3P8Wn
zCOQF79Y65q2Ya4lVeHMr6Dl6RTmRrxSW1Fp+flZ7GnqtkFlk1xDzinq8zxu5XDTw3kpN7BomN21
UTY5FgewODbdOBjtji6ous0J2jyPhajzW3rv/Z+K1u8Cwps5yzdcApFqdK2xQlFTwWdWesoP8ujO
izNxu3fYbdq0J83MPpe8TQmigQkDKZxDrnaIRbg8OAjI1bAkAOFeOQvsmKyI34hUJIIINVnVGe6J
o3an6pRLt/nCruXrdMvbICms3ryqJukMt0aqJf0mZ7gk15xX8cY0ZndqQlhz9pmUqGfzzThILVya
qsEDzFxzaJaYEVRV+MxAxphS99yWkYEjrdLwXB8Ubp+XdVeAaaFq63FywPPbxLnGB2Wk6a26e6Ny
umLvYSuSr+7pwrzU0o694a0OALNn9C2xAGpIBF24oyFcaz5hmKpIWV/mWr36wxJde4uEzfkGwTnF
yM1Yq07HzkznJY0SPLv6sYeX/X1aiZWppq9zZnKtzHupCM3qAOcJyzSQ3dMFZVdssf+GTxB2wmEU
tZ5YOV6Fw3s1+xUzt7J+/AI5ecL8ET4g0q61NUO89EvkWGshEdvUdl7tQq40shWJ7YDng4bgrIMy
dBD4t+3PFSMgYwJ25Z47Lv2IIMdCI9vVsCz6E/QapmnZaHQaitnmxdqRtK1d5ptxetNXLTdi6GAn
u6Yw+9tqMVr1PCrX0iRAj5Pnt15NQt6FowrjXmRZZYdjF6XzN0+jk7GFL27aN7PRgAInM7UxidHG
5Jbsx7QB0HwmwBWMFZtuDmxIe7DcTxTmOUaK+BrWNHGLVDZoOKMIrkLIEu5kx6LrQevnAlASeXu1
eEASkLyOpa4roDYQ8sEDIFtQBU3fd/z/9kl/2ydl1vyw039w5b5Iq+pbXw8vP0ml4Z7wU381Sv0/
OGZycKAduooXkOD85Y7lu3+s6hxdeG+90Lce6l+aHv8PEsvoq2NOuR7dXDbdvxql1h/47REHyanO
c3x+8z9qlJIX9vP+raPiRiHtgmFwg0T3vqsYLGgBJUlE+qnStTppxxAzQ22jjCoii95QzTbHc7sO
ZvwWup3SwJW2ohmsbwp37T4ol7SizzT3Fwqmkl9DZoajphbcZB8Nn+pqM/XGl9gz44cSD6QwjYXz
Sdr2cNHq8XC9kAAQ7dIap2s6spp7EU/8z1AKVKd7NLakxg5ZdXIztcArdW6KbrC+aJMdzSe6UcoD
YDGHc5lhI/dg5dHonvdLu+jhWIhphBtVWuOf2Vvz1uwx3xVYR/kZZLW5J3857+eN1ekWBG5r/AyJ
cqLXNMpSu8hRS661AGFdu5xve0fWRSlCCweFnLyFKH0wkhk2H/2vJezSDHjVFrgykTbS3glMq856
d0j2psr+LKjLt6mb4oKgtykGD8D6+8xM7+fcyq9FRgfzwF+xLmZ4mhiFKSs9DETwdRiQONZ2MLQX
tNsqwPGnnM7YLdgoKt/aEnjuw1L08E8AqGyd7cIx89bQC+dC+vSjjGF0jbPR91tO/YsfPS6l5941
rhPdd8Nsesg/B0vbYMfuFCfsAlmZ3S7KnuTUJWSomVi0oIHgHTQyaEdVHYVfF6ehwfMVZdeUrpVN
RG8Yw7LTMA4YGmtxk2zdVCy3bRXbqb6PYrozuYEJ4IDxYWAOE1reacFWyZtlEtrY/O28OYoOdl2a
TzipzSX+Edpy7xcu7tlIzPEPwTXKKx6JRRwrnKnxMNS3I3us0rbTUPh9v6c3Muv9WRI7eKCVWYHu
8gUTmi7my6EYdsjkwj3YDs22sS8XyINbpUew5yFDn4Fd33pJJHCFsyFi5vWU4e3VxYFdY8+eCH+A
xzz0XlAsmpUGvWNO22KJZNgpj7xgzb3PlbMpHfMsHrsLZ/ayYJkWdOj1pd0uOHk6+Z5MughZf7Wr
qEwfNC3BnAuX647L7GJUwQH6hM+GPi07WggRrufzHWh6f9Z2hFstos3O21LTzxoHj22cEc3jqv9F
MW30216Dy1raKj3aQEm7yavTk4bi80xvmZqmKMwHfzafq8GzwxYT/SBLBg0yaCZ3deUOuGRZVnZG
Vfalo5o4dqkdn1o6E5tlKfVt18x72mcY2TTjzl4a3o+G1U6pVWHcar4GQzFLQvTi35ylfUKHkEGL
wA5atPqCLKXDYAy94rSB/BSfV44iSisl6KwlQXZItX713zQC2gxRaHeZcc3dZ6fMmTXsiAD6zyB4
jN+alRrtJRYvh8l2aBuJbIMNsoqX4VC3LXxR5661itscVfliRNSlox5m5nKfigG9dO8fcbO67f30
jIOKufH0eRtnvP0Ywa8n7Ye+bfferC4yU8Pf2hnVrmuKYSujhRyTyH4UEIKDqSr7jVEW3wpb7wKz
mgRKlgQnZwxOvNYwQn8QfdDSVlZz6l3YDTTzrMRWXvd8IyD+y77RyQDYlqqraI7KibHVkJzD9xB7
6p4+1BJ/PHhd8RVzUGgCpu4fBcvlcezomKnIyi4Tf8gOcKSSDbPCuImT9gbf5y0OUhtvqatL5dnZ
S7GuZvkYufhxYfJyahrTvk3NVhzrZjXDMTJKGgK3oAcnT7rWU86Y6jUZSuMQuz1HlLQtAmIjCEak
cXmEtYbfAcv6zWBNTRAvwj/LM/c2Et0NbXB9xzLhnepMm/A9xxXwE+vKuDGlG8mgsYbsMjNHGbZD
Pux1PtROr9uRjpaT3OIc4F90SofdoOF4l5Wf+9g0Q1pyEJ3LXYWbdkDOrUuke3/bi4rVZfWQGPVs
l1m5xe3V9ktip5e5lbA7EP6AOgFvrGy4L6D+78xyie6mfLpoEHFj+jRkD9BaHpzYB5/X5Eu/+E8i
Ns/M0RGM47EhnhGDc6iJu37qzmr013jaRrzF1r40jbjdT173tXJmZ+t0S38gg+q+IaGdAZzTyShJ
OTg57YQjj2Hdjn6DF1HyKHKTlIMC41KSzAJW2i1KlWfbn2i92k6Yr2tpo3nXXm/te0yvbxWfbvUV
IYqVZdR7zqPYeCocT2BC6TLVNMwjTFdewAbeyjY/cjoedo5szVMnMi9oZYO1ElnASZjPhbeHfL2c
JfVwIKHoKNMo3w+FnoaxrzW0KrUdm1kR4vgBRxaKLsdCe7S/2hrfa3XN9S7nRbdvktLWOAl37UUx
IuOYJ1lvm8xJvjRK2OFkjucqxcW2mooHw5aHKqovfLmwsWY+6phuuJPgoNAty69SVQffm58yNy+2
kueBOFDnIblT6UnO1hlkE2NnJ5FnEtXgLJfKIV0MtnfbbEZOYScndeIdVlNz0I+x9Tmqx+YW9CjH
P4TmbLP1clYmWVrVNakb0JDrLhHhwL7WpIQGzjXW9mTTNrtqbMZzM64iWB4mh5dRT4PI0h4SbVq3
5yne1MLHms25nBDyPkLWqK70uJFqY2MWAFl4XrLxtsIK4czv8+WopPWAKUnzhcxPLT5EJdyIneNO
Vo/JiEEIrG3Xszywz5pbOfhfS01eG4kLMdyehtveqa6nSiO3JNduyjkZr9Dqfuo7q9uNStTHdhGf
vJ5YNRzbjqYG+QXgUm7MqmifWV7twwRF/IWwj24LD6oj5kAzt1ktk73AujLwvCYPy5wQhbSXn/2Y
bMFK97SLGLbSI7quKSAczXsV5GJvRtr4gZNYxUvtubi0TBpEktH7/H+5O7PluJFsy34R0uCYYdbW
DzEPDE4iKVIvMJKSMDhGd8xffxeYWZUlVbayq+32Q/dLWclSIhgBwN3POXuvDbYOrkhQ+E++T3yC
EXlQUfwkA2FYmugpaJ5CwUKeb+N2G4EEDztuWLayR1vuGubfvNf8ejEVzLbIvsKKeJtMw78Pw7L/
bOt+azKJv8YJBs6QODe0KrVAJJ6SFUxRrJxVbar8jMK7OgAjdDgjlPFFgEVsJZQYw/XrLQOO6h5x
BDRCvETdndHYwWH2veYztI1D1U7jQ48VbCfCNEzhaMr0CojG10YG76zOORZFL9xQw3WPaSbgUdvh
vg6xubiIvLa4ftggKK5BOdj9OnEt2i9GlVkoLQhtrSy3ucqEngEC6ukKynZ4GCoxbvykec/jQqy7
MU/FbV334hMLpEYw1tnQCL12SPK9U8boKgpHsnlpo3xpGF2eY8A5u5yz4NNiZJlwNuTBouWfbPJX
bPFGQ8V7c1JQnM3cxiSYJ9hZaJtv6XvJnYWLDK0TRhTsgKQ4zMYq7RDy29ZNRKFi896WqiMKh1F9
wckDH1Xaxwl4HEFf8qzQSOxk0cefQoODqLhw0FqT1POkwvmIsv4rYyxv39RkkhbMy7BFxYs4hSSR
eXRDoLbmnrt2cjOQdiGV7CavqowMku5L3zrkwMx1tyrryN64Od4eRb7A2pDVIXHKejVFdbtC55Yf
bIQGq0RlGB/MAeqmfZ0lmY1MyFP7vPaCc5oUyAhb5k3SD5GZJbu8b9Q9iWPO3hRv0L45MKGH2GZF
9EjXqVjljbWJYL9g4KvJEgYQGvRZxPB2KrfA0g9zyXNX4EpbMVgT68ooa+ze/QZ9UcNykrorBJRA
jBpk47NMvgxkMXgc8HdmwFdchPUj3t5qC0UBZVBanAcPw1ImAkR0I0dDtG1OjtOwZk/Mq2NFzkmI
uGTvxfZ7XnaPqGrcG8Ob79qCOsVq3Wk3ooNcq7rd1A7AUbt21cVQY79Ts2E9MXTTqzYvisex1TRQ
LPAfsPgchlPA1+0KbUjCQHVlZRWdtWJ+xO+IIgqd1jqtovSrVABFRn/G1sVTPubeajIJJvbGIHr0
RX6F08q5Vg7mz66BROxaGhCfhjM0V+vEIG1hdHqkjjohELArHpWTpZscb+YOg2+4dUhR5dAduKvJ
yPILgSBLMqwsdqHpNtdeEL2ZWpFvK0csAYMc75oJKWSoPbEQPTn1CHwbZp1dl+PUXVsmBPOqGdaz
VkvPxJyuMQ2d4IObWJEqe+33PQP40B+umPp+rag3cmG8WMH8Gtce+Ti6u6LMBX6YSZQ18zEKZL9F
lbbPiWAKSHcSHvR6obP60Eh126T2uRwTlscEzCHiBXNX15S3iOnsvd32e6tyBd2q7BwgtuCcYOLy
DB5dPyGUL51fR797j7r4raokz09l33XtBZLlY0UwCGDMMv5iGFaPkjY/tgC61rHtX8HnfA5qfHJh
WO0lmyOkxqC+jiIQVUZpiivHqe+ygdOZoTNz3XazTlcyiE3sbRUg3tm47bymBzVbjDNbQhbxcdkJ
GqQHxH1MQaCPiif4y6SSb7bEs2FHwwTI0dJqNTi4XVeJW7zkVUY0NLCt4potC0rrWNk5B7wKX6SV
qPJuQFZ56I2xWWyocp+lRkzgjwUTal3hgXzB34FMj+YnRU7dPA5dkNPohOXFqVoeQz8p905YOrt6
muMzjmBvp8ruYVIziuoqvAmDLrstU0PAHNTdeU5S71TbgTpY+SRPXRVNO3dw1INT4nki/ueVGj67
yNKhwI/NG4xA/brXVXxl07FbdyjYL7SMnW0zk19uVxi9s55qqfcdY9cy1dgATOYAUKL5KgFhxegG
MQEzryPoicyDDjgXirob7EXIi+vM3lpJHt14yISJA5zegoI2fGH5iHZzvjEOtZeyI31EZdORPHBk
i0N/jfyOY4VOEKLK8AvWoXTTBD66zyJBlFu7JccgNROMxo/XISZD3p3YGznuUfXviB8kyHm0cIfR
w0wqsMOcG49+UaLUzot+t8QJblnNJ269W25zbN0ZzhuKqeC+ywxnTylMx8Ues5dehiEnaceUF7Zq
dqGBagF+bHiGpBqsarLYNxZY3VUni7VBy3uJ92pw9moTb0meHrR0ltyGOiOCWpvnVjbtSVf292bu
LhMyLGInkmdrTq8Fq/uWMLbiNlPcxkp6jJ6ltRV5PqwNVGUrrwLPJdFznwdSHFILcaOsikvs+U9V
EOo95+tmPdY8/nocd6Uw9/FAv4P8AmoZksZ3nWSiYCDcRPjYfpurGiVhe5no368U4VBzbKMJbqiz
LLtcF0ZRroY24ePltGtsvUZbzKrsmtGBhE/04LJ2ObRMp4E3dd0t8aZm17JGEgu/4QD41vvZW+q7
x8BpbkeU18dUT9aGEvLMEv1EVGe5c7pxS6nFk0yXf932GvubSM3rWXTWPhgH2igzmy49X1Tb4h6D
7DEA1Tz3nlw3QDdDCp25/Nw4Bm2TYRiCnUWPmbXz3priiU/Ut1vpDVRewYBjiXKwBas9w4rr6Ahs
RJQOp4QYu5XrlG9lW4V3WWxwIwN33wyAR1Eczo/EoNz6c9iSYiusja3NXatdf+UoRaIXB2Xjg4K3
osDJHooo+RaI5lrP1lkG3itcR7rir60o9l0bfAfVXlPmplhdxZytdQFLPivXIquzDcau73Wr5Do3
5JekMZJts7T+F5extCr4yXNAr2TOQmLjINWtEtCsK1YtgnWzW5WwQK81GOURma/j35ARZYEATsDF
jXGO3r+nKO+bSfGX2MkRvBfoP+tmW+qxVJuk9Znre2fwWGf89WvCt5jdgIzvdnRxUODknbuSs/DJ
ORNT02Hcn9XewQtLwpXnqGOaNwxAWNVgf2mh3IKjcYP3c+RE3j4YmBz1rghQe+6UIQcFYzKh1eZR
I0wsH1aHh94JRWOtSr4jF0K2wpk1mVcdFpg3LUdftlje4emq7vdx8393v37/rbp+Lb7p/7H84HcO
F6xzSfs/f/yj/v3P8bdq6X7/8AeIBWk73XXf1HT/TXc5//R38+DyN/93/+MfmZZ/24lneP7rTjx+
VIayPzbiP/7Rn414rKEwRq0/kij+yKgI3d9gOGNJWixH/2Rqmb951ILe0hdHk8kz/c/+u+39hkbT
Mn3+ghkghfjP4il+jrVmbA7K0TEXvRuiTEyyP06wlfDgfTQxrgjX5JSJK9rrWzIMImta1Z5DQENc
+JgY3Oo+rafyeumYr5oAM8C6DLtsK/zU/JS1cp62yhrlTQK5HUiSgUo79NV+JNTihMdf0GZMyTB0
A7Q5qyoKHTYBzCcQVNzk3JOIcGXGjApWlZVf4dSVt0vM274ww2Qf+ZG/dwg0bNdxYUQb3UlvP6eJ
OjIa8C6dXpZauFMGinJm36tiCKyzP5LOIwsPXOCIZJ7osw5zu7GcHMoquq8aB2cwGRLjsTPfpJyr
V9oCwWWWdmSvaK+2HCCZKg+MAnbkHXo3QzQGzKM9OKikulXmcbFGH8iLM96HSjXf/ToNb+ysDI6A
aSDcjgSXrZOiFrdpUndwMWx174C+O2XSNxlAy2yCYJlZ3zKzokJ18TDQbbSpo7CGXMdmGZ91PRvv
pYcxdIXlnRHq3JTHKW2e+3Bs7rNhsUskQf+Y1G37KQzbkRLDmNXb4kN5ZlWQIR1gzpweTm4Y+mWI
BCooEakhNVhZZqqIUAilz8ldQPlmxt6tLWf4DEOcXaUr8zfC1dpDOKftTkA/fZ/NLr9KTXVjzLF7
kqqtif6Y53Md5VBhXV/v/DHQIKCpO2BLTJ2luJ+xfKbqpaHGt9Tx00g031nazs8TEZmAdwqPDzqG
bLIi6q5E6hqHzDWTPf7w/AGFafJZtmkiqRlr2P/TWFXbwnMzQSMAfRE9M1tiPODZo2XtdJfOCWe9
7irThgYkcIgl8yKKjWnSrwddJhvinwCQ4MoZvpN2QHJfPS4irDJnkF1nSXmb4qdZOZQDV7GCfOvO
E0gCFRSXGhrPlcUIalrLYqAvRV/Nhx1f1fETcB/LA+4RO2/NODgwRbEq7P2cSghSULHkpTPz5tDH
OSwoQSYWbngXR1OyHgIDVndBYU8qkqfc6zQP+/fSt+XRVLSPhoym/abX3UStnozneabby6y4LR/D
KouejcKLjROd+SbbQnkUX+kD6m6VmAPxpWThRdt+kuKlDfOIQ13ZdHeiK5svCnnEOqwH8Spp9nBk
ndrpXuNOCA4Oh3PiaoOwwpQzaQJa7dFZgvuwy3aRsJ/s3oTFi0ftjQM/gE7BKDle+2rOD2S9Bl8y
CMwX6ZKvcURmET6Qr1rRu2PYxEyMXmW+qWG27oKkLF4RA4SPtP7fDHOoNx4pNlBuvOmbWytGXFqI
qtxGQVQ+ZzFHjHWuMnZWemLqpfUp8VbMrepjEFXthsYWM7fWdcMrYmGpWVt1h/gvdFZNyvvMLtzA
RFDONkCpAvTBh6nQk1E5OnUKATTkGDS0zUlWwj+5psYHZhPWy/fgZPuq61jRaIX4ayOszX2fO+m9
1RvuvkpNORK+0UYOcCxlvlgygYWz0H17yyTKMSyLNNvDqMmPxCA21zTDUMQQr93eqyB1+GL9IvsM
lIWcVyjuNpNBgteOUTzSdg6Mof7Sw7NVTKICfYBOEcM9MSd942hlvFeuT7Nfi6y/nZqJ1Ag5A7qo
jCyENOM4/c4IkuYLrIzhW5Mnw8vklOJi6xTEC8SwgGRZd1LROiQY+CaZwgi4qlUvQQRDhMXHACQl
zPpTLElNDmQ40OglVJA8AEJCyBl0lsDBfokeDJcQwj4mjjBbggkr4TT70SweiFzo9loRX5iiVqR3
oXCZ4GQi4DBsQcAjH5+/zriMim0viEKsllBE8yMfES1tdjOa8G26s5M3HiGKDpEB6ef5I11xIkpH
ms/wYOlz06ixRds+d0yCs5tojAwgXZl3IzJcXrPI1b1X5Oa9J/z4lmVxRD8u52MfD0+cU8v7BsXh
fSd0ZBGvm0VPA3r6Zxu1DI0iv+REiwrpKQDBwyI18FoFQNNuTShJt/hom52OCzDTqXQQeDFMocam
Bcp8jWWb3W49FlN63RHZQTPSbzIOvEVBZrPJr+tJYyc0EPqVRrvFqx7SdBJKe1eYCL0bxnPWxXXL
iCpubqNPTqC8Y0b04wNnuQCdD3nK3+yZ2DNISySgtUsY2mQSixZWNQFpPOPHmA/+TmMe/sik3D2+
5I5cU8LV5EfO2twY8yEW+cRxcaKlwtx227RRh09rSWnrlsA2qyWniGwiWiBDdtvkHcavhnC36CPn
DRN+dD/M0TK1sBiqVHG1Lmdi4aYlIC7G27dfvs8HtcTHhdmsDiwX/j5rlAFQvCdnzrIGRuvhnHwl
iTs9pCPV2Uo1I3Zo12yn07RE1llSDUQDhOGxFwTaEUVQ3PZLyB3vE3l3iBoVDaolBU9/JOLNH+F4
Hzl5nU1k3mCbBSPUJUgP16HYJku4Xtbkzg2VZnSZ/XA8ajZGxDxkzZfk8plLQJ/QS1afq93mOV0C
/Ezg1Ue9hPqhOSXfL/3I+kvUkvvn5La7JgHM36V9Jm+ZhAxf6iUqULbCe7GW+ECLpKxtmyyLJmYU
8gXnYQB0pZRlVZ9KEghxfuK+65MgqXFZLRmFJtEnCYOFIXxJlxBDBJi6ufWUTvXB9vGtrmbPky4W
U9GYV5ZHP4fm8UcwIhmnpCSy8fPNV4g/PylSFMfQDqadvUQrAmH31wlWwWidkbw4C4sZaKtyXRy6
1kie3dp2SdXweMXXmDxNd6sGJtu05QlCnr2LELCBmXPGgM26E4+spZgK9SVW6FcSfl449o6fGduW
71k/Wk8hmoAHsivqEzbah6b0p21hN8WR+NZ67XeAaPxqvPfymaDy7ruTJq9Z67343dC9YbfiBOEo
dBra7V780MgOnh/kt43It4MD45ubgxwNmOqxRBT43Z7dvly1dSOpY+nG447rUmgo1dTe2e4gpzWt
fFpTtWIo8RB4ndoWszXfJTPnHeZPg1sY/3fqokv6ripdfW9/rIQ+qps/y6T/t6on82+rp1RDmqx/
LqCWf/ePAgp4g4mgHZSJC7rhQ670jxpK/IZUECix9WcJZfN//5As2eZvMB3wZbF4hiSZusF/Iln6
WW8cuotSyRGQThbnlc9v+K/6885sg6Ttkxj1ZTlfzEJNeztbvPhOTn7dxowT9Q74rHmvhYr+BuiC
NOtHtRQqbpfcC0Canm2HlG0/XR0hT+PKWssjtO354sdy3hmWpqsxF1iV3DYxD23jcr6FdLDgm5pJ
OgTxWSU+2mp65L0CHId/20LvJD2CtkOxxKXLCOMIhzC5IQsAmXot1WyxWKbdfI5Sf+roatTWlj12
voR+bB74LWlPTYkzymuI//03PwvQGDdpOu9UYodwEqjN7jHV+2uVReM+GAaknD6/b22TsuXjSzhV
7sj35pVjecWv6eJf4Yz/aoflvMPbJ2HSIeacsHrSqkscpiGHfCJ+SX0SoM6MU0B/nOwwBDr+1x40
vrcbQp+5hNlHcbotunhUNAkTw31JzBBWGUCBEO5/1drIplcD04jhtrH8joTBOBhi8qmMJNhVchLx
/RCbHup8WTTOKiWMjT6YRnGwMRLTdo9sYPxN4rhC/3lUsi73HIPxIhiSGQ3RbPScIqGBAYghmO0A
+KAn4jRfFV5EYQ+3I34r5im+4WBXbStzibLR/tTUKyb9wfNMcJVBP2sgdrps/H3nzZuWPy26afXu
Zk1/7dPw12tpxvYhR53OBAUC6hCBhVScxYIw3xMnZV44/SLCDXe16gNyuvEpnRX93MZp6tsGZzwP
TO2bMF7Tam1w+rvrvWl8pHKRz2YyyZWfl8naBlqwnG7cb0Y5Zvf4H0CGUoBuytAId4Q4pMc2CO2X
zGXoPaAv3aS+Ko9pWLYnJwLPJER+T7SsvOtHTMy4FGN/DWdtb4jBo3VbUiNMDz5tKhIXwlC/uZWI
7guZ+JuR+eZRxh5HwqEtzrid9FaDJFgDs8iZZRD53hgiIcmvCt+9mMxuxnkqu+0BIbzGnA4E7dvJ
vCYbkdZemwnjVGKFpmgwS/NOaRRGQwNr27byh8yorRcq5TqmCJbvqeWJJy/gpXIANpFsHjnHmKEk
8qKxOCp7+BZFOnid0X1sw7oi1oo1oX1FnLEl1IMzTjI41IDDuXcS9yaHr7ez+xlemgdM96CQER9B
J3iXqPLFy2h1wbXgpEnDfWiPYSbzI8QiyndYFw8aNsqNPbjVQdqFfR7Af1zDHECRGNfuHVwzcQ0W
NHtuyiR74Y7m+3Hs7HNXUY6RC15fy9nJ3+u4ZZuPVOyfUmXPtyRf9YyksMbBFuBkHtWBTz+4RSZs
GAieDHtML8Gk7LtwNj0Iw7wSh3xUHK3rIE1P9CXsm45x8lWv7PQzAvixX9nTYF5q2aeXlgT1h052
w6c09eoTfItya4xp+ELNnD2p3mvPrVuFxhaZUXYyZ8rnnSiS4ha3aXSsIaHu29mMcVSEwU41vfvd
7eE6YgeZPo+ZJTdxaLDT18WxdaML0IhyA1jV5FS1iA/L+GiF9XmiUEKQYjNWcLqvXTkg8JZlfjDx
Ka1Kl1mXELrfq7T0d1Ziknk6es1bHbnd2WyGdJc78PO80hnusoqhYSKD6VCpzr7DUDk9d6BW32G/
9Hd8IdHNiIb/MydVAUtyKDa8J+2mKsbsMMDt2ddO5sHR7Sr5WKdI47ntvC3G0OxCX9ZfbZKw93NQ
MPsdI9Pejh4Vd1Oo9tYXeNs4/k0eurI+WQUMQr/PVkIbzoR0w6PMGIpx8UM9yv4Cj/i2RuVxbdF4
ebYC3v/ZDZvdaE+Ix80pNS9eKs1L2MqQ5JDCupvGvmOj0BPsnWphkObjTd50dU54Bc9KR0djMyPP
KdbR0DJywEBxqisGQvi4ocZ2dnnpGgbtvs1SQ10ONQe5uNU44pM3IU1ck58RrXXjTe9QS0jVGwwi
2BgXZNlBw1h9Q+eJJDKTxH9KbKJNZX3JGHgeyT3Bl0ff6UGoTN/Hfutf45pBhtBh6Fl1k2weddmF
CHX8+dLT1n+tqw6BrRDDfZ5WaDF4e/yrchimrxN6Cbo2cQOalXjYkxEX/T7Sor/uW2WfrNxaSAlN
8zSAHL0dXVqKk4NI3yZH6I6drX7xiFx8C9rS/z5h00Cm1moQNWH8ldlxtoXsgQoCAOsABPI8jdrd
+IL8SINYcEncnGbOImQ2rEyd9681HMscJg1EoLU3G6jrE6d5IvO23VY+VIvALdJo7XqZ/F46OEd0
2Defg7j0vK1TxcWbHcfBvmzG6NKJKDj3QQkLcZzp54UBgiIJUHOy2N/QQrT5deuY4U0WFPoiia/Z
dgFxOeRdgvNscQhkjkRplJPnZ/Rl9zmADg1AFlUOwksDhbO2h+6Odk1wNRvh9M20u7xbILZs12Cw
43M+tMZDkrikoqcVS49EGsfEwsjKZdGu6bHMUbRtTZJ1UaHa1ynqV5YloNgyyCexyiKXfEWiLJdn
YkjBXYYGBCVBtQk8M3iVGHt3Zmq/Op2uLgYNhU8BMqKVMEf7amhDh2Vwsuh+ILuOo/Ky3ECYCbbY
z21HV6tMN+ScWxe4qdkxtqDRqaQkuDy27Ec/aPvt6BsIcJrK3RtehgQEX+UWF5cFaCPVG6Oy6yNK
NH3nu7Hz3iYqp6xv63nTDX34SbjIuctGWzsTJ8gDxO/EYdJXO7cyakiYs/oxvMvj0t9juKvWg0n+
cqQGbnvhmGjQEbc43ngKW4sApdRovkGXtVp6wIh4orbxD8gG67XO9URI6KTJe87rWznVzQFuoHUY
bUa3s4swbhgoXPaRUP5nzgLWw2iHGbRN1/a/B4XRvRRV4O4iWT+7Te5v6Q/d2ZbS5DVXZsu5A5I4
VM6BSXTWZsBIa2UcvdLSoKkQvERs2s38ntaKAEWaR8PJ6sYNfc/hPCEA4NF0GEZl0r2NOJvuRMpm
TW/DydAEK5+ORzNz/kBH3l3bMQFIkKOfSlMVN9CMyIyKEPrt2e/KXQ/bnvkqQy0jFf7BqvLgxhf+
yK7gpy8c0Dy0OhlSpGaKDl2dReh/ZWitfKGEPLp5LNZLkuvtUNUovJUzZi5Ei4rja69hvTAou/eU
SlYDsdlHz5wgwcgGaWmOxZOHI/QRpcwJrX9p7QmFnC/YFjhMj5xUKSYtc/jUm3n8aMoqf3QszoAO
Um8iEKOmuallG55n6XFaid3oaPo13UjismxU6rS+0ez00RFYInN2QDTZKWsRx9M/EGnHEZNeK1O7
WH+zYa3rEIINPmRE3qRcXkW9yxSjDdTJzdHdUl3bF+Qt03XYIKEJ5UceWjOekpKU+piD//OMPilz
vIfYgzLbWek1rmzBp3ROhfTFlxT7JhPqPCeHFyH6yi/gAsy9dZwMnxjXIbE3TWcQIWnPryqZGDob
d0GNFCNMeo8GuiCCuUFXV7XlsDdtAxgyIGEyq61zmotim2fxI7fF3nUwSNfMGLuNnXO4IYr6pndS
+6Jd50Vo5KS0D7pVLGW+kTKgFV/kfDG0OkjbZrCLs6Ve4bUqT+iNbZSTwS6Jy+mEXIxupWM92QrY
z5pcr2JtemTpCSgV69kY4ZBJ0rVmqn2a9AXtPviehNPaL5NhjUhGkJMX0MrDyPVvyKyT69orcarx
+L0a2t9CPoseoLh5hxrO+AnpkXlJijylxTk46zlQbHM6Iduu9oHW6HZe40kmCtjphlVdtfF1CYFs
FzLjuXFNPlwW5Nt0bgvqhFq1yDjQx//LvPEvuH3/XpZ6FnJ5FJdQB5nlLYXjv9iiSWSf8rQL0iPR
vJR1BkOvk5oDVmmXcdknxyypSDlLlWzZpvwbe/tPBmOqUs9iWMmkMnCJJlzojv96cTw4aNjmOj2K
sVLvc6bKqzrNE7DSobz/9ef8yf69XMpeElIwSJouM9OfLpXiYfHA23Gp2mrKLe/IBE1riqtvv77O
MmL9wVe8XMjxnZCGgxkIz/tpMCor0sxJXYuPXY3iB/zCEuU7Ep9Vpu0tidKY3PswQc88OcVrvfB2
WVXi5MaIkqW4RhFZbj9+pf/uufr/d/0jDNZL5s7/mhf6OdXvMLnSH4Chf/yrf3SPvN8CkzcEfgxP
zeJ6+9MHtwRYCc9a6CignhjP/zmH939jxm6BbeC/wLa1+TX+aCo5Fj44Gyml6zGND/7DOfzy1P5p
YnfIyHJ9rPkWPRGM81jKf3yBLGEmsnMT7/xhZUWIzo4noDXQxMZSiuHZxQP4zy/oL5aLv7ogUgQy
vrCuk6O0vGb/slzQALFqBj3u2YaAvhE93Is5BJPp5QRExJMW17++3o8rxO8fkJMC3xfmwYBY8R+v
xyxm1iGYq7NfJd4rCBAygrNMPGgXLtOvL/XjSvhxKW419xqQD0Gvzk8fTYFiiDspnDMzWnzCfqYO
bjvDzyMoEsDOPIdPviSjWEXu+DeL0198Sp4kl6chMKGF/YxChuPQT6ahnLPG2X0sA+RNK8MtKbH7
+G+pG+JHPsXHB+UJFGjrsMSw5v/0QUemL4VPXsl5qDwu5NcKI/mQmSA3+taH3VXaWZ2cMAJhXEZz
2etnR1Q4f5GDE+FhleHfUHj+/eND/gs8j/XS9zhC/LRkZiJhsolr6Yyfg48bLuEvwAX4n/+zay1J
dctGsPDRfnqgYo5VecISTXjkQP/DMXA/tsWI3NCqX379QC3f448vp2cCUoFP67Pl/HvPFeobYZmd
c2ba9l1bRCN1FokUv77IX313LEI0qbkYq9RPN9PsM8dvrdzhBEk6TRb0AGwCD6mamCVN0l9f7MNU
+/NHwhwloFcsffOfkXZBZIt+Bj55xgkKAdVGr3oWkaG9FT7v+iVopPvqLNy0D0TOlCAXjHsyPf/m
1/j3J9hbUvYs5Ef8n38DlEeWsKKIOuGM3saiR1QKtEVRGFzVFMxrs6HrsJUAPFGGzx3N9Y+X1601
8tK/hwj91R1wHLrq4XKnodT9uETJnGFVIWte3iWWxjRNpJMLKsVhRLT99Qf/q0tBDQnAY7K1gJ79
8VJQxVSl/MY+p8hQ8KEsLFHinVnqA4878euL/bjUs3w71PcmEVnsLFitf75YnbRVDpIfiQjgjpnm
nqpfSjunyz8E8GTLidXh11cUPy7ByyXRrfkmWzBPMz7yn7azmoYj7VM/PJkRkDOH9kTO5F8z2yO5
9T7VcCyAFs9QmYPMeiCbF4ssgtazT49/2ASp1xyQOqnDxwrSOgw8eADA2uIzMeBwpKL6uy+JY+oP
bzl8NA9ji8+DCGcLWL730+0vgzHDKkuFpMmO2ZlzMu+q1DPo8mvZ0XovpjFG7ZwptLlVVk/eVvDD
7pQyYNCSEczvGBURNzJyYbLS6W2/jsys0QQlM++VBbY72Zg4TfGUiQGIhIhJ6ELRCWJ64YeBaGq/
qoWa4zNqVRuNaPg4WPCe296vzpTY9gl9LJPxRTp2yzgB0JVnW+ETjBCQ2aQQNeIgtMuP1n6iiKUJ
E1S9uUpRtMVdapPOWzZcI+Cb9nQy3TZNYJqgXahkVx1N4GudVIsMzRH1y0SkybwnnjL06AYASEaM
vsShKAGuQ+ZJ+1VmgLT8urTqUyHS6V5Ah75FYEefkflRnH4RE7EwCGxtb5nBBkP09IGyLFvpvcrU
4mn/IHlMzLO/asJ12KHhcr0Wk7Te6zmyDn3jN/fKo2xyBx9/eBo7/Yr1F2U/bV52GDEJAZsa3asz
BsGVExFNhVSJbzRKoycKRHDrtq2/Kt0SaVbRJG1ni+8H9q9/r3U8P1k9tvk6dLhPhTeET2JU+qss
MIOuPLtFx6PROxEYosKnDgXrwjfGKvg7fr3IJvHwAfF2OmgAv++oJTv1robbisSvwD50IAiYbuHk
+zzZToI+d1WUCBpOyXIwMTJ6G3FD2paZWVBlqskjv880Fn5zmQMrwxCbbKRtwuT2loyvKcvIceqr
AAFNb0Y+1oRlvYQk3ei9dnpQZtZo8csAd5DFVrXsix5kAxJ2zBh69gd/LDEKyCiTW8AviSrSM5j6
OQswTRIiTWqHzbPcE478pE3MUfugJRAO8sJ4W4uFfd62PpQavIgcOtrShdVT2/GMgiKf47VIgdz0
VeO+Eg9HZ0Z/AFndSahPsT1bhxlWDz4O2C9fyr4viT9Lp0veIAlr9EjkC7QREdBBMtUpzav+GNMj
5Kfk4HSBHVTdxtSR95Dnc0ov1QtAE5EsPF0zqjXPhZPg/8bhgMHI1QhvXDoTUzlPDxLTz5ZY9Lo+
SZrgnIw8idbb1OVdW+sAhX7UFd8q8CffAwfIkMtY8Dr8IOVOI+PLdSdZmdZArYvtYNb0KulR1c9e
LpXeaXfy3sfZFxu9QHpJKcdaT6ns497pkJaJD55v1VXXYdaLAXGMTr7EtkFrqmprCPG4sBvwuGe6
sz52cD14L3VKFvdU1vMXLx6qk+3Q5MTq6MxfMF7KLeT+eU33mtsYRG6PNX4ov6B599tN2S+4H1P5
++UwqgmXpzu5WTK0tlj6+1XP4QXhOE1GFiZwyJUZ3XeS/nQpm/qYQTrbTW43fYviatgmRmrcTRDJ
nlPZE3A9Yf0nl12usgbvjy/Vq9+SZR5AHN9EZKmvaW+JXUELO1OBce2Micnyb0eo7SVmAbHxfHDB
7Vo2zAvw5yDhiAkO0rCerjjpBgfLXvDPICuHlfMBhWaqHm0wdSXHYGFGY3FMlraOsbUWonQtaais
+1LvQB3QIk3Md6gg1XOYp3gyQjHutIHRD22ISa+nLe7YlQBWQ3NKrjynoVkTm9xRqvfsCoA6oq72
v9g7kyW3ja1bv8qJO4cCiUx0gzshCHbVszqVJ4iySkLf93ij/znui90PJdm/JHdx5h7YcY5tiiQI
ZObee61v9dVt1nbc1BqUs+71ncqpGQmPRLsiy32c7EZygTeGA7YhkVNBwmI1DBudBalcXHDosKIQ
knWD+9TY/RT6Tj8RypTG0dpELGudtG07gNlkYCN/CYSabjH4EZE4Z82ha132Y6c3A0SrhlpTglbO
kg4Jpd2ncccSxGrMwawqWW0n6qi2TTjCWcMiyAJTPPp9BCddTci7DqZIq5eq4rb1ShsG2YZgyQwl
Uh1ynotoVglJtBnPfNRW+S8m2VLVl7ka1KYd7C7wM7vDr5uo8XPujHXomalmPrtW4B6byG0PGald
EaTZkA4mGK/oV0bkr0kFNsRUcRh6wczy8RF2BZQqOm6lPKBkcq6HJmGqlsWpH40jjWzNWjCHFdXj
gnzOZpKkxsfBbPIzw9gv+Nc/ToYSN+nq+mJdXbGsbtP7qq+MN4Cw4dsSx+N92Nv8cjzxiV+D33Q3
KrRBYQxRnCKrzFr7ZGHnwh88ZhWBVxbrOKQCkgUPnTvpF6ou5yvg+fJsLVOM+ixPe1QH/ArEltNP
wIaNf9xHHpddTU2jbpZ4yW5qgMbnPCZCrClF+0kNWuaX3SJ/LV1ruOisChGFGRixtWkdnLopMrHN
2COh3+R1xnJB+xELlqNO2Np/Jc9xvB+7MEWf2+tXuCXMX9LRSkOvySKXvZJJ+6aeZXjtMpZEaGfK
k4akwUIGGLavRjxWF7lNwCm93v5CWLoG/xdjZrMXLHk7jcMsSfMAetBiohCfdlFWyAcrrYhQLuRy
X8VRcKnPPf7PSC/xZYfjC66Luvf1tlXxCcTTZHpOqWPLdoLRSa8tWPjV3o369kCVq10m9lI+Iis3
cBGlPW4nQ7P19NBz81yP7PBfxFC3Vz1G5DXrbb4okjZHCkyWRrth5i+PgNrqPXo+/HsVJwvNCwd7
uAuJtgC5waCo4r7Mmpd06pjizJmJ999gGZX6jEkUOEcxkkqIs9jLcANfdfa84P50a+Eg+bVxobH6
fi4Nqw92zJiWHbN+dVSqRtiSWcuh7e34DAWsfuzF3D4xnVI++PvUW5IJoyOuHDIJo4hYsiWxt7IC
hOGhRIne9LxjH+r0efACbYizreJS3Q7YI/dFBrvAM7G73uDpmB71ZtSuzLiTRGBKWtqOJtHDFlVh
7urWNkevhKLW7nvu3S9BFk1kbsjuE856+220Oive6RW4bgZCgoZ7UmYgHAIYgF+WbqnjbUM4Qn9A
avzFjKbwtk1yyS6Hj/AkxwnwV1kW9TYCmDBvkCoj+2F3vtGyMfENZsnd1g05s4cELIAOiUo7ones
Ouci7ZE3aMomdJSct560kiW50XFl6KgGiuymcDOGYgVQnLtIk/xqGQ0k5nLVCALiaYoYVKqvFey/
vdB/ciJJ9EXfVWN/YIJdfx5e334Egn19ybdGqBDqgy7XOpdOjYvzhzrom4yORvf/dj4NbEYw723L
UCZ9FuH+3vmUJv/KtCgN6Ika1LDWfyOnQ773Y+FFjLW9vg2iOpC1xh86+lGnpqFoKnllB639NI/K
PM5SaGh/l0zfzhH5wxgFyxNzh1qwTtQAGxY4EsAqs33PWffSDPTe+EjCTXpd4rjAmgATA+JSVUNH
6huiv+Sgho9dSgHThfOyiSpAyZ47OAMhNV2CEdFCw7bvx1mce9mWL8UQDDcLjMkJBX4xEje4NDZE
Lka3uxhWwsFuEux8TUrWrY0Ifm+5fMRNFSVT6oUh3L8t4YhElsyzbe2iCXnZgT7W0m8JKyGmuWeg
u8FOnL7VTFZvWOqHHIVNPt0EQYmugAQOvnteUQttWHxS+1jOjVqQsvdTtcf1yb+VrVkZJ2jeFHLs
+PORXBcYIzmFKto4PiBVUbAQLl3WeS7vDKzdd65KwvOSpMNNnXH4SbDlbiHXOuzVbYk/amzsQ+5S
JnqJKpcQKXaHLtDh9LvVVAMW6UqmxmNXVZ29VAjO9LKrD4Ew436fBwYm8j0TpzTc2Q3ob31LGktT
6F5KcX0tCdAohEf0mnZUrSgJYq7CGkRKYtEgKFI/djJ6IM9tlalWnoeUJbVh2EQbzIyDYbpO60G5
BJNkceMyZAOosKvQZ4WbXtJW53ACjSq4CcSs7YaA7Xj0TPZzZjF1z2HmstW1IdqG6PTs8qDTNAzI
hMdJva1VO6w3jr0cFubFKJ+mhIBfvGNjNpy6ru8r/VrMedJJoGhtO4wLgd2jwY72MWTYYywvU8zJ
uHnrxrrL8WkSN5MFd+9P8b8L3j8veC60999nG39c8HpWvP8cXvOKgWvz+QcH5koF/l1AbL+bKunP
s+YZrKHfVj3b+EC7j4WM+E75bTL0GwbR/ADTmtwBihHxLjD+fRFk/ENeHP85bEVBSIcu/5tF8McO
M0R+LKA0nRzS4vgUlK0/9gMxW08IP7kBicFCcLlY6ACt8Om7y/InI58fm47f3gQ2MxJivucfGPld
OWgV9PTlgD6o3kx2uxCzM9ge2rjO//u3YnP4rmP+9a0YLDGeVUxgTPlTf7Mkd75OKPcP0xATw8NR
/8IwsPKLssKiCLL7kIMI2U+LqTYgmcp/ePs/XE4M5nwIBjB00iVS8R8vJyWDY46WQWlRjA9Gbj87
CHn+/hv+3C1kYsiAiYkV3UIiNn/uFtL1m3s9EDUV1vjASfypdUXp9XRgN/pSf/77N6M18PMFxRLP
lNFU1JxrEsDaSP9uXEfwMCohaIMHxKj1CR2qIG3Y1fJTagb5KQMkp95TicnLWxOKJQgNih6XhKY8
bdj1Wg6gG5v5F8RmMtWP/YhRhjbS4AI4eE9Cbt9TkY1aVETQYyFrsCIdoT/IX41k3IdD2yFFW7s/
TacbT3PrQhCe3T7f4u6Q11Hdu1tQnpTa+jw9zUnQXMZ0LsINU4iGlDda+Q8W+pzneLapLfIGDWVY
mjcmJ+ezRdW2GRSEHOKsQsSshdiEOXX/GqiMBcisd0O/LEekRlfgJIadzPMvys7OZaw+ASq763CR
eqNy8lOlT7+E6C95i8TyNarITQ4RdJtWC5VFvebcF2Jrtsn4mRK2PtpJdEMvV9vGbgnK3ch7fyxH
63qCHYVszwpO7GpPtiaCUxLFFBktbLt4GIA8a+7DxFB6O4skQTtehw+dBcWxd1JPp3gi4wqn3jQG
wwGxcuAnpCJdFa1JeQ7XISC/5MJEZJ76Y6N1sxeOc+gipE5AAMa0Ih5qm6iMiOOXZzgAmCuS82Ck
ViIQu4IK1HpUha09R+nQ3BQlkEvfAXD+UIp0uKDl2x84R2KLbRp42+SaRBdBXjdXZUYfzCjqdIfG
hlskr/FzleXsJWMh8In2xo76RX9SZeqs0dcTOIjY6F/6WAfg6OmzuCSsLXyIo5rA75h+XYCQbRvV
1qr9jtegJgLAL4Mgau6qpWhu86a9DMCLvqAA6x4UdKgDIAZxJSZpHfKCewEfUbzru2LaF7l8idLG
hCISQ/FJbDmR6xq7dzr+5T1puc3VEmrl7RpNb2CHvUL2XdWeW2X6rhlplJeWGVJXWRXN9cmM942r
+gvUaumGKs26JSBtFwQSvH7Q2QKdaIjQNI3wrZnP0xCeVB6sJ83xrprTR4BaIYrIhHhu0FMXSIFS
8sQGGqM9TilS7sTekDjIsEdmhxm0z5G5VH0x006DQh2a5U0+s29wRxPQQNc41O9kUM+vLYK7NSqv
uBzCRLvoQsvYy8mFjJFRQ9MNgAmNdNDe1nrNu4WppHfmosimMiTLI6giYhY0J3hx0q7wAid092EQ
jBcTgdzYp/rRs7Ax7Fuawzz7eJgMpSOEDfrJy83U3UgrG0/Ih8Xl6gPbBYnlPpXwsQDDxAXtuegV
A/yzK/Dzh12nn2NMvAdjkL9AZ73UnCy8T0sdj6LNlQY0dOoUBeEQpM0GAGy3DcYhBS1DEJ21JFda
W0MMwse9BXr+RjYcKFMikWb6B+FwDPAs+kLT7wAs7Tp8g7SCkCKXmJL3C6n0yDmt+hG+to2nrx21
bVU35a5HwvlKGwDAXlRZfjvt6iqUD6ZZuV4hUpwHhT20t71WSZxrunOM81EC5IoQqA2R4UcRZBXw
JNVyHWQ0lYAQVfNjKZzskgVpOQqSAbEAmi9NiQnacB2N2UVQegSA4YrXo8vQKfYRGwBEAx1UQhjC
089yUVy3uXPMBuMxzdGhG4HAbY1kT9EIxdELt4DphHMVBunnALe7t9Stb/eGeu11VVERyOGG7l3u
bsyMZ48lwbqJ52S6JGAmO1q50RwwsaXbclzGj+VEQ4TTEO+sI/OcvcziAQLSNCVfXDroz4JIkQcs
6eoOyr6F+M4VnsjyhD6LmUls6VHnW2gieU6s6Y2SAStmXTCkawsvRbH5ZEYmzEIXRa9XN9kKZZ4U
NQGrBwIRyq7FVpeZjMcaz+Uy3OStox3wS1lAZOxPtpB4XweX370OzATCjGM/ZO0k9jDZGUoYaoaX
NROCkCp4PJYbHXCg0OqcehOthmneWLFID5EWhr84pk9A+rzP5ojLP0TTo2Dl2uL0cnZcpOxBkpbo
mbpAsK51qXGvasu3CDl47vAU/TINVnRtNdby3BZyS9Qq5OCkaprrXlQdkLmEOw8H+QG8RLMB2qxt
2Ty/FGlrbAJEXjvcGu0xoxV+HBLJmlGjSbYuoM9Qgm2NrO2/niv+Peb/4zGfOfh3p6I/PeaX/7n6
f/8zxZ/KHw/576/8rb2hS7oTiiQOd42j+aG9obsfOIsykOboRszwdzovic6Lqa/tOhzQVpkXJ8rf
zIPigzQw4jgITWzw5KRn/caZ+XbmBlHzl6H15k9HU+RPvL3JQc6kb0JG9U9T5jpRGQOwIrlsIPTM
r6pU7NIFgwbl61g6Chbokb1sPsQ4XnPtWBoR0D2PUqQ4EPyh7xH/zm8NKmqgSnplelMyD8vFVFj2
Zx5UexuTktUs9aFgZ0mZO6fZOKt7xKqL05M01oMcbd8y3FbsUjNAa9OnWk0i90aPtc6+G8p+gLBe
WR345XtZQOn2rBHn2wvk/yye11Uet2ETlYw7TjF4Am9ybHaZITdnJivhYqYTs5WhqCvnPjLoCMO0
RmSn86CDneJEisY+bx9oiFvCdxIlM/05rhk29/uiGhyD5ryeg4Mntz6FyKDXnyKtbXZ2Xc23ppEV
YBnmMeGl1qwtv1QFwvCr9xvr32fwH59BS1BY/HWp7b02ZRYXr/95+5z9h4CPjjrm8zuF6fj2f/+P
wQ/Gy789iLb5QZmYbeH5rdX1+9P2reJ2FI/UWoajqqK3g+ry97YjdCNARKgt0VlJg5dRd/32IMoP
/Kfkt5NIwHLumv9VxU0V+lNJRe/ToONIv9FwyJKy17bkdyUVI2zsVVmbHBDWM/sW7mo4XNqQabgx
NO7kd0PFGMTR7Qi6KPQzBH3I2GDwLbBxPGOE6LWTC5IhvzTLsD5oWSmg7TKFyHXa58gO8th0LueA
kEs04eKarVcdOwUREHcOx1UoovI4xILjyJjQ++JZRaWeg2G8ZCRCE7J1GN7pC5EeoLaRR3BGdy5F
xJkBs6S4zt2VhV4WoWVt+pL+3t7IEH74baqtL3lPi0mTeL416g75AkF9UMuqNSKya1GdhMBSn/JY
TOdmlZoE6RoMJKvJJsPFKNISe25TOgDjbOQZ6B0hW+erbCViLoPBDqVLpQgin8HE9ozS2O03X4UU
hhEiZxFSPKxr4au9JsqUpdYf5BDJx3fVUSEJQmqlzkQSjpm4Dld5zAYVdfD0NWIaQAATV9tNIOxX
AH3ekibmCnyNTW4RL3GYZo46yYb/TE2CRKvSNF/nkNdx5uYDUJjzaUe4tbe6JEY9CSKKxF5a0bKh
W8u3Vms4l5NKcpMSne/uZiZZzz0enWtLgU8tCGC9linMH5wbYtOM8XSVBPFwlCXZQUTL8xr7PXLz
6zQ4n3J0G9zXXOGvP2imhyh5oKK4T0a//sJUWKgo9KVtPzJJIch6RFwuaApTaaNswHF0p+UGX6GE
zAeJYmAAj+MPuYNHAA6XfCQmF0zmew4PC7tmerZGePyexiMojGo9ej43VkuYTJYvGrxQ5kioMrkS
+lC4T3M2nrulNZEWIEXx3mUyi9Emdza9VYWHjDE08GPjoVDcgKu/mrs250ZPwecGO9zX/ElIc/i7
HQV8tmi9iTqdVnfE4YkeQzdwNxhNyy/rys6W/nsKPXFuvboipHgNsQ0RgoWagbAlGNjeNqQRdW8o
8eHG6B0qpGisV0kKY9k1F4nwEHC44bqVJRXejwKII6NURk4gY7hFrY1Y1aUlLAt1IMNCHrVkYHw/
j5LPHS89qpkcghesbpjbgMJpJG4C0ZPZNK2ErwL/HRvjep/MNPFf+vUnYugmj7mJ7c8RLX9YV+vx
3jUNwrQVOZLzMLj+u0wKDmXw9H4LxxoB7PMq3izXhz1Zb9LAGqbzCG2598Y13e09Hw/MBJ35iJyg
nWEpF/Oxy4Vbc3cQ0mQON0yPZekig6LBHbA+En1WxXuYWlw8AN382DoLB/tj/cJwsTnUZkU0j9Vb
4kGBe3rSCJTCpNsmTPySOsyRgCE3gHZJ2ttCMwHkrDmiFI5zvo5OClTcTvygNdwYngdd5wbTJA95
mwIjh3ysEBYYHd/6XddAnwqJWlS6l2OZuZdLDcx4072H25YA/qFQ4+8EWWu3kbxN3nPGtKadWU/D
xd3qROQdyF7SMdcn7qVZT9pWjhHTnqlcda5yasJxt7RzH/kQ8HnCjCZfE9glK1ZulGN0nlGLXAE0
c/14RmAsmVaeU5flGTEQEfC5yPhzwCOqI3QZYKsdbjidXt1DZ1Y9V5DAinPFjQ4CDY/yS4rG6eBS
7e8BXBkP76nrFqemADxV0iz3Ldp9dZh6lki58IWndNVhae6q0csAoj8EOvjLU1jaiENkkWcoroME
haq+xPterTK3YeRXyuI1iDEm9tUX5HRKanfFDU5UHD9r02bmqw4RBnBtgaatRu36QBjFiEuyASm/
yTE4Y6xrkaS9hzOPGDRXyVotrmN85A95TulL96Ba4THueudAUC7nk0oa/niDKuYtTEsCZyOTuxuL
7ANOBPQp2MISFK59c+jFijJ6v+eVoXgRUhg+pYF6CIotOMLrPh6I1UPTyvfU121kGEXd3Q0QKSYc
mi3r27vQLovkej+6q7C0qlfthFzDZb8uaUmLQmxb2SObkRk4TX9MnBaGDcOdsfEroYlbZfF0ZVlK
kdyPXF6ZoTZbn7h8cNTTWHQTtv7abKLd+8pKirSwsFc69ZOIweg+jSEB7c/muEYrZmpdpd79DSrq
zFd3zZ1O+jq/E1FveHhq32CqoWepqnUzwJDJ5gw+AhsoNrfrcTFZyDLODz3KB/T8mymCeBDB8Ynm
A8uPzMetCHuOEJsQ9rbwLCRAF3nRdng/7WAKuSSxm90tSQboL85sBwmTFj6xlZIE2Jk5P1GxynLT
fmKt5ZkEHcoSU5IaaZiJJ+vGeiuL/KkMRXNiHtkjS56dceIcIpsHrCtgBNaNiJCK7CGew+qCPca5
FYWtBzy7g8Q8T3RMLUR3beqrjhOJvjc4YfQY27WJMrEIfqk7g4DGsmZI5ppe09mebsMgGDd9LnIN
iUw3H9uor4i6cGk63EJ+Kz2Ag8/Q5HYVfa+dhrr2tkKemeT2OWCmrD/PVlZp7BMA/oIjGLecVTXh
CVeWtV0kE9ttpYMaAza4kErSdqB9rFolHqTD/CDABEXoVCqSN1Qqd2lhDC7BNssO7NYI2z1KQe/b
44wgtKAntpstqN0Hl9uy8UKIrBOXP3IvOqmWG2fq7FObuGxz8VSvfCkg7/koHpUYsBTjHLyJl9Q5
2UbgbDOhOJRETumHDvaJjV5NZNamdn8B+Fy/smUIvbHVzOk1U2XyONv5IylvdXaZ1a26q1NyVrSu
HR1PMT/eOYMcvrRz4/4aOchA2xFJ5MJN5tfETmydZm6IlEjcgz7Uw3aeOhIKnGoinEhB0WQUnVw5
TZTMV1wv6y3pnGK39Ahp8frpfhiPj+4aJ5UC3NjbwfgLwnXPjBP717Ce5nNkzsVWAJ3fydROVqB7
c9fCp+H4U1i+OeXTp6Q3HtCgMpkZ2/bKiaPlDjCJiVisz3eo7NQ+cAeaz26s/LBuH2q3p1XfWJyM
/DavyytS+liigLt7pFdVfsi54dTnjTgZ0OmgxJTtMXV7dVlK7NlctMIf6MLfkyxRQrKtHV8jDAEu
s6UxHMrTWwUfjWz2k7ak4oZNALCXAmtMUKN1zBo534Ww1mUhi4NBVbh31h1ColjDUuv2B9A4OFNJ
H35pmUBtafS4V0ti3vUx2TtoM/Vz2iTOZTln3SMyWe1yzqsM4qZj87oREfCv3ZDRiw0Y6p66qahx
inblx2S1dMJuAGHK/W2kD0YTOAd7lNq1DvjFY+e1cbOrXW/DzE/KND+Oum2/amn+cdLqFH0d+RTe
0CAW1YiWIs3MHnUk7V2/14M08kwnpY+dxeF2YUZCcFXUHYfCfKuiUPkG7BdPVHq2rlbiOCeNfA0a
SMNbpALTR1UaPqfrhpNgrBfbOdVTv2Nc9BDUrCis/E3u06iPN1ps2Ay+J7knLmbetgZ9Q3MkIeQy
6jX64ZXsE7dnIXEarl1n6mcyOjKBmTlrgEDaNdPxcxyICVZ9kqvsYC/tEL6x+Ie7KDHqLdHGFfkG
A6kFYRRQ6ZehDPadFWksTE1sHRxwIE8avTWHbS8wLJBcIto2VUcFEtU+jYvyKm55LmLZjU8V+o7j
Ak1nQxJGugN7ufgQPvi/iR3vLCQQj2M4OdziZHcq7RQzRRogePc52DZcaOElwurraOja5zXe6CJv
nCsrLQi/4TRwn/eG/pEoHKvZEN4RdKe0rmeCT6yq1495SvTWSavFYhCLJBN3R7upr0c/ERonJ4j+
EqVB546cZhmibRg2lM5LUCMHPgRJMlbIpcYZkAlS/2ah35pAazI97D3AssNW08eQjBm9ly9OlLPr
rhliFipaRyKdGAMzB67Z8M9ptWN30N+F2kOD7NE3e86gyAg5rxVjy0HEGhR7U1xX2XzSxTKdZ2NE
E2+7mZfXI8dypgHVV/HVX3ax5E+SHbjR1PPKJHLdQUdIJ+un2nlAAp03dXSorJANk/ZouUIhRuQj
E4u0bIv7Cra7Os4lu+h2opeVnrAZDOdeDbChogGpva6venoGmmzTouNUrcWc6UK1cJqIV0tIFmDl
3zRr6Vm4OlJnDRg4O6XdTKDeaU+8fT0j0+DH9/Uu7C/majpHQQz6akjwl6zbymu8BlIjunawIRDW
woHsuybInwzW/2gVFviF+IuoRERTwv5p3D24YYzszclIHxqgcbrzhEQP7wVzqMZ0oY7S8SLxbWrr
V7RD87nuKLrriKI0LqfmnCO3+YdP9Gc/ECovKGEK6QL7yY8/kGZCdezZAEkBIOcVHDORtR29laeW
XgXxIqQHUxsbpMEDOpPHauCgXIAxzvYCXSVZgW21FhOc0P/+g/1kDOLGIU6JTHJaL7jP/uAQZPSZ
xVUXJ4egBNW/zctSTs+LWnqsifNCArvKXc6xZcEQxNoQoPVP5tA/+a3Qm4v1g6xobby9P16ZMbJE
uRhdeDAnF+1QULRhvO1dERjXgi5pSJkSVPtYxlF40VXBUtALbYPrsOjEg6P34prRKPXIf31ZGLZJ
U6fgY8L/8w1UyD4oo0SFh0KjaEAuiWh8igm/4ywfZMC3DM7MfU5O8VYbwn/yN74/rv/rBjTXi8Hb
W+tfFG9oAn+8JsVspwBZkHuZc0YRnYh6ZprSQvlO+EGi2QQxKUdHPqR2oB3FWrgVCqgRbKu6Mm4w
Cg4p4dAEyEaHbu29VDUt7i+rXP48FpIt+u8vl/GzHIL1x8bzie0VIKDl0pP/oXcXCa2O58HW9jIy
WQONcsGU5PRrqVNMLBcs/O4lYXCDdl8YC82TKY9YB2ZwdveTa7E8hRI2mmcuGipa9GaOx+rE3ycS
NUL/vT0kDUxMm5EYjekSAiWR3WVIB8yL7WoI/XDAsrXMOe9OxDHNGyudGac5FARv71/23270P3Sj
uQ9XX+Ffd6O3rynRt++96Pu++b4T/e2l3zrRrvVB4eBfbdnSREGzml1/U7zqiGFpQWOC/Ubm/70T
rcwP8AAY79Ijpu+8wvm/c/47a2vbktyH+iov+mkC9HcTIUOuT9d3Tx/eTOy+9MIFAlacsGK92b9r
RLuYkLogqLULRTlyx+go9xfVmMc8W1IfiEy7pSNjnJGoD3unVIsvhtmFJuWgZkzL8QEAco4LmsEJ
1bhzAMWKP45TSOFRj6IJsIoImG94DivJmJOQnUA1GQUGhXKf3o7U+qgZ1/zUFBsgcQDE2LTKRUCz
zoMVjMFNrTLjvisAsFYVwayLDPNrNQ7tQyHJciFqVm3nvsnedA0cmSMfyc/4Iquu3pB8jXto7s4J
Got9PQJbJrOoz89xsvRkQjoIJmxOaJQCebofyLok2LKYLufRso95CBQ6SRYogk3gEhHSSy9Jy8Xa
hlxOYuohuXBoh9Q1TBO6MoxOqN0h+82HhdOTr1ekzlVmbV7qjXPIMuNc6cizZOeKqzwVF0Uw5dtk
4sgb4j7202g1itROsOsoSz1umNIH1N6gxU1JCuCohxaDsI8CttGCJ3Vnm5p9yhMiSwKI/5teEdY7
GVC7D1OBKA31Kat4mi33tYnqfpyjJ/igxuOYm9ZxQkz/UogScHVb0xWbZRlcAzw3dD8rGey73qqS
0S+GIsCZUTQyZRYWwxbTPjEkwMO04cClLbveahMOsEXZLp5ultTfGq2bbtPhiTvXsnAgUlMT+6NT
ywnLxFCP+5zS7IAOGwh2XsBjjNkqb6a86M6a3ZE2MsdaHnUkjLVyIAQ3Ni/xeZFQINAh+1q6kOiF
tSnPNkmv0muNjM5K42g2TeGyL6tmaZAZJRAGIgYapcOEccMf1NouR2WIqcXJDorOal5KIzDPzVKN
uMnctow1Ct4GDFgy3gUotcGbkQIY3iAbJhNx5waR3i97YmCb7uwigJ6tR6KbWv1eG2bLCakjkyx3
6XTlQFp2+PgdRLmb1CqJtbgaYw6GNQ6LoEDKkOnimV7OdDcCMc6xVBaUyEaMTc9LtXDCXmy6gaf1
SOJoMQ7aU5SaKC+Mxc7nTWflExw1dJybwq3fzCWsl21ZG8G5yCIQ3qwkcNcSCtGnACl0fq0lsyG8
HAzlzTKM1rDLaFsQ71NHJeB8itITfNPoUBaZBiKI9oI3Oj2k5iCyUdhoDQBlAgE4udaW/KWOFFyy
MA9vagKgbyzA9uucqvKsSIBi4gPoV7gaV81ErfsT7pNDjIvw1mqb4glmJ7WbjWlp2QBhbClLXdEg
8ktgvTs0aZzK1kZY1/g7N2GHdp5uXMfGTjOJn3wh4CYxZTfTTlt1NHrbnVFWF7e1U4V7G1BqJAbz
Bo9j+BBk1XRRZchoNrUWLl+BDP9uif+wJQL6WN0Tf70l3n4uinYGIFjEr99viN9e+NtoVqFdZugJ
JwrFg8P/+n1DdPQP4MMFG5FlIE94D575TQxtfOAfrbYPPJiolc3vHCHuB8ofdkQs3ng4GOn+Vzvi
u3j2ux0ROTT+FHTVuqGQ8CKL/nFHzHLZLnmlzwdUD+m87dekZsIaR3ltBJBe18EApuw8RwC1Gzur
djcsac1ROaXQd0uNfsKLMFGziLZdZm4jGD7apk3Dnmi7T9XQBTejZc0X+Sx0rFo0XjeEk5tE1Ggt
9FYxA7wku7piCtIKzbeXmXahEQV07ehTYIoHk/7ESKPhya2jaw6pum9ry/IYGGtKt2II6zcu0YE+
E8ea8ISGPUGvXVCrYtLt1yWRFjIrwZF/U8ICwshcQTtm4Qq2xDQfYlJOP2tChJ9GokuuJl7z0ZzL
pN8C3FWXUZ4FADvtVudhhrQMCtMM6QFpo3lLSZNdDKD/buIy6q6GsdX2IkjAoekB2Y9lN0w+RvwU
cWWYDGxRuAsncl82GkNDVGy5Swp1Ra76kJny0Wm4zMjvaGD14FFX5CskPXxwB8OoQ99wufIqVuIE
ezC/7TRp7Tprye8AGpe3Se80N6TpQpob9LQ4oRKovMRZAi8dI3CrnIU6b01VIbIk1H18MmO0gaVM
ildB9xidTnfZl+pjC07hXiBMc/YO5wBUV8zrcHmjs92TIiqfpiw1dujnnD3TD04vA7zJK6o0lLlS
J3y2BNNtmkN7tq3SSXzLCsyT1Eb9S6tZha9ycbaH29X0sm1HUitUqN+qfiUit6Uh16KwfxEMPh+Z
w0w3Q5uYgG2QFrdO55l5qjEIBVAgiyk7UdIGl26VFHem3qkrxG3P8aisLW2cdDtb/QwpMgzu596s
fUsz88Oow60rBX7oNEnOsLn1G7B79jZgMnkMLVIYE+n4JLqOXtTr5TZYyhyM9VAGhwTvKNt/nn6h
7fJJBK62KxVD203UZeLMTQ4FYprqY7sIUu0zV/oCUTwoAUNtrcK8K7nbPBAdFwhWo03u1BZs6/bj
gmaBGFWSMCMIHhsi5fmUbWR6YY+aWfQiRm0eaR8pYsNjBY3wbGYVHnYO2MRBt/RctYgkKDENjF4a
xudDzX3DbTtuJms29tWM+rkvIg56OrgGsHu96TuCQnEeO3NDggiA072l8jkUj06QTfEOZf0IBtAU
i7L6bQLdKXLOo0VeaOXNGmmN94aRmuO92dKqUuyTaSSehOJe8HUziS+sRrfvGNAE0fOklpz4S5Fk
wATdks4IGcUz7z/E1/gQjGcXW7W+yQgwHbwmkIgpICZp5ke0skVyHFc11iYrl4Rvw3xPFfuGzutw
P8SxGu87ZMtYVMNQSyTB4CB9XtK0a5ZiS/5NwZktMlvDmysi+IjzMSZWth6b9Av0jHDNShWwGqGn
5tyeYzmzfc+LoFsv4omv74wzPPGMfCnHr3PZpeFh7hz10pfF2H2yUxfG+AvXyO0JVe//P3tnthw3
kmbpV5kXQBng2G/mAoFYGQwuoihKNzAmJWLfHJsDT98fmJ3dEpUlTdrczJh1WZlVVmZSwUAg4P9y
znf6+pT2lckWpIryntKPiIf8SNKUrVUocIc+eqjywZlh7JjC2YheiogvlqG2/7x5/T/j0T3UJf/9
ZeTBv/2D1sLhv5IR/h9JjLPwM/7qqL7Ji2ce/z8e03/+0F99q/Uv9E4grv46bzkG/6tvXVWOjuPy
0HzTJPKP/vOYfpMyrmM/JrTiv5tW0yRRDiIaEx7QO/zcP5Mx2pQI3zethg4rxweZx9RToOR5D5CS
Y+5VyjHak9VrKjSJsO7p4zBm9N6dnVQJCA0fPyJKo2RBYiidgYBzuhKkh45gAqmgELH248BJoz18
AHaZw9wWYG78NLvtYXl+GWXqfrYXpzolBqdaP2WCA5DpIFqMtDyhhkeem/tj2I9Zdc6aFphClTT1
NQvQZtlzuhPXuYybeElEsytZwvufx3QmmNvTCchkWDQ7T+Ok2JbOwnZZO6XJORM1UkwT/SIBRTFc
7+dxDUKhuyUTpZY13samA6h5Zj+S9PEO+I9ubSBqAndgpcgEf7oAc6by2qGTXppLTXAgA2/VSXfj
VnNmRQe8BKZUW+KEdRw8FVpRrwjoIAC9hfnAMvfiCYIapiAquJ4gYudyoP2MbF8H5jqOLlpuqhH9
ZZqKDuJrnqQ26yRWGzZLlyqrea6WAxHNJL8NrMoCAmTI4FS9D44/SLwFNncIt9haNrkDmK7ZyLgR
CUU/7hMebl/Z6c1whDY90BEb5Ck2m8AV1hjvRa4ieXHLXjvqE/YOPfOiACwvcQr4d4KsS6pjomnj
Psab+iHXnIGFb6fDYaA9uTOKyd45fjM/u02G8QVF02bO5yRMa1bIo1fmZ6ml5r7urJJ4arZjeTXS
zbZVDZhsLIajNyqCYgjWLsuqDtFyxTe28EHhJIUKHSvOQ6u3zSBz4vrQLQQayHIqP0WVBuM4j0ib
XbSxuSky5yNBr/GdyU7zlkhX964AWv8ZI6yCK4/XRzaJuuN+qBEe1Okj2vXothD1/ClPGk1spmHA
6s+6OCRc1b34fh49JsTIHVTiaDca89s+YP/p70ZXmufIiYq9hp5rCQ1X5vMjogjYL1HhfGwdo/qA
OCan+IySmO1tRqO+QQXgqk3NRPxYSUSSgQ/HgZD5qj9OYL73U5HHjxxV5pW/uBxJRmNPD4x5MRV7
jYyycMhl8WpQexQBDTTHAOKEakvqKQQh1NG3kk7zKCf7IcNp0tHIm4FlKve8FjogoGFbEMYhh/EG
KZ24MpSqD5bFpKTPZj5r3MvyLimciipYEVscuc0fk0g+GS3HZl943olPGihWgwl77hpSFREJ3kUw
p06kJMuH2DCXpwFRCGHckxIvWS31K22pWFK3remewAb4OytrvmFPiw4ALNttAhyNT9DNPvi5NzwR
SFB8Ao2ZfjKnPmXW0nr5pxb5NBHGfMMcrZd7NjVi67tTv0sbB0Yig5rSS4s9+1PysvzKPk2KrGPg
sQjL8E74GnFhDCMWGz10ALAuva2iTOG2aZTckHFkchezWEpsTxVBClkptLR23tbTQHJXRPXKdekD
F3PFJtZ0Rk/ddKp1vwrN2RaPlquZN70mP6aL/JA1mvtV2TXJZXjFdLr7icHBRlD9PuDctq5KxFhn
ikiYWFkXhaCvjr7VudfzJFu+GkP3YSECIkRIVb84A8OIZlrqWzPylz/aNY4SeH9BKV/CBImz2PoY
JxYZtC1EmTX4hCBfWCvXAOOGzz1xu1WNJgQBKFnmuWEsm0zJE0Cw+Lkzk/RbMaH47sb2LIZo2trO
pMJkHMwnWqL0YGou61w1TfNZqDUtg3RgUuF7ofGNsxKc00i8duBRNBa3QODv8qyDUdP0Bgu+VfMy
wnXFQBMxtgwS8sXUQSS9uq+ndSqfx5P5gYbN+yOfSpaBQ7pqkrxVxIPHbL63tIh1Pqvy5wGx6hVo
GlaKc79KaodVlBgbFcm3g5fg5JkArrur8mmmpr+46AVmsGjE7RkmG25kAzjBSo8VfwNU+Lw2eRci
tnJuUZv8E129tJx598bkrE77qNvwh7LFzfCHIDvw9+zc1VnrRbrxvcZ7sWppv9aa9TVtWnE2sCT1
m7llgFT4EGpYy/El1/JrsBzetc947wxzhZSNbHlJdOy5rV7U6FrVx1qXHxhT6RvPkAkMeJYp6eAk
uxTr614ndeCuNWS91RyRmBurm7pDrCWXIh9jsqDTKJSVNNDX29Y+Y+O84/v+ki2Vd98KDPIJQLaH
2MVjbySyOU2AhLYSLmpxTQYLjvquGq/rSo8P2qSgZjklIRUWUp477twyrHR/uk1ZxH5tFTvtQDRG
QdljeY+xE1knfkN8elODRNluqIuL3C5vy0izd4WY66NR9WRDdIRuzJ2enjUZu4FTVfW+H9QQWoPq
PwtQ7WHhMScb3fxL3xl/ZG0DjoXj8TxOZTwETjclt5bXlkHV1TDSy4QC21Tdq2GO+RaMy/Ah0x17
+yYuq2Mv3zEk8EJTatEHyOvdBYJsv598s+W3SOUNnjzTIMDFl3jmRMlQXCbacUL7k1rINKrpD6lb
xRcSPoddDALna+kRJUc8AJ+r531JvOKbJDXgyNxu1VDleOFs/grKuB/M4AIP+KH1o87KKUT4zdSx
T43z0mjZi595ZAgyQtz3oHQCq4uKu6wviKYghWkHpKI9DhQk2wFb78Ek2GLnKiovbSK3gMH9eJWW
NYlMhUIX0huaxkx56TdAKcat6XbVS29P6Ybf/QFrpbEZ5sQ5TKPZAkq7XqypOVRWma9zCLGrDful
1Zu7YYCLVqVkvFsZk12pQx40tScjBWGXJJg2U0J/A6fQnW2u1xfws3eu3u39rt0vUzkEeplPoZ5U
9x6+rBMCiHgH5sMLWh9Fr5NWgijQ5NQtRbxjNnFtlprGZFdN+8IZ/AMDStQwZnmn5dUt6pFk15d6
Giw1knenmO/8cTDCPM2LfdeT49IvTRVace2Rkj3gM2OXwEPYNW+0XhGB7WvuQ2+J9EC8N8o12/gG
+F7b2jM+6RRhT4Dm2uYgyxPOA3O4m4Thv6TljChF4/arO+3gQCkBvT96HMaECY32QDSf3wxHVUof
p3msBXG6eKeSzOoitb+AWPr4z5up/5s26fsu6X///5Qf52Lk+lUvdZ/UX7/9r2NXPFdffxh7/vmD
f409jX9BuHmja8OZ+QEB7hr/IgYWTCoDjx+DuMHgCAPT1yp0wUz2XUdl8cdZfxpRqJj+ycATfdGP
3ZTl8R8TUCq/A7+X+X7/38p4kKVPBITGVzXI5qSmzOHZgATRR70l7KepHMdrIkIRoA3NUxHbawFO
Hk49kH9QLkkeNhTNfCvK6rYY9EeQODEnWdFmjIUmLyQvzTxKZGgba9bcHUvtCV+Be2mKMQ+EMm4z
Ncln3yyvoZ5cMx5DDd1EYY9+BRFuaVN+D15AS/Y66EN6KbmOmxZE17p7agNd8xZEUII9mb5c1b5+
6xidGfhyesaqqiCiyO1swbKRffraEQUWlmY8bxH6XVxT7Sd26tgCqlc/J7/FGO8jZRP2mA475NPX
w7zcWtl8pcf8WxycSHDTZ0ayNWsX8pd4thSj8YIt86mdux0PwWIjy8T8FLXWIZUeMhKdRU7dEaJa
acRs9eZTPhbPLtKqnR5P97rMr9cr0DNSpHwpXrOVPNbFfbYzC7KVkPgixYxdvvPT+BCb0/3a+m48
CB1HWfgvjFP9vZFYB2THoLJEfVwKJDTa1HFhdH1j2elJrGJjlasHh6JlaqynxMxPsSqeZZs9Iw27
uIlJ5eJY3dbiDU1W+lr3863Frmg3m/2u9RtkilZ+WrBhBKpPOPAEtaiouVAiIaAlgl0ZMFNNtmkO
DG3Qxhr9CsOtWFuvZVI+cxoyaV5Nej3jpc36Wo3FvwAJ7Xbq9NteTPshWa4MD8uANupXjUto85gn
rybGv61tpNd5rq4YwdsHD8AdbQLvsLbmxyXqOXl6p4CiYGph3vFCY+plTN6t5SyJg6KVeZRWG1E8
q4dSt0M1V4AwE4ljvE6fK/Rg20KoF69erkYRp0zDZArxx31Klf4Hy8sbH7rAxpmM3QwGcLERrAN5
eljIc8IX1HOjmoe45DPSdK/YsOVmzEd2IZ6HZDtNfJ6+aZgnrEz+Vi09LaUoSQXr9McqNl58moig
VIRJ93FxolZ7aOXwYKnitdRJjdIdwqWHUj2YEcEnMBgbKhjWEIujJRvDSKn41utuVA6doPVUt1W2
Qz13aYAOc2rxc7xPRgAk/02m84RYd+Y04XZk3nZpKJS/ZBHLClAUc0hhMt6ZeIPCQsURFSNlO3C7
8dC680hqkz0eu9LxjmrUsGwnc7Ftl6Yk/reZSSCCV1QmbbcRWmG+9Eb3ZR6lczY8lGjcNXXaWqGk
g81CwMpmSBjj9By5NVZ2+v/C2WdWWz3mVfRYKjp3Ur86Pw2wI21UEl2sKv9C5wRrVBVb+twZHUBK
xvYst1S+oD2l41DAphg4Tl7dZ4HjtpdCS24rkie3k2Y91ho1JdJsyrHBflbVLF+qShCxrGXJtiAd
zXPnLGggDu9KDuWQKjG6NXobj33F7b9k4qWGIIMwqST2fdQ3jhLGznQ5oPktGCsTkQyii6UOwEjv
BjTNsFeCm27O3SdXc8hgbqdjNMpXbZJXlpP/Lp3zp6e4L1iosf96m7C9V0USTGINkKNolUd25OhF
ezwe6pLa7fUSGc5vRFDM8r6fwHFmMH/jQDMxEaOUeU+gYaI+VM6MLTjmqx5CPiDEDP2DQ+H7m1d6
L9rjlVj3UcgiqyAC6T0YfXJdZWZRUx9Enz/7K05jfRxnxjRvTKiolPJoXXffHeB/o6n8iSC0vqZH
BLvpgX3lf3n334liYrPyE491PUNuO9na3fhQK77YmmkdJg304fp+ccVdyY6n269f+id169v7Be6L
RJuESOSKP742sq9pyQCSHjowNWFGU3g7Rw7il06/QtqSH3RfvUydGnf5NI6nbOz43vrVGixGxh3s
prharoYYSeVi2gcfl+YmI15YeNPVBHsyYEbbbBhTBG2dXVeOxHQz3qsyftTtBCGZsi4DKDTSz2p/
bxOy9Tmmc9hYHo+HX7/Tv7mFTIstKwJeQ7fFiv/7/iKLIvXLWljVIRHdzqr1W91fbsuF6cFvXue9
HHW9opYBKMm10VKhvfjxhfzJ8BT/kHvVxwLLXup2po3Y6mx62Uz4WYg297qPjfKuGOdbVCjlXbIa
TK0lfm1HnstrqZLlFBCGUFex1mHWnIYHzXcuphz3icfj3gaZDHpvZSkroZ5iW8x7ON4NQso5vRp0
2d1XuXpUkmOfRCzr1Kce6F+nx4xXpa9RSu5dlYPtlsqr90rLXqN6efTiYbf0rG0U6imUkAfsP+km
LiEnY5W9ysmO24hhuSW91QxwDRg7gCFf5Aojdg1qrF9fyPWu/2Exvl5HoGOsxgkewyP943VcaEZa
C2/eYZmwQFFOKJ5sTFrBkk/m4devRYX902vZiOP4tKCT2e+FslLMKVaFucJUMd6D4TmV9e8emG/f
pHfvB+OYsNhWGCx83y/6oQiRpKjroA38sdl1qRIbkIUESImXdDHnfU+Cci6sg6+JyxT5ydatihPj
1U+ER/7hMaQPRDnKwCsy8zBmHOKJz9OpmctrtuevizOZWzdK8wPxbsuqXcHQhPf2XKTOdvSajx7b
akYIXnwEqAtEBb9dYBgmlCe/bXZCoocjOV7sYS72gS7SV5tZYdCm+fWoctBb8bzxnIwC1WAfaIPk
qlhsbka9v68rQYqcufwmysH6m28snwWCV8B2JNvY4scboBINnJy5rA5GQaMwJmW6SXtIigKryTWR
s8DWKLfCYvYuyMxI1uukHrABvukz7uUox5vkVMNuipYJJZNRozfQn6asMUN87gxYR+cS4fXbDJF9
SZBZMGDkSdSg7w/dbH7UxfSydHpADPUHRP1UVS1vWGpqnyf640whFjRR0uwJe9tD8bmPbWcIMibY
gdXw4OscsN6+BhyToAR/L+zl0W/k+Ce+4d+6E/7mS8KZsf4HMQrd27trNMUtVMtprA4T3hBKHBwJ
E7+OhVwiauLffCIQ5X7+nqz4Px5r+Oe9n76TrWXO7NSH6iBFV20N8jtAsmeniJPKN/h8AGAwUyaA
OBgFjyn0gk+se3GiUAAOdeQEdQVLLS3HdusjnoCWxxC5mr0/uhzY1ujdFH6Jm8Cn2ldVbcId7l7K
bLlXBQoWdz2Muc1iM38mnpUqdRKbbCFZcoAlpWqxoVzdjn3m7Xo+0rf2crGUGbIxEhtf5idG5fxE
M427Jhr6oFj65KjwQr81QVGliJXuYQFUw/SQ9jSSHjIa2EW0evYyPcg+xse0qkXN8UHkxi222hOh
fcyf3SHEeDGz8hhQB/J3onG9IZth3BmW7Lbr16hTNuDN6cGJ1wYCujjfJyJvipZqSY+ya8XINWSw
1G0lS/g2s/mK9VF7JuP3RRKvO+H1Qb+dXqdIUje+ohRHl/6UJSOua8vZmLV9AMdwguN1WuDIBhJn
KMPp4kRTvC8jTpaUXJug49vhTP01VOUvSTdVp9ywGUyPoSnkvFkbI7Yu6X6CP3VFTtCl6K0nIdPf
ncfO33y9qXVsFnk2K1xTf3dOFrOZtXgny0Pnzi9VN953OufeSJsV2Xyt1/rrrdWu0bDuep9K7+07
XyVkBUzdFLQZP4Y6IIQNlm393A+9UZouiZoxJmDhVVtfDfOhMDqNBo1w8yC20i3gp/gF/oJ/jV8O
un7MuciIC5E/z/INksSL0HjGZP38OJqUW7o0ERzq6bBRcZ8z+KSyjmkMOQ8Ts+YDiSmz3Wx46LH3
B1Jg7/JoSf2huB6H4d6ysbDXBUEXqQQY2E7LVZlM8BlKcrIMDUF9Pb84HamvEmeYS3eAptm5jBwi
NJnDg+mo27Wa792/ztf/ERb+Rli4Ok94TP57YeHjN4lOqv9+uPafP/PfwzWcRoj/TN34Uzn4X2IF
10THYLk6urA/5fK80l+aQlDSCAcFNz0ztvcqe5f+Bu09ogWqU8v9JyO2d8WMgHnKkQDZiW+Vy6Bv
/efftRMIfIYFix6DC2K54VsmXsBdagbfXZO/aVrWr+cP5YxjUObim/c4eLgS776+0TC2woT6eBiy
CoTlqPte4Kmo/lKhu7stHZxWxdKu/iZSY/7UxP7bU2/9vH56cZaSVAZcNpeL/eNbTJwCEEvu+QTO
+DXqdNlN4agMXpcE0vuMddZz7JeNTyJLaobdMqfflIb8eOtIxwwLabAaHuAW9CN9ltlq7WnI6+Sm
8zKmJ1lBuilNdrPtYqJehs6N7ktIguGvL+DfvgmC45CV8AjkRnp3BXVpNUgeFv+A2VRsFQzqXalB
ckhxen9skVRtIiMHKqKVDCIMHVzH5DO1g7+DablPfQIMwdDf1p3nATzBS+UTcoKyIC+OiscldmzM
kWU6rNkqCzMKrcR3+Ov38NMznJvAc0GrM9PlkfS+qeqwYw7Ye30IXiT+SLSQhNzKee9iivj1K/1U
6KyvBCcJ1C1EMZS8P37iNvursjF4pRFPOo0yMIze8dqT7M32Trc5EX/9eu++RAzB14IK/iwuNW6y
91RfYXRVxRKW14tTeccTpQuWIf6dRfBvrp8FGIp8Io8BgPnejOZLHhcFGfHUU7j/PK5aY/rpIe+8
h1+/nbc4wndfV1ug1Hf54oF8e/9QyLCu+hP34IG2Daex2yFq97ln5pkPbi5NEGlGgiwWJUp+P4+w
nJrCQWGSGdF9MtDjl7bd3knosaxGRzhujbEusUfUDYcYXOSpLqp5n3JvfhxjtD+AnXWLWVs2IdOx
Yl5ENSv/0GMv1Qmn+zQ5S3r49Zs033rCH94lim2aFnRaK/TZt9/ZiyIRFUx1pTpMrDaDEq/uEaZM
d9RWvGGNGZuRUf2qCgn6cIUgcvNmB1CRw240VkRiAyyxeeMmIigMW6dCmyvy9GL7s/XFnQAt4kxA
8TmJDwZjRQy7eMo3Es3Lg9Bzf5eQDoxEC3Aj0c0irFaYIyoqA5vAFx5n+cHpAT7Gg6BUWyGQnC4J
0RERoRykVx/QZcwskMFGwr0y9p1Zew9sqLNjpuG6q4wWqwqi2pcEn9amRM98hOwJShNfexuMK6YS
bWvBao8tcDMKi7l3M2ycwYFs2RvIhHJEXY893MtiBWBWKwrTRqL0dUYDRWcJKDNGQbm3Iwt6Zuaw
YF7yBrHsCte0E1N/wKFVfnLJIX9tCK1XQa77OOt9UuajYKqBRdQQRp5c6DShu2I8wY0Xx2wG7bm0
vnNDhpQX9l66ov/KdLoBhdv+UWUrDwZCqKagoCQwQ7UVHqphEmHLmWJ3ceWpLJGRF4jwEPb460S4
utRRAzFHIQkN4hVRSpz3HiH6eb2eYV0QJY/bDS38ijY1wO0SOUvQEilNR5jSJQFqoFC1NyqqUerL
xRg0lBTzavfQOV822YpSZfTtHYfFMp8lkp5b8KNddez1Abm92+ERtXao8LgjVkTr0Jrmc71iW/NE
QPpplEcegajkR2IHh02ds+4FWpGhVQb/OsGBTRLzTkRgmHm2jccehk0wayDaGK6Jr6bkM5eO0dzN
srhOI2Dp+PFzJGrFEA4rhDYpe+iEun5qBFQnPbYs4BIq/lBl8XUUO1+SFWeb9L1+H62I20w6n2aq
aoETKpxkl5Eu7/iPPWSanSmlcXbVMCHRA5xbjwsIXVBiwZDBq+lXwK6LuZ5HFNBdo3zbk9fqSkPC
uM/RRSFOBtOrrcDeZkX3JtBONyCyIV/g7R+5ucbJDTmGcuzunkO/NqVYkWOAwLLrtCt7qetzv+KC
pbLn54wdDSCLzsV49EYW1kXW3CzIt3lMdQZOutmwSNBRxcFYwcRuzdfF0QAS469qxYKBTCDSCkB3
MEvvk2ij9Kx6kaMVP2XwsL46bjc/maOcTqXnjcd89GG4xo11ZvPfABjLI3Lu9fE4GHy/tDlHV1PM
c2wGeuZ2Bjw0313a0GgdGCZ6XCLxXNRHa9SrHfDH5KjnqBesogYjOzMLgKeQ7g2nrc6pqkFgkqFD
4c//zaohb8BYqvbkN+jmnXqY95rjdUHb6TnA4nF+HXs51Rf4lUUYNRQFC0lngawFW1BEG2Eac3IY
S+QFQh+arT5OYss7lifXweg3QZMIsTPM2Pj07tPiT9aN4It6mYFcD2EeQaxACVGP34yMFEW/0JcD
sXvyJXEhXTh16j5CAq/Ole0CWtCpL4q6SW6IYKM6GSn56ho1phNjSAsRsNN1DsxgtwrW930RW+1T
lpk5CW3LFKYadaFmN/O+yA3zOFmAuRuESY913xXHNiWbcNES/VBkMGkyyZuEdbxcO0UdnRZ2a4d5
NpuLSY7bye1oUGGeIQ51TDtnbF01W1+OvHO0qTe+DqjIHkzAM0Qgbi3bim8Wt4lIBLMWfkb4Rfcp
dhzw5NLkN4Hnp+/HsectaY4RBz0ywnjT55m9xfNp3xg8GDYL+PN904uF8Eqn2PjuEJ2oVexNEzl+
QB0pT6PD/WqYyfxKDTw+plAstmYt2lOGjQlxom2JvaGX7R6Npn0Fx127n3kBfO4FJ+8SuZDg7Dmx
v0DFQJPDGL6/113AChFziHuJVCqUbmI86Z59xcAk27tjW+/JzmTARb1oXtlKR5rFQ8HAK3JB8WLt
mqRVID7QvY9FluxqM0qAag0PBOAi7ez7lH31ZG/BqdzKqPLHIE/icS+bcU72XH43f5FIjpKz7Mp2
5G5mQQUrBjVZX0o9lMwMcIFEJZInS81QxJHfWslFTUKVy/HteP+fhvW3DSt4su8qoZ9wwY+pjNN3
LjjTfvuhvzpW+19i5QQ7a1TEaoKjofoLUIpY3nUtkIPMYqisvweU+mBNbZYmuk66LdXjdy442KUA
NxiUck8LgSz3n3SsrvHT0oSXJ4CJP5LfAj/pWo5/37OOMJII2DPoWecKFtdYe5xs8LmWam7PKbNt
BbprrjwgXqQAJR951sUba2V8Aa8YLmbt4BVaCWC2GxnRVrKcuU1WQphcWWF1BfkroC0/tlH/EHEK
ExI+tM+62eSSKDEu8Ec0zNWj6Bm4NOXEOTMKTX61owrGYULhb83Kfq50dO4bJYioNxuqvmDtHh57
p9a+5YrEMw68Un3zXdrz7JR21nQhWWwrmWl6scqudKyy3t4Zo+qBkR2iiyDWBjZgPbIcntK19qBZ
NnPlhYCmbeNxqLsUrkFXrstsV5jqYkhVrGtt70uRF5646uhguSy1EAc2MDHOAGMgv9PBvo61sd5G
3oQM3Wih2Edd/odVLtUVBwYOI2+xGHhb+ZPMGOXaRmRR5vFILCJzehQCSzWQUYMKs1snWE3Z3KK3
1d29WhGvOgXYZx7bHOEsuD5ijyW4NUXpR8LB2LqPpFaPPW58BdVjkQuqbYJFYfxE/rrpoprsxU2b
mjBQNNsxHmTrgYZvrJVWWkzNZyu2vDNdp/GgJnO9yjzs4iBZ2X9+zngneOP+EK3CYVo0Nn98D1l5
5FQERtmZJhJewhxBX5oktpVbj+4RrmbiQ7TQZAtb8C3r2pAF+tq3vyTQkc81ahgPBEyT+ffmpORn
bJN1+rmp6L2Fj4R7Y/cl1FbLA+NjD4537kdrNVYlMeSfN8asV+cgihjc+o8UlBjTpLdCk3xpGQ/C
sHkb5TAyXSW9YNnjUgC0uKL6GgVRbW/1HmmrUnXLlV+hXSdVF9grSSZgfDLs4CsklosiWgmPpM8X
8IuaN/MLTAiP4y02R65uOUZAXulV2M1GI9JVe5ZmFnrgPqzQc2tHXKJxRT52PbqpY9+McD3iOuu/
Am5CqYvQHMu0Wv/YhGq22BdZBmsELSJD4sB5Y8ASYsUfr5z1zXvMFpYAIhFXUE6Kv7O0DH/eoJSK
ahueJarFz9gptY2lAdALInBUt146Oue3V3TcAQrSqMH5pJvi3mxHei5SOqCBTjInt9e0bHJ0rUmM
y55C1XrWqcOBzpGJceXoRHy3gjotaG0lD3Ga2dbdGzIzN/GdH8HbMFOPnAHkaCsQ0ASxWfC2Ziq/
M4we55PVo/R/fPstvYIu/0AYYlpt4Brwy9qNw12m4Vu6+LIgp6vIO2wmHfs2SMBsMpYPPToI2sti
/UiRFazXJJv17tITJotMG0rqLGv+vz+vrKY/+a5aTfOd1yuOlUYy3btTwRPKzSCtWKVuzLuVcvW6
LCvzNXO09Z4yBDJpxHBeua+HcSJB3CjVsEmaXMFyyfsp7H3Kk45V4L3+Fneezc1nJCOwJPR6MDzu
06qE62/5zbn36Ega25tBumjtGHQCtRAxljEwWckCGq1wdJX5s//Ih+kk4Wphvke0g0W+kF3zGbRz
F+3cTCgk675JmppX7hY81ht9jFcIXd+9ZBo6JEbmUHMLv1AfPEcrN66Q3NhCTpI3wwU4O8wJeHdl
XpsoXm2YZf0kCzO0/QrtPJdsJFqJVv8wAa1/aclxw95Z1Z65JQYImbzocusYx5l1NKv1+s4IeMii
dXmCDG098oLldDMZtrXF1CPoJntWoyhliAcqGcEdTbW6cAovSSC9z/FdZTTVfTHWDjvHvMhqkn8T
8dGvF5dYUTl/s9zSPEWI+w7Z6BlfC9t925wrd4cxKju30km/mYimHxD/zEdgWG+J6eSop9pHFH3y
kd6+C4ml6Wv08RBqkegjboNyfDZoZvl7qtrpXjlvq1hfvoG5zPkG4H66wtPqrqwvd7YgZ0fmZ8wc
HV4xCkdUWa5Bo4q8r7SxVtngyagbVU/hl0aLe7bjFoqILL+xkEms7eLRsgZqbmEM98q7MIS6h34p
FDZSA/JH7o2dcS6gP7V3dL/Jkfku01JH7RYgj2HX5s01mhySjrUhuq1GydNkdlFQa81wb1TVkxlP
CKB6v1vi/Uge+7nJK118jBqzfpySQn4oJus2scf2ngB40ENxZ9ClGu6HyoUmilmi925aVsMYxAu6
mpjVbSwmRcqf97DEwvk0wMXY19hK5N6eqnrNQ4HBcBil8re5OR1UQ+jT0Ijbrotr1PxNQpyHnuiQ
fBecWBHZUXdEwNdbJVxAJJk02IyZUiG26oE7FpNe6SE+2ulL1Kiy2JB+a2c7vRyG8oB5j5gQzbAK
yONtvfGU3j+IKvc+pwLEDUehibk5swZQtlpzHB2TuxpE8xfF8X6FFWy49EL/MkmvvW6YTveBManG
wTMXkd1HmEw4MpT8MLM+viKS27jLDad/HbETfZn9uG6fVa8X413qyAhwl1zyY1zk1aZp5ZOYl+iO
3NYozNm6BpSC6jz2WNsLvPMj1MHT0JnajZS9swV2S9A2UM9v7JDVuV3SbBvZs7gDBDl+9lInCuOS
LCG/8e0bZgOYFvKKiMpAhyx3cbUov4YnLKoQv7Z2Z+W1HbrWMG25XG4wWo46NV1ZfWECbZEK23yM
CBckklw+9hyJWzCKNnYs/bMh4mM2Zd1Zm23raZpiE75NPkvyZjtjG2lJctXFtHAmw4frwZUHb2Dk
k7sCCYRu0F67daOs85T0Fu/Qo79LCFoI40YMPYefBuCcW0XH8FhOHsKuwvgUZZYbxIVTsrGjSWeE
RO9NNlhoNCP3gWgsTFi0dbHpR0tIH4tcxuEI34FR0qGtisa882LLgS4s+w+1JLM7kBXSNDjUGNwX
Bfqyx04icztohvijo7cwePD74b9RECMZauz8viw/pBmGniCj/NgJIo8R8xUZUlVdacHQO3YbzF2S
3CLXhApr6vODLuV4NXem/gkrNg8ovH/XPIHG/2Dv3JbaVrIw/CqpfW9Kss4Xe1cNJpwhBEgyyY1K
GEeSrfNZfvr52raIZQhkIl+kpkZ32GaptdS9Vvc6/D84r/TvHBWh9VEppOokiUqY0Yuxmlwo4TK9
9bQwqKCHz2uY4SOfyEgdy+elOi8/+r7OQc7Wz0wy55c0fbafAGcnV6+F5Wev9AiYhERDNJnuR7ep
3E9VYqWHRt6ArpTmyrmehM1pI7m0OFDGdky0kfdQAG0DZHNIkdXENErqvtqFp7ESwoI++AaSMyqe
8Y6QPQO5ZITBSVLTS5NYPHhFC9qdPY+N47xJ7TkBFrk+NSEFOKIdhL5NGyKgJpOBPtSj/BCUCiAs
Wje/oDpXJUDjteVFk6nxMZB/jXLM/zRXRkjr0cTA3jzO01L/TqizpnZY15annlUE08QwwMWGAvV9
ILZWcHZAkFO1xI5UOYQOSfCr+aM0eT+PKh/CcrO8qhN5fGQDrjoBaKg6WgB0dwE2WnW9hMlA+YR/
o8orokqxmgA0Ed7MC18BZVyLb6mudfXbgEZSgGRHVnZIyQLbgqhWHxaUJbrHFq1BLCCJveBClxcw
FDR3bhU0l1D15O/bcmE1k3lu2h9ztgFXYzAJsLyt4v7bCCs6RZcKwVtbtb66gIncLm1KXgiFe8fp
omwvtVzTrtPIS4FuTNPRURlr5bkSB8VFI6ftiRn5zY2sFfm9V4fnaZ1eJOayOUqtcQrvUZxPIbUl
VlKk2Tn4N/ZJ5pqf2ajVx4RkjmgAVT8SsgqgnKoWC4A3KPQLzumKppTZt5Z00NRqlswn5AriOcW2
+vK2VKTkoVmEAT1I1jioDhNQxQ+VqEQhir28XJTZKJy2VZPfjKx2+WFEeJ9WgQTa7wezSAhIt9HC
OMz8UrXHJ4CaKKMzu6EuzlOM21gOviQgansXcG0b9qUSSU5RW8lVA1rRIUXbaXkG7KIt6m1bSOUW
c8+4tShKgKUFaGdK+gHpiOybOKFlVwNiKaMCTkvqL0uBCa0qmekaN5TdpTd4v7NijR+9dZJ/Ic26
m4ciB6XpqmiaoPSVc/pO3mvBZonAsxSfagQAOXT4c7aJJbBO7jq68tOcqhC0nTpZ3Qg8GzwCGHHj
3WykmbGZTwNuFHiE4zmnhhRGRCl7NV6DAHMXxCEuEJ764RKD+0ZG9/ndye2ZFg0pKt32lqAr2j7/
J6NWNiBTjMHwTMb3ek3xjQ/sIVuJIDuNaaCnX6Aw2A+O6pAd/Os6lnfLmiwyyepYosgYAFDr2bPX
c20ErFlGG7WcIB0mgFK9MhYp1BDznBMUeXAevlJb2gxcgZQoZVHJGSByjYAUdCO/ka3bTXbSFqOR
VgdrgDICVd19Fy71ni3gatmpkWXqWa0QftB8b3y/bKEnsTL5zTTubh4SoiZwDah7VKi0Y38o8u1b
4ZfAA1dMk/L4NKK/67LwOK/leGNnMSqA4aTxZgrGkKpeU+db0lpDEt1uJ+AFeeHVXJsDWb+CsyXA
rWYfwkzQtYx0eAIyOss+Vx44/tUiZiapy8hmrx7q+aMEsrhFFAeWpLuxLjhc0gZAYb8sOVskc82h
+r8u7nK4cXKKUmUwuyeRTiHRN0iZ6Iuk2JxTumtrkEMorsCUx03ch4ZClhxG9kfsRPTdXFbRnUIn
IU26ac7vyWAnX6WQXlOY7QB+EQ5T4lRNhPfjEvCb/Niac1o8MV0oW1p+mH1Q4wTE/cyTqeHJZROi
EBEAWZER/D+8ueJLeiu8CT4Xedqf1+N8aQH6idxePc76fzbRTVkgW2qA7OoSL5BDwo/oJiWMfEWj
gvKEbLldjkMMjBYGQ9UxOpikDvRSOqCgkrpjiUY1agCIlv4XoJc7FhzTQuMc7W6UeKjgBihi7W2t
LbAtZF+z0/q6DB/dPDjygoctbbzgIkRSe8tyP7vBju3MGiUIk4YbmHMdxAvQGS3Hr659a+Jt8Fl/
6iRWhqB3Lyo9BFIaNQQwgRCp7T9MS/ItgNlJZtkHrSQ2FkRGJL2F2Xi8SLVv+bxxzakX22YhkYwd
56Ml3l5r/ehcUiT4WR7jNdQhFtaj7vfEzlzphP6DcuZDWu2Hl2Wm5hx7JD1ZngXw9NrZvTknf4V7
iu37Ni2O52NfO8+LOX18NBX4YBraaVRMxjSJHZpKRoZiXOl0pAHToVicAIIw9RZ3bGHcKiMjHlVG
fMQgyMH5ektdR1SOzzMM/6e2CcqLwE5LYD/ZxdTgqPigklwYYLkcaY2+vDZlwJe+kaaEoGfkhgR6
inFG77OmKh/UkZEsL+aF5Y3uaoJAavReqVywqhKRSioa+8SAqzY/+d+yGpvsjshZvF9Zg4/lLGtv
ZzBvFE/QseLbm9iPivv4937ULc+XBW1429Z2aBqDHCJG4PpxtG1TWJ1b6+5J0mq8r0kInIKy88fZ
338p1oGG5zaEF11dZDkCKMk2X48sOBllkxwHEbbVtb7hlop+poTXn2+tzdd/03sC5xGDeuTnReZP
i74OWK2/poUdGT+0oEoHMJ1RgmhAACkuDOu2FszxAd8ohiiT7LSE8f+DtMAGWJQz9jzS6s08nwuv
aQF7L9725l2TO+tpwaKj2iQ7TfRzfW2v+6fZ98KCeP09728uyBD94EgHaWFsHoD5r+H+1q9acLn3
tDA+AABT4dCx+QEr5s+aCwr42njsQVpQ5AOVXCm43CKVyrWjBeyCQlKKkl1AxsS1nnx/0IogKMz8
HaYE44Dks07WznpRCbJsgdpG4Z6srhta1jf8g5RAikfnzQ3Sgjo+4HjLOUshESSuHRcBkyhbWDoi
YClYXWzmfnVB/IKqnjzuxPODx5Wv9Wf5Sy75Zz/orM/z7zceZsWOiivt/VC43vW9Z09Hgn96tnNl
/7e+7PzB6j6bf9884PNb9+7VPVX34ak/yxwKlsiX4KjbzTCvnRCP/a/AeXD6uIQsUd7Jj5H8/Vdv
nFvv/w3B+cLp5AidcEjBsw6WC1hZHPUFW8JADRe8cKLcyTtJqyFzZun+fvEQ97QUXlPFxAkAcMh2
6lPWFmXoqDk7xJnz2OPIpo2aRTNcchTNpoU/LXsbJLpDMc5DhR/NAqd2slknSSgbUJQ9KLvb1L2L
v79DOWX40AfHJqa0h1lIkV/mP/Zn4Xq3MFQzIPVQy9SXjD1kozxU8ika9/1Ozmp6K8CGdh/8/vw+
ewTbtBOzkguQ9x5MyBnAKVHs91fkemc6VBdn0SM4I30ti7qw7ikGKCOud8RaJvGKoQO+eG6baKKW
9yCYkZXTRdtJWr0/HS13H/y+Ki5jCpSfqZnG7z3MjSt4vHrWQ/SO7WHMVw6MV7vAUhJb9OHquHLy
3Jl6ZT4rit6chgZG3YdK/Knnu07/SM+mcg8r/MrHF+Tw73RaELNkzD51DwsGjj8SsxCaJz3bRCmY
tCfpcZntit7LwGmR3LEhZE9Mq9PR7y+c69lD5uzsnuiD0vciunL6fot4h4jIDjVQ17P63akTJjl8
Nb2FiXxrD6tHyD+fZfms7ca6moMCMrv7YIjC63dXs8af9twYxx1x/t+HZr5S6NBJ2oxbnKQGi4b2
0Hs3cbIYT9lfnIouknz7ucGae6uTth6/LiBChor/4Pl9jaur6Ntgsa+grT+dvn7vWPMhmwGe3D35
ShUqZ9Xug9+fgjdvkLkMHPdboIkDxd/F5U8momBn24NfXt/g+UQU4vdwHrlH+7M8n/Usl0Kn0h4s
4/2s6Z8qNxG1obP8U+F43bwTExGIi/EefP0rzf8DJ8lrXRoDRX9x8DuRW/SXJrFldQ9L88ssL969
OHgiVXuYfF/8fBrTPNUzK/SbiB6QoZPkldTxqyp/KdL0lKJ4Hn/qgu4v/Vs/uCZ+MQ1mTvbPfwAA
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/>
    <cx:plotArea>
      <cx:plotAreaRegion>
        <cx:series layoutId="regionMap" uniqueId="{B32C6A3F-94DC-48B0-B18F-BE23B9828BB4}">
          <cx:dataId val="0"/>
          <cx:layoutPr>
            <cx:geography cultureLanguage="es-ES" cultureRegion="ES" attribution="Con tecnología de Bing">
              <cx:geoCache provider="{E9337A44-BEBE-4D9F-B70C-5C5E7DAFC167}">
                <cx:binary>7Hptb9w40u1fCfL5KiO+SeRiZ4ErqdvdfmnbbceJ80Vw7ESUREkUKVGkfv0tJ5lMksnO7OJZPMAC
10hsdOuFZFXx1KlT/Puj/9uj+vBgXvhO9fZvj/7Xl3Ka9N9++cU+yg/dg33V1Y9msMPH6dXj0P0y
fPxYP3745ck8LHVf/YJjRH95lA9m+uBf/uPv8Lbqw3A+PD5M9dBfzx9MOH6ws5rsn1z76aUXD09d
3Re1nUz9OKFfX+YPqv44mL5+ePniQz/VU7gN+sOvL7+77+WLX3582x9GfqFgctP8BM+S9BVmNEkE
EvGnH/TyhRr66svlCCHxKkEpThFF4tPPb2MfHjp4/l+b06cZPTw9mQ/WwrI+/f3+2e/WAJf+78sX
j8PcT8/Wq8CQv77c2OnhabAvXvc1/Hn5orZD/vmOfHheyeubT0v/5XsH/OPvP3wBxvjhm2989KPl
/urSH1y0V6ruhxqm959yEI1fIUwRJwn9bH/xvYO4eIUoTwjj7Ov1z2N/dtC/MqOfu+f3J39wzv78
v9M5WzWY+uk/uHkwf8UEY4iSz3sn/mHzcPyK8pRQzL/cQH6Li8+++Rcm9HPXfH3wB89s/0s9c/iw
vLgfTPubef7nuEbxK0EEpoTgz74B03+Layl7lcAVlqAv2yr5bezPrjnMH9zDX87p59759tkfHHS4
/+/cOpeyHn4z0H/AOfErimDfiDT+jFn8e+fAvoErBHZO+tV532LaX83m5275/NQPDrnc/Xc65PaD
f/gPZhmCXtGEcMoR+mzxH5BMiFcEtpJIU/zVY9965C+n83OXfHnsB5/cvv3v8MlfEJRvGcB3t/67
FE28YjFhKSW/74ZvoQx8Ez/zAyK+QBn9bad+hrIfidM/n9fPnfTj89+t5X+Ll/1zzvaV3RYP08Pm
Ey3+hrb9+dVPCwa6/sOjf0bePltv//TrS4x5AmTsK91+fsmXJ7/kkA/vzYNtvxKObx768GCnX19G
gr0iiFLKqGBJDDwc3rd8+HQJxfRVzMDjCScMsJC9fNEPZpK/vqTkVRwTTHiSpiLlDEHqssP86VL8
tQK5GlSohv7r+r98ftHP3dVQ95OFBXD88oX+fN/z3FjMKYuf6QwAM0kYTAyuPz4cocyB29H/UWSO
4lBKd066VTh5sbYG46TNCB2b0J+7tKZBd/valfKDnCM+Zm3dLreMm2Rv16m8UR0v16yH6V8Y1CSX
2Njk3DeQqLNJRTrHVkmXYWKibb/W81tqu+5geDo2hcNi3oqJ1wfsOclbZqop027FG42kzVlg5DBV
HcvLNB63sePdVdvG/dW0LPNR9AlusjpU7Z0Jy3JKI8PnzJukfxuPS3k3xzLC2cgHcVSSd0eDp7uE
t+vecuRPUpRWV8nI1mOMlDn6ipRbImD6azn5TbSQ6bTVYs39QtrcJchvqKSpzep2VLdz3fiHNO3G
HVQsZZXRNfFX46jtVZIm8s3YtXPI46HRBakc3gqZopuUjfLIfNJsXExdlUVx789NteBzPtrXnaqn
KkMIpyajjuA8Jnq97ae5zWPk37feG5sR19pdHLn6fKz7ps16zey7ul8XmY3gw9eqbboDX5zcRpNc
T01HEc5kIFWhHE/zpm85z5oyqq+wsM0uUtXl0jbNNm18W6ySNblNhNjFy7Cce9nP532E6oNEXcKz
qVvCTZjGedt60eZT0uJLbrzdBTz2F+kYL+fU9mHHUUIeGkqG00ag6SbhWPm8a6N202M9tZmRmO87
TeeLFY3xdkRpVPSl6q+jKSY3U6DTPXA89TFgG99iN9dF0vr+srMsOpA63VYsnt6CrXTIR9+Lq9Hy
7i0xtdsirvuin3C8Wfp2PVliFm0iYvzTuFh7iSY9nDd+8rkgrh6zBgKnykQkxCMhzWzy0aBRZtFK
epV7JdsNTXp53VsXt1kixmkTym7NunhwW27lmnFBHxx2/KyfXX1CCdMHalCVz33c5RFe51zaym89
ioTfuEg053qldKcqzXexS9SHpq+aq1iLHmKqWi9b1midNayMHvlAeJeVlUUiG5dE+YynbD7r6yQF
oiblad0alZGubIomUuxtjbr4jfGNP09EG28ktfNFnWrms0GP7tpE1Xo/Ko1ZFintzzSrq1tBW3bJ
R5oZrqsT59L+qo7tdMRO4k3LyBSy2a1tBzHZpxkbxnnN5ORZkdgpbTO79NGS1Twp96Rpyj0WyOxZ
aKzK+IjompV+9HOWmLK7AxjRV6FX666vxnjj5o5t6kjHF6lE/XIyO63zdKz5xsgwXnZVV10aSXGR
jAl5p2ol2gz2tn9jS5lWmedzuEmSllS57lW0WRskdywpu9N5dX2fdVG6lLmLRua2vQ7xZVMShPKI
9W13iFpe3aWoH3WWJkOpczqOJSBJrddi7YYnBVSJZ3PS+Quypl0A17C6LZrgorvKWSs2DWKizFVU
+YLUqBnytelHvPV+XLtMc+2vsYrRG2PLfs4rjY0etyoZWOwvEOPc1+C4qps93hqnq07k1RISXm18
PNv4prQBh+R1lXZ6Ok5Ezm43jB3s9tNVYxut+cSbzuuCOtwuN6bxFX+kVVvKPpepihf2unPNMqYb
rlnUbqN5npqnkGqN2hMOLjKQuCC5fcm83+WTx0EHU1fyi6j19eM/bocO/n165vcvnzWx3z9d/Cam
/eldJx+G5yRqf7zpeTZf3/W7lvOce79O9Yds/ll++yep/k8v/os8gKAE6PKf8IA/1JKfmMDnx74w
gRS9gkyOecopSkUCe/grE0jFqzSJMU1wmnD2mST8RgUYUD9QfoAlpOiZEEBC/0oFXgEdBOqASAzS
0DOB+M0E37kS2M9PqAGM/i0xoJwlUIwxQoAfCJ4k8ffEALlkdHFcDXvHo7bO275il8Qs+rCqhRff
GOcnYwF9+cNYEH8x2EJQhDgUh9+SEGfjaB056vcpWdBhdQEdmpmIuwAWOB/HVWz+fLzn931Dep7X
RmOKcRqnFAvCf1ibiQhONY9hvA61VbbEuiuzxq/oMHlK9v1UJmRDPEe3S1Lj2z8fPP3j4CxOQdvj
4D0OSt73ix2j2PrBmn6/mml66lRnk0whx88DWv3Rl6u4K3H8V0v+iYkZWItAzfcca89h862JJzs1
ZuFptzcd8letktOT67t6zURt/FUVh397wARBkMJwQHGhlmHPE/qGWDZx5AGzjNjJqBzOUq55EeQk
Nh0n0TtSugR0k68b7CcxhP5g1xRqJiAUIIqCcTH/gckGi+K1Kr3bzYMfW0Dx0uLLdR1jl/GF9l0e
5hoduOrpPg0tOo6O9Xe91umSy6Rd+6xKbXqcAsZzZhybXaa1tOfIC/82YP4XUcDSn8wXCB3sfQre
hM3+w3z7TvCq6aZ5x1JS0duow6w8s5UCqlsNIy+6sULLKRpkUFVmJ4ZuYQ+GYySU2eFYJslpbTnZ
d0Gzh4pYk2QyURBLtsTDWbdydPC17OSpi7HqNr1x6NDhGOwwtmxFxYxt1WSRqXG2BLzyLRAGdIhM
GpnNnMbDmY6CP6IJqG1Zi1Jlq3EDe88d0aFIzOrdhrcjbs4MYf4qAZRIipq7Vuya2EVvGiVFeRwN
NhByZTOSPkttiKohw6tE6ANEqa+B8tbApS8mKhy99n1YzvtYqjpPWLNkTlCKs09AYEIH+9Q766+i
ZfJXoh0Nz3056vu5wfp+NTHZJ66dxtw7p+95R9xVbO3Q5WJcAb583Dwnb8MeuIn9cTAKuHHnSn1P
gNYcozFCt2yaeVGvNXsACRj3+z4If58ME57zhKLBgmWZP87UwEp1S5esUxYGBPpQ3uGmbU0x84U9
qBnsyFcHdjMU3c4CnLbyUdwt48oekijxx7oCKjGShZFtGOqJ58JHUmfWlf74OVZlUxGgkKRegMu1
3j6pZojqjDJYLA5O2xO7OLXmkQmtPBVpWXf7dozGbsoSLPi8mSiWb6RbxB3XgKfF1M6p33SBQpy4
PqEPg+X6XlYaNv/YiXMRjLjTqmugnOlriAzf6iinlR/ODBQXQFv04K/mOeilcAkGk8Lu1vfeN12X
V0O7jls3G3CSkIjsZ9nUOlv081oXKoAVVoPZfbI/9RPLyczpRrZpWggeQak39iI+fLpnKss+70Lc
AG6schfBWq9lOrliqYTYzqOFAJbP2yOZ2kXvrG3K8gwBTde5s8tctKPn4kjiFBmSTaDSz1CG8rg5
TGNiNct412J/o5M+NlVWDr50W9XEIStJBA/0qkbxfkFT6nxWdVEvT62d6ugkxHOzFGMVhfKodc9U
JgfGdNbLeSrP8SrCfSLw8uRCNLp8aexaXy0hwssbC+aXJ7bv3YnFsl+yNW6HLOIuyoe4rbOIOQZ2
trealHLj6yCzshdhK4jKRzn6/UJGutW8IQfGhzl3btmVIvizqRr8bdLNQy51WYPbo3CgrE1yC8T6
rY3xWGgZkmwKHl1GiZyOixxtlU2lY+8m2goK8WUXklei9mcujdyO8qHqsjnGg8riYT1wM1dPowXY
TLo6Pe1rmRx03Isym1cazoG+d+BwH9khW5uqPun1Oj2JWo5LYaO5qgsIbnFKoaTuC0GdFRlK0/KO
9HbqCxTR15Osorw240OP0ubQKBBMduNCALJRSiDoTOwgpELL7JNE8CEDXPZHSHMQy7jsZb1LohKy
9Grqk2Anfc/QJO66IOcmSyvesYw554+rl+Wdl8AtNEX6PtjWq8y1y4MfoCBoWAKAOeD2toni5k1j
VthYAsSHfRnb+qROCdlzLWKZCVH2BaTR4TZh3Watm76wsIxqi0jH2SlTayzerFajd52JonW/Sjrz
PenMSpYcaeu3xCDTniaYkPdr5ViyMX17qoQuz5dIV1fGNnJfcXGbSjneqck8hM4/o3+N7mwn5qKZ
wU5eNIDzTKP6VAwav5ujcl5yJZf4QoslvcGgc6RF7ZY9A3nHFWQZUQ77Mj2j5WD4VvS4v/Qz9vN2
pfiuk1wXg7dQtrlOLgWFmj6FWpEyl3Wk7A99GtH3ChG4X0PGMq+ZFLh8L/hSmwx0j3LYrnyA0gZX
7Uzz1rbROSgaM5iuK3W2Tqx6G1I+7Gra88tUkrhoYEkgwmjT5gGX9n7wHLiInhg/J0sd5S1y4NZR
CLOplaUAFlRVBnQjG/aBNPwQ+SDuTDc0XRGpxD7FqhHnrGQAb22yQtCMM0SKrWJeVD56DqW56mVR
yQEdQPUGLB0TDJjeCHiPwzCbZJLi3C7gmlwpATjYzQ3MKeUBKl1N4QvZ9hCCnlTiPFG67ooKt4D3
xpldkA5w0LHK2hMQ/vi50CrKGz7AyA0kky4nKfdXmsDwCVtGdZIGyOMg/9UnpFzpwxoaAPxPEJjK
uTSbNKqeQ3+JlQTBq+d9NuuFni/zHJ+kiq0uM1Nkn3rSQuZABFQ3yKwje0gV5EdbM8DpjtXKFGEc
lCzUxFJgDAFKlJPP00I9M+pklA0wiTKKIH2lBtB+VMbsXJj91eSA+3Z8ERu0qj6c4gUnvc3m0FGo
ZpMKkzw2Yrhf8KjlJWYOZl13Gta6uBWG7E0d0iMdtbKQLZKJDl2mZDW2Klt47NI0rzxNTufWNmNe
jyzclNHA7hOJAFiDiZrzRRtfZ62aGwspA1W3S7oOAXBTJed0JdwCLoK2poYoPtWzjD5OZhQncl6E
z2DOwHLqKBV32C8QFlwZyOSjmNAtMSOkp8r4vt2alLYrzKR+tug4gMcVA6ErnzVnkDANQNVN+ezR
piHgprmDiFMW3BihEaqGCa+xiQtmdVRvFGdlfIeiAPIv2Amo5U1C6mi+cYlXic7rRVaSH1XLRQKp
CgRGoiE1jqHehraOKvS64cCWqxO/TCxLEdANFQ8gl8S0bPNSdXUxLarMliTgky4SwEFSLOPTlhp5
IN3k8jqSYQP/x8JTJk5Vs+oLcP94HDggS+tk9NZHoj6NpqrMnJWQegLvdhVOUBZ8Gm3VvDBYx5gU
fVzKLE7FGQ22zMeOXFccIJ2Yat6iuEKFWVGXGZA+9oMD9bKaFDr2FCAmAxpissaZOkMtMJIp6dqP
UU3Zlruh3Il16OpsGt1QwA5cckCFj70ZP0YqXApPlz3ENRCDeYwvxaTjS9YFVziQ1RIbup2f2bgB
blze+GQO2waSaNGMctl4Si9pPNELj+f+GrwNebn36hQyX3dCQYPM0ohMOe+STSXUxdxSkFTBVJdx
0NVrHSXzvRkwOQyuA12HVDEQSD+eKKH6InFXpENHYH79BkdL/BEUJ3ZKiKN1nXVYNHGf9elCS76L
mvUDGxNwCJ1hC28ZI4ssujlWAxDtyOk8ggxsswC6ISCIjAEhIF8BGk7NcDaPONonJIz6wrYKgrST
gDZ1YiAiV1eC70tQJ+1VaJemBmHa/VUp/lx1fFcacxAiUsJAWEAgQfxY9q8ONwIynt5pELqA9Dsf
48w8E98/L9f+UP1wDp1HAloGlP0UCrfvy0NRymluhknvVJ8AGM9pim5HayKVUY+Gs4Q+ly6f4PDP
x/1D6Q/jQouFJQlUphQqxe/HhZJckWbweucblTxMUWd2nfXKb5dUAn4NXR+OSSIBi0cQ2er8z0eH
5s6P1uUCQ1UMGxwm8dzH+bYoDrYB9QQlw25hJRQgKzf4FmT04axJLaA96NrwO9YGypJn5o0pB3D/
NIX/r9mB9v3Hk3G/9+5AaIkhGL5KCs+S4Xe9u98PP/3hoS+KHU9BYEuhDQci7yfJDt73pXcnEHRs
IQsQLsDBDHSd35t3GC6BBgIyX5LCJChshS+KHUleCWjpgRAkEsxFnOB/R7EDDevH8IIGEREgu4hn
5Q5ahd+HV53UtFHIylMPjZUa6q8BCHATkjM9phFAjke0oHMjbnQ7jgoqAVaXOfTVmC8qOw3jzqCu
LHM+qOR0XVNabpQb1iWb4thfz4R29AQ1aYiuW9GYN2NPE5Y7Taomhwox0ZnD1p2rpYMuoSrZjLO5
i1cKZdacnENzLR2gcWCAFqN1olnfDGKzqpSYjUONlzlZhhLKrVK7jPJofC+akD5y6B4WExfVplpj
EBGkhnOXeeAMswJVC8XnAk+ysKJLLhYap1DUz0ercLRNLSJAoJSLSQGHguob3TTh2st4OpgKd8eu
iXy/Sf0QSSBqvmJZz+KKZ0mjj4ppdwKvH4H6DGFXLYk4xdrUZ0jyE19jE0H9Vw9b1rMEOpwSKM20
4BYVnpXjlk4pfgN9C5zVxKgbhH2yEZK+q1zQl2wIouhXQq5m3Ji9GwItJMJXMlltwfok3UShTjKv
I3VF0kgdSL8cWbxAP1Qp6Pton8rHpMT6hKYDyU3at2eo61RRJ348OkNSMLusqws7W3pYZE9gbvM6
n8fLZsTDcCi16T42LhFb19KwtazmeWVSe8SJeGRlORSoRGWeRHLMEgu/JFvfCBqhzKRdn2vFTt0C
wkpai/6mMZYcCUhkZwTYzlVt4/Fat/J9g4l8YEOyFGvlz6CuCwWbTQNVagk9p0RH127w3Y0ybZf3
rbIHDDw2n8AieSnaa6OaCSh+O+c1HL183fq1zKjF/hBq2xXaM7xBDGYa+aUqYldWtytPI6CXfASO
1/SDgNc2jdnE0Ps4I3KMT6GCf1Jw/2U1U3Wduh4YavClOKbAla85pg4UrrIpM12t64E+U4VGu+ik
jf1wskZzf4wxRHSazNM5bik9Cwpn2hC6RRD2F4Mn670zKas30TTJU9pIVGjaqjF7pgnF2LbQ62rK
ahuN8xmItPYUNLwL5yzUWmvSq2wEipbzxkc76EE66LFBDBY+DlCQl9GUJ+t0F0VqK+165HWItyWU
cw6Irh37t2GZmytJzGU0qTsEUk4hFD1Ch1Vteq4frU7TPbCau0Bknyls33WpUdu2xlPIuxqfMbqo
vH/2VHiKKqjZBmiYZuscv6Gz8LkLotzpxUUXCxdiU866KpqY3gMY2kusO7+NrBly1VZsH0ZL72gS
LbmHpFZ0pYkz0NthW0WnaSlZVtb43qXlCCpjZ05UOuJ9Y0/XqT6fugla2dOahb4+9KUFvSsRIFHS
ruhAZ9osi663QHx8TtvGHnlJ1DWw9GrvGjBzWFuyB23YX3derSf91OJCa21O1tYnF9S402DIsjcB
uHSxILtcL3S6m1GIdtEY2GGhSPawwQZLl/imbyKqRDEig5urUC6kO18GdugMfz+MQMmTZBW3DQl6
S3HfZpLX5VUgvL5k0j70VNM9g85dttboIdGOTZk08fTOGlhy3EldGK3wWaX6bhtjBiEdVyp3HVUb
FaS6CgC7mfSAd3DAdRjytA/v1lnUmSsBnx309c7r4MM70IFARO3qeLwZjb/p42TMKt53l0MnqQAF
Vc36qgKusSd6kfZEY5pqKHBcnNm1Gfa6dUDX4eyIKgbdi+PUpB/1EC95hT3aLpKrOWMcQcM8Siae
gWzWDWVOa+hgVvkws2bOdJ1EW7TKdcvx1G0DSFawxXu9KD/fSQWyPN0F10+nHUi7UOEO0fjYRs0Q
MkmbOd6ALIOTy9aAtpUBMeO7dubNeu5BqLz2cPL6hpgStki7QOjtzeTYW4tqcyrXLthsWgl7P0H0
1zmax0rmKCpTCvWRTo+jijguShSb0wHH/HQMZbSdBPTdd+U47UNNqkupZnXDo4akIPlH6YlsSwhc
AUcq7jWnduMw7XYI2qIPQCtjkXXcNE1ehYmeVyDl1FlKdZpk6zKXe6c57A/inMuIX6NrDdD+sW9p
vMBhGrxcTNBAvgoej3GRJsGbbEW9rkAdmIkH0rvOb+KSjA+jiet7yMlVny3dfGHJ2l2CYic+xl7O
ayFVSY6Ra92bqFXroYvTfYrgOEHXkeSJ9YLVWS3JOGczcwoKHVrv2eD2HaBtDidfcChAd4DjBaIE
K2ZNI/nd7AI7Bw1FPUVN3JSn3YyxzRJdL9flSJM7yCNio/1abecQMMiWaarLHLVIVntTe//Y1rWg
AEZVeSfa3l15OA8CURlkdFU3oLrC6Z/O3DehbA9EaTh34cqJpjkW3bqHMq99otPYHvXS3yirFpzX
a1/uWygdC9RK2Kx6mMbLdSRjmdvF8pBhW5fdJmABghfIXvdsCcuHksvxHacU+v5RI0wWVaISmR9D
dAoHk9xVzwBvMmiURI80DvYymB5qYBJxu5vToM0ujRb9TlS+53lYy3mv0USWoqmbMWQi7Zo3I68p
zeB4xnRsaDmrLPJkPCSTVnvYc3VzMuMYDqYE6kcofKXYkNTE96WYSrrp67j1BXIRO5kVrY+l0PHJ
SEKa9/PcN3BQiTYnAM8NzxhyIBe1OD0PyzSeIjklRaJpXAQ320JBzzhLlYazSdzQzRizMU8aPG2Y
7AXNkNXXaLZTYRkT5yqC4xZZWg5T4dNG721KDZyRUL25b00zpVldzRbls7fD2zZg3UPfQIQx0824
fkiAQF2U8QLHmHDynlZSvE5l3z0MlR22RCqnCoD4ssuCa4coX0QLiMh8iPc1NF4vxErTdw40pp2W
OlQ5rhg02QIJ5H26GHk2lYjciUnKGkR54mk2GiiL+wEPu4pDqydr17nlu4bIcORtCbK6xxI9OOEw
HP1g+l0FwvI1E5Po88bj+H5egUBuqhgOh+kltnPG+xQ9iRGPzabskio65UNTvq3F1L8O65TYLeml
P5vtHE5cE0WyWI0d8y4l7b6p2qt4neu3Y58eKtAfBtm5HJpcm4XPMu/DJK7pBE2LOaVVUYkurQsm
NL5MFHBDjqr0ZEyAWGTMOPpepCtOMjro6q6nIQ1Z0y00ylBEUMiRreMToarqYEFM+n/sfdly3Di2
7Q9dngAIAiRfyRw1W7I86AVh2S4CnAEOIPH1d9Fy9bFU3Xb0+6mKKoUzU0kQBDb2XsP23oUeepqy
no8+4uPO96w+TIRMVzRQezHZ5rsqQwiW9CTi76LUVgHHAbJZCQCzBY/ls4g6eZg7wqoMT9MPeW+h
t1LhUp2B2VVDJiUnfaZtUUZZUUXlt56kc5vZ7X99oGqEFuauO2nUxxpww3vNiToSzQPUB3K6sj0A
aCxwkVxWdpOwEOSIjSsuEt8EwwFQznRKdAo5VQtA+NMAiM5mSkKYlinNR7nv+1DsjfT+sgpof+HA
rl3hDuurEHDKV+n1eGj0OJ4ayJcORcras6kLtgsr/7FfFzflNKQWnKeJ75gxwXdKtD3/X5X8n/1j
vxa8UJX8tkr+9kX9yxewiVpo9OM3fpbIlNL/IRHDv5tFRuDJ/atEphTGM8Yoh+TiRe3yt6QFamaU
rARo0w+xyyb/+FvSQv8nTTmwkhAKghTaWPbfFMjJVmr/ir+Q7RugnBFpAhEu5BBvhB8VlWbCFhE3
XEXBuZDtYi7bGKfaPkjoyjd9WdhUrL1YSCrqB6+Bgj2j6P6uOs8forhiPKcdey+gCP1YxYG+RBm+
jEipE0BzfSu2k9UPKSoT5tfxPqjDApujcM48ktbIIGtnXbPmskr1ANldXZY3QHBTk4ESSA56UO25
kSvL43JCJFppsWubOtpBM8MPStMw3Jfp9A7I8QawEievatb3V8MUjsdVzOYiTK375mn9FDVj8i1K
B/K5dl18JL3un2xTkTzijQDCOHxhtqSbnk6t4MpCBGS/quVE+i464EEFN8iA5bKL4/mgSEKtzG0a
FrPN436izXzgQz1OWahdeRsoFX6c1+Uqmli/o3rp80Ercr8ObXc/TqbdzSP5WHOdPi44H26XdmFI
RdOPy5II6GHXXLK5eReVgTlFkw1vbNPY85QwgBOl1lfN3IHKEkpfp0H9JR0NR9rZ9nvei+oSatv0
CAZgfh6qWJ5XCVK9aikyolpbyAMTaA2gwjJ5ghLllIb6+zSFdp86vXziNHHQfWhwO6ZPCoDcdfIE
/Ue153GpMDfdx0Y3H02AS0M06DOi3PxZjgHfM9Z2+6jScc57lMVZ7FocWXUzc5oxnTYPsQe5kUmi
+vO2Ih/NPIhDQqUGvzvV1SkOJ6MzFccjRj/HuzaYZ3YkMxPrrq8R5TJR0eI+Qh50t66Dv5VOkVz5
yFwpFgLN0WThuArr9vBwREcgP3aF/JHpB4dc7oo3/XoF/pddh2lYHgQC8J2zxh7aYVi+jklUtxkl
qHKnKuj/SkGkTxnwFHps4tJdWS/1aeHtcDXKxHfZIlzxTYXgtOq+5ydFxxbYytTHl7RPFUqIMSY3
rl0JNJ+pB9vWQmqSGzGnqEeG6QNb1sllyHfCQ8Uqs0KQgRMzLNR8gOKU51XQBGXWAUq/BJG2lNnY
R1Obz6azh9QtV9pgULER/cXg1+EReEXbgMEN1V/d5Lt9ktTpKdaVuLI8+CY8JxlTqoS+RRYig/bc
hRkSWKRVPesheAZNq+e1ylCwX/ay1XdNkqhDDXXxM8Te9SHUVHytcERd+KWZVS5mJY7OBjyzdHSf
0i5id0El4x2JE3mYxi4tAGO49bJzQQSOIZHdRSIgUED9i2N7nUJ/F/Oo23uDbEUI8OHjwsLzEFYW
FA/nx6R20weuePdO61YhQ5AbYZEW+jLo2ZpxqIWaPElxS6IDyJiFdTogVXEoMe28Aqaay+MyynWv
XeIf58Us2Qza96A4GFCVrngkYySvVdLaOyEMMJ7EvtdVIO5TNp1sy/ytm1D4dUt8AeROu6ysw+WM
PNudEie6u7IJgz1F3Qw5cp+sD9VQ99fNMIfvQyRYT5pQswtEBWmAs+6crFrJc0vS+GEpTZinHRi8
BaLfJg72pO3cuyIy9mot+zJH8CQ3A7LgvOMtcqtGMwQFk+4K5sjZG/qNOg7hQWTacwiw5dwMk8g0
HZp8afuw2h7y0YZS7aTu3wdxv8psDdn44FO1fm8AAeU+iNfTWjbRu3g1IJ8sBaoI9xMKRs2rYzxB
VKslAjkJ/Xip1bQ8tjWJDqZvi1wks7gmSxtkXYdAlBbgyGWVJp9ZR9QJgpg6D5Y63dtoXAMw21x8
xiHoTxBrIjcpTZAtTrF8FdH0F+T3HVQaursfjKB5HzUZcFfypfBNsTe0rkGJzfMxmYfA5j0ysM+h
L8Yr29T3Q9dNFyoVbc6s7S/DuhjvfMu7g1sSf0eoTm8HZSsDtE/6fVQIe2yiTuchhIy7oUrm3RSr
6HuxtvPexcvXCchqXiFm1pmsnMqt4MGVCiID2Th3H5Hk6RxqCX8vQAHvRtaJz1OisDeY6HeeJ/WZ
Qpl0DQVMgIBVuMxxHT1VNZLIBHruGyrb9uhJR79AJRLtltE/ygkhPYTc7MRn0TcZCSR/0JouwD88
fAFpfe8JPSN7IFlqQVXvK7LiAbcQ/e1iPb9z4Ec+Bgtv8nJqAGhDo39X1sPaZoEp3AdSCHORIi+8
KECcAMqtZHpC3AzyYSRXA/i/e++nOyhTxszUpL6cMGE5x9p7X65hcyE7sM2BgJAlpe2V8IU6Q590
X62AE8EhdwmwPFnkUVskJw368VAkY70f2NTkJJFXZdVXx04ME4QjqONaT/TO9Q2goClUh6np9LEA
65WFS232SyKbq4JbhG8n3RelSX8MZiIu/TzEX2lc188WpPINH+y7gTX8wSfRI1mj4aZKpblyjsWA
QwJ/TKZ42hsez49Do6YLLpovpS/Hsyrj4mAq3R3naa1OE6B2wMpBMVzoUE77SBcR9BFtdwfVQLVL
cHLNwAPe0aIPPweudVcpTmWVMSrnj5DpBafaz/yq6XV5EWp+6BhYexKS20pEH5bARRlJmnqvWyYh
vZnr95A39sdpTMxtn4w0X4aeHYiR35OqQAgslDomQwqRmBrq09DV/kpFkYM7oSo+zSmwv3gAQdz7
2uxAM/i/OIw3qmnbPKzK+KGSGMJIqzHH+FaAi+waHHu77xV9kgNqq6aL1G0J00ftgvV6EcvVKmn0
WJuqvTBg8vfwFMxHVE/pQS+VfLLTuhyjRdunJWhFVqRTuu9g8DjHrpwg4R+eHEVcSUlDD4Wbsyoq
mn09qS/BBGzbroxAKVL6izRds7gq6stlvIw7AQEjZA/zTVR3Ra4SArEWievHEkTyA5Kq6rI1CY56
TiVqcVcl5W3XjfSYxkV/UxfRoRGsPyYLsUCWIvhbFh4cVRkBNVRhcRWXLcJOWE6nQpaaI+KX4s7w
fjlDLkMP8EpA/lGWPHeRexooYm0XW94fnaP+tndxuXmu6EXnbXvgiVu+TIlMaiDKHklKNQgO7UVh
2kysJtrxzi9fW6hNnsQ65wRp7pemSOUOA/mrmRpzKJs27fK1Dex5HUiSN2UVnApvIUmLTdWgZIyq
9rpfwgroRiT2bm6MyiGf+iZHG+4iOJlwpIHqzngKjWZVlbfIe/NRk/oAjNAfiOxxgjpJLzziQI5D
uN8p4HIniPfIXxCX82wE35NNo+t2nRiLPdWAfJB62P1QV+94DIg4GwjEc1IOBKrDsDwTPOqnjg7F
KVyk3Mft1A9ZAYnYhQWDkhcqGHbG1RPwiVjGn4yC5uVAp5hn2pN3cY8DCbx+Ud5QN9KvSx/Xt34B
2EbmsM6ZrMKDbCGfoQ/JIoH/7+ScqO6rnppZRFnT1mnzPl5UVUUXkie6uhyhX+zeu3XGrHXjtyUI
gD61yJSz0grqQWnVNJ7z1pUciIOG0GtVRbuDqKAcs7lYl++96NU3l2KEyBH4J/xO9xQUTh7WcO7P
cpXAHqE3X3ZkSPTFNCfm2vT4dDeI7jPDzmPVamFpAZxZpanZTQXUJjrmfZdBLtp+s5LQ604vyVmE
1GMHo5i7iSfx3iuw1cZy8S2q+0FmPvb9peSp23Of2nvbGJaVorEXQdM374hTaidYtxZZp9x0imog
zIgG6w5ZX7jrIqQwoRuarCh0dRK2jvbQPYWXpB2iC0ug6AEuwfYgCBfwe2vDoO/A9UjVd4+LnqOP
A63ggRp038TZQDczIKnhp8PM3TuW8FzX4/oZRPxtUSaYVlKny8Pi0mI3Q8soc5Bm5BrSkDAvx2HY
WVYD1ht4IiZ4s/oE9jfblxkyrQn8BWjCbID06WJpyvJ9kdTj5xGpJ2qmYb5ZW188NNwP0L9gsmWj
ymMAHVKR8bBRN4Gcnc26FopqMfXkvJaDeZCyIeNOd/jo5FN+ruAYuB8L4JqFoeaDVZZ+on1iPrVd
8UE2MbmKwt7pzLcEBFLY91MGTW2fTTO5jNOmf5jVMrQ7Kfs2vp4WFb1rlfkSe1tXWe+XAt43RXye
OIJjX/sC0iJSSwDz9Vp/LElfPialk8cETq8CSnoaHlEKjY+VnSB6DSiDHDgqLoem6HcYUXsobYlN
uNjWg+4b+QptlUWuY7QBJq+4e/bI+pDxB3zIbLesdyZOKmjG0lrf2yJFJma8NdlcTuF+SAK6D2Of
nl0FPFt5X15xNetzA1vrTc1ROcSLwGIiwXOddP5RARrkmQAuDiPriqBBeLV+hP0RWhY6OwLXVuxv
g7XzOxAk8jiGc33fbnkS81hX1kdjBvKsuJA/hM7IfHNA3N2pLSXNS5RlHerPLZGl3F5xhuRat4Rv
EazYAz6FlATLrmzMp250SXNLwVYxEDuQpFwbMMgkm7tBJfmkxAB2AP4f/y1YW+LuaBqUJ6EglNPt
HKwfx3bpl/feBSXO12BEwTveTWQAx7ufJrTw6bMUFkd3iSmxSXLoCqNEzgbaTVX2/xooblU0BssN
ONijDGLzvq6b5cMv8M+/8128UdSQhEBwAEdSjKwM6M5bo0dvFlfWjLqbIhj4LkhDldFwxhNpzkGS
7GTxFDYMAGt4wSp+CCJ74Iruk1he95PfD924x60eU19Cu62Pvx/cGxPTy9jQ9YNGIoZ3NXyj9mno
bCBjC90NeMCbuEeuKE96vvnvL7JZumNoO1ISv50AXo4Lit7Z3eiQZNt/AjRtG3eHH5f5P+HOi3Dn
66+9n/5uZ/DDNbc5Y/6zbOdtr4L/xTJ/WGp+4pICSpuYweEeo21CSiMC5dWLdIfG0OdQUEUJrHPY
ahv6+BOYhEOP8ShGn4UQzBjWFg6yzXNPE3SaCdHMJAX0h5YmYfzfoJIM+OovoOR2RQoHkKAwnQmY
0cJtg/3ilKppaVvqKv4d6NCItDPsI4g/ctLP2n/gfOqrL0hWOZB1sw5Qi4zhwtWSB50kz0VroxaU
HMD9+CJVfIWsNA1ac3Ip3CnXNVAg5A9dtfD+mVdjuQCZFKIuofoHaES/Q/6yTjDIL3H9JUl4L7+y
hhlxUwhtepY1VA8YStRz29wqSiBE3hU1txUUAo43zRVFPY0hF01D10vs87b8K0Dejt/55Zn+myjz
GrgFzU+weSGchmIPjw8KutdzFNNGI1qq5Lt0XVua0wiqHG5qRDgbn/xQjNrlQGvRTa0mEBjIl733
0jjs31yebva4/5VF4vpxzGIWRrAW4ElhMK+v70uIjQUR+ltJgV/pfOwYZ5shIAxMeUAILuy4s2os
IhykEfKQ9s5FbB3CHG5o4djFKFQ7VEAQDHjjm5TD9R/+YY6whH8dI6IvY+gLlrKtw9G2LF+PcVE6
CJVlwL9Q2pBwV/i4iGE/TqIR1UlrRyGeKk7k+MKV/MfJefNstutGEJyFISewFuHseX3dflq7uAtY
8q1YseZgLyJQfH9SkQyBEUKmOunbFnLPERoI1YUgwn6/NF5rKiNcHqo6qPvCNOIJPJ3btPyyfQo+
6wDcOPsWxBCTsJw7IvgXbKRgPHdex/WNDmhHrzfYcQJsRQiqm0EBhif/9UhQYwhUo5ACEPRmecMu
KChI63Il9lskHLbcYaXCUyiArQOFvteJjATqTEwB8kjIAsVTR9bZpvtZd6R3f3gqr48+TAsPBYyu
yEe5wKNhb57KKDQp16qVX2UKlMgeOwOTK7ThshnS9bhCdYol8vsnsTFFr1cgCrMIuwQbFULIf9Ar
BQ5xkKBj8Kw0tGLBaRmRiamsWTqF1n6TKyMf5bqBy73PljRkmAiuoQp5aHpRrjn6Tdj2IW1UY9ud
4Z0N75tZt8Pz74f5OmEBXQXZcRSRiNMYMRxd9l4vmMkB+kR2uTwvdrRYBGSqCJ4PQa8PDqzOsjl4
AKxotk2DSnL7ofti+sPz+cdk0U0OKkCSpQnoMoS218OAUm0YV5Rczy0yWMTwEtELWst5JePKL5nk
iPtDAU/dl6bkLSKq7RtL+QlyFeg/MqMQbbfIvyr8Vqt9PV9GMO1Bmff76aJvNxgaQjIRhzArwzAN
4fSb82lhrkWbCs+e4SwVQbNHOdTX052BZKtvc2dWg8EFcTPjvQ7warfu0GdlDR5c38vzkELMV+SN
92S9bJSBuXqrTIQE88BJUN+LJgX6CZgyXRASw6BcaXtBfFrjWystnTF/2KYUHOSrZQozA/TXYBUp
dO6gFd9EDKzM1szt3D/FvONAR3oCOakBLT7Bb5RTD5wQ+Mf6Ej1R+eO96Uc46YGa4y24M5gwh8mx
P++h6G0UD5FtpAQCYwqhMfbum2VRLdXQSNX1T73FLjJ7Bug2ug6pYuslg1QB05FKWD9h21rWNYbW
0zrAKAj4TtwXxkuw9E1U+g82mAZxk2ixJQhLNDd1eqwmvj2ebmApltA6x3y+721Z+Q++Bl1RoeaD
YgsKHMw+HlDXpgovstUiE0maBQRDxiAoxo/Bk2JMdmhBw4aDAICO36qWQiPBMD8uD/gvgHMq6ZYS
X9EhecDIddBuucHY86b6sgwCpNohnS2dH9AyxgPntpW0GaoUG6KLSiGb5VREOFw/w/8kow8zmSkW
WQxxVPkXUvsOKcrvF/vbqInZhzYlRnOtKBYcCPPrTcnk2hYU3q0neFsGOEShK4mBB7mu7Oozm9BL
Jtr//opvo1EYIxaFFOc2ipT0H1ccLBmUa5j7zDz0dIDqpmgLf+EQVzi8wely8SRL5rEIXTiNQ3EN
vVeMdfr7YWzp7KtNwWKBdhM4K3gIMzqy5Nd37tk8mSAVzYcGXvkR3lnI+4LvHSyoiEaqGlq6tzLu
9N08JAUiTg+uCqLsBLVzB8A/dgDeRrDdl7VMxMMC4TOEWgPMDvP9mARE52i2BEsDFhGMlBCPgqvJ
IinQXwZCWIJ12M0K2cVZltW47fw54uw2xHnfrwCkLFvmP9SGb+NawnBAId3AXW+t1FATvL7jSqBv
ijND/DijaQ+SWG5tiCR29tu6jZBkReA53YJlu1QgFaCsHH9ktoHotyXN4AgO5YNcxLakQ6M9vCS6
D9kWIo0fCD2YGk5tffR8rbDrpGu2nJrCcIXdGVODbfSHh/gmsiXIgBIcm4hqeIJo7PcmVMNl3/iu
bMPHZIQIsD+MfbENYAzYtG3dH/sYPTJXjE0q2CLHHLFyCynoU4ODJlAUaTxd+PZSZ2Dk/AInZByd
NNSceMmsrhM30iz4FFSG2y2uRQMhVRXElsGMZ2cGcT7OC9zuH27tTZaJW0NfkyiEtAeAA9Qlb25t
XCpwIlO3PqKn1hapYPXD0oLJT3dfR5JUIbRloNL8hzgElV6BCe8oHsgimrpY974RdCxgqg4mh25b
g8V0AP9mWH1s9ogmrUajpvkIHXS/RbcJYfOkgaghrI3ISHBBPcIOHOaosSimApQWpmIcYwVtNodD
EVtCgWjHn17mZwuFW6O4f1W2dy/1xq/t2t7s0QTpArKrOOSQTKFlxNtUlzofiVWY4P3cxB2iw0t6
GyrI5YCpJyGA4D+FhTfH0XZJNK8Cj4NjiWxdU15vElJ2yFrhOXg/TKArvozrOGJB4ezH/ERlH0EK
LV0A93AmarZiwutZtkhZEPQwS84u9XgXiyGR5QGizwTBABtyvrdod4gToIH7/R7ucBxUPx9bYRx4
gGypkxZ7BbtoexxFtWwPIihB+oJLXst0vidd02EkvKpwNkH8ttWpv5/tKGWvYyJufjsEECQo1EL/
rKiQDg5BQZb1vYKQAgIf9GNjfS4dkeWNCH1k171RcDMkWRrCBKgyC2OpuSA1JL0865HtBJe2aIJo
w3xjlhvXLcVXomtycnKKxK6K267+BumGt/dNB2j8i4N4x91GMyWL3yXgd3ifG+SPw3RwjifzjTVK
Ll0mGjBRV4xYCjdJa1Pgkss4WZl1S2J8mal2ttECX2s1YzPM3jqglEvAy6g8pCGdogcB+DsqcrLQ
yU1HGMcVlcjfZDGeRxUjM8tjmNW8R1mLpdifl2qVU2aGvhSHGQQVXDVNsPj3EAeE+gNMFYXcsWgM
ab6iPoW+WxTjACOCDl2VF7wuIHlh485AXu4vZdoScoScQIUH4IaJIvu+6proceVzUQWPaUeW5f0C
kcR4HcCCG9zjxIinb9wKYR99PIO4zPquQ5/Ad+ni6+ooNdCNg4c4oumytOo2cj+2fjDJM23KpIV6
pe/mZdNJruZ7Co4IOHBVu4GWp1G2hic71AG8FkfZBJW4gQMsqKojeOqtg+F3CCfYiFleoCqz0TU4
lRlL2lNwtOodE2QUZN9C99/H5ymFyKe+avlSmWJfzsXo5ivwDIXWBxk1buL3sg2ZOYsyUkVywFoR
0Gqi8SHBsV6DlHFQzQSRMOMOnkRfrmdXDNAgHZ1ucNrkVeoiBNi51xP/1AWT4MMZi8MFModPYQC+
MPXIulKwYSxZxC0kw8DHb8eXFwOta7yHbrwRLudhdzDPfjJpOF+UwoLvOFGQTnBnryWvpvi4tCVt
aqDUAKRBCvBA43YKxnGofFnkKkial2gIwIvb1fWuj++gcShdfYBYLgj7M3ohpsl8C4YW+q8Mjv4N
k4jtyFX1IS6kDPxlFNUDZiqAU50214jaRvHLgEkb11fwHmha35WlKxO5h/fDDcW+05Rh7AhZ25DQ
na0m4Z4UatVmR/qqtAk6ARL0fPsUFmGL6zVlnaaPU5EYA51DHGNmw2TSOEFyKtT2JRg/UhZ0M0i3
nD4CDbUVBuhQx8ShVG6bMVaj5UgKmkyNwUMLmRTiVATnM3orpm7ssAB8i3zjOKa2wef6l1tVI/eY
PlPG+AdnySBxtVpBCf7QUr09HtpHkEB9pPWyzXMbwVs37oIpgEvtFKBpI0QbxqCgMQerNTKt3EGr
GMMynyg+BXiC0WSmD2PZTrrFfAXKd/DA+4gu10kZb0PWeNK9fxBYWbgCw1vmWQbLtsCEBWI/X/AV
dvZnkJHb1MwzxUdxxCbGYQxzO+Cy+c/7sZYx8wzATeE1vvSdeKh4JFOWRy4FAJT1aD+Cufi5eiTU
kPjKuAy2m5Pj+mMyJqwaC+Pcjxw35Z5vf2IDr64ZtLzBw8+pDl4+/vckv3wOSEFYXcdh32AAtA3U
/FxpuBXsEdqDFTdtQoi26gxa50KTBxTgRZdm/OVBdX4esdRQeU+2OLc0hV5w0+rPq7hN0UsFszSH
TY2PhD0wNgvJFXpVpRl0KFvSi2akUFjmdQzN83P6MoNdjx2EuPZyTyrUqNHyvmuFo6cVihn8Gnl5
tC/LQ8iqxvyICApuAqFhvd38IlaFdVpQu11GRUrgxRXKoFg9eljnp/ECd8q26X1ZSH5aYXjZ4ya3
b4GXY8DvoaUww+oaRrUN/WVCA+9AvuZdzboI3kKCRojl2cPCuvTHYgOR0DBTTx32NHpebMjHgIYz
z3qOQ/OMJg8tlg9Iz2a7eYv+ROJ2AJa9fWE4bz/g+kjwo27Jth0az7fxtxP0He5xqou60AeoZfC9
yjBasFM1rDEdL9nLWtHlkI7x8eeUp2gZgOEsmlX4EpwAHS5e9rrCOT9T4wV5ROZWQsnUm2BsdU6G
QuLivFT4OzR2Y90D26wBGACywWNS0znuim07Tzhf8Vq1TqJMDhWSxWW9gAWvXroT2lIQtO6o0wji
zUwOBWBDmtIJn1ejGfADSSOvbxooh+ubtXHA7ThxFFCRAZZf36DrlAQo4GyJq8MT080fRCsXVAFy
9dvadylCeXlYmAkRYRIL01Gyr0HZ4iMQm8h0OPMUR9XymYilRLwp6q6rqtNPOLkca2XLw6Rq1Ltf
IQBCB/xTXypMx5H92DNwDtaYsEG6SvoPTCWdGx8N2g44cRpfbn1JCxDIOwYbT4U7qgo3wMMGsRWi
3Gijbfro0m+rBnjVtsRf8NNkqNCNJ6NTuN3vqHWIH5DKGHweLTs5/qRrD1w5jcKqTdHeVa+iuWY9
tfiEWOlWw6Jnz4B19QKyeMrRmeEwtcbKEAps9MQKMv8CvUmU5UANDUdzovUoQd+Lp6ZB7dTmYw1g
gl82ldj20xg5DRC+qJIRoZIJueLMG1ZEmvKAWm+bvEmzDSoIp6QCFl/WaJ3GL+1a4y4/O6RnMrhw
crBW36Ss3EDKbsJxdx1XkonxXQQYa5X7RZbBqg7C9bwewGsHFJqNGCCQeIoKqIphi8NZjYfvgwjm
0QPscdux0XC5LTcbWorF9zKT5dgBiWaaaDZfOM8bGb+DwcUFDxbJNFAF35tUPCHeYn3BiISOUscy
Its9gLIPEPxRXm4oVa2RryKzTpsOdiWRwnBHnyO0F6lvoOuE9vEQhd0wBn859Cdd5B4nGqt5NtTA
v4M8gXjEfgAi6arxPSlMWRS55PAdLffQBFJmvqWznk34eZDQS5OjraYZFg80tB2qDz6awqjLJpwO
C4p9SjvklHHM04lOWOUNmj7nM14MYtC/DszUsvt5Jy/P0vQQpvEcHTHW7bZ+hJu6nrf4l67FFk2Q
/W+bFybf7RPoF405k2W4vYY+EgE+sRbr9kHJgE40e1TuG7eha9ljKxfIFuWNH1fa7+GwibddCekD
3vm5ZJFTIhLBZ7C99QLBb+E0KHK7wBwag7i2JLmb0GjWoVsHgcH9KYIXLA3PzrTbLi8CdEwCfA+e
CD/QtgvRwniC9R0R8A83wC23kVcaTOPTzwtxm+JIM1gqwcNLxdbq0sdVVrb9FL2rXgIWutxs34w2
mBsYHdRmAyHR1c9G0Q5NcU0nM2XEFDxMsBXhntEIpsRS0mGxpXEqWnCNeK63YU0/NlzQVThHMvjw
t03ehxvNuGvdsq3JWHooGzJ4Vdum2SvYZ7F6XyYEOPAW9KoEHmWEdwhnyksVsjpO/gB8vSnogeVs
bg8CYjWNIcV4CyvD1YbktOrDB9V1AqOOCzRqerBw2dY3BjIBDAI26G13oWHzNvY/VHeva7vt8rCn
CE62v84F139T2NoJxn83xICqXkJjCQx4m38QKvUfBAJvAHTsJoKWI7gWICv8X2xl/S8MlUOfxEQi
lfx7jcAJCE8v+mahYw2aOGyrOxVqe6joLI4n3EU2wiP7GRx/f9uvIQQoNbB+0L9i6xzLGNZ5+Hos
cmYh4NuyeEjBqoknzWFVM4cBJi229x1S5z/N8z8viL8/AsABWp6EABfTN7hiBd8zrRuCXpBLi4Oi
qHDin9GAE2Hu587+/Q3SN00wcIfAbuH0gakjREv9t0DmUpdRAUOzuP8ZMZzyG2gPJ8TK+WGJhmQ+
/H/2zqy7TiTN2r+IXMEMt8CZj2bJKfuGJdlO5hmCgF//PVjO6kr315VdfV2XtSqt4Qgi3mHvZ+dt
vPYP02wuOWieejvPTQzAT9qA6U77m6ncr2RSvE3sZX0uL9eHsM928K+f+eILbXYXs3ssP16qmbqO
d1xNRcy5DjQz40+QWtPCm+mbXA6UFlq6/SB5a0LexgZBZ7+3K7PB2KA4WpaQo77jP+f9iPXbbDHp
J8P5Y5/Vfhyz//pj/fXPyB8OSo+w2Zjg8fJ+HT1x73ajoTR5mw7FdjKtPwqhdrDr6WHRvMkip+h/
P+qCpcL3s2Gl4Azb7DG/cohcRTWCQmy6/XntoVDr8kA0nKxN0A9Z8m+N1gDy6p6O/osXA4MYpJZf
jgMTVamONyvnutmqYIrk7a/hFvBJdvXQbRfGv/4Fty/4X4oC5rM+6yeLNxA9isVE85d55rysKutX
GyMQgtnCDt0K4+kXp+eF+btX8L9/K/50Hhs8z6LTd3/93arYqJYpcZLjRykibaYjPEcGTK+/W4H/
lGL80y/GrJBvBYfa+LGY934914VgL+NmwAb6FUztsDNstakRJmEZU/PHsNbs0MNmSJitYqiPocHC
qLSTUa8u3NZIcFD2Fi2TH+ygzB7EfRXbSdIc0dWxE76NVVboCsuYwcrp89BBWUh2fW5YNViwclqN
kegF4YAJ8XqbUdvVhCdlOvf+xz4P16rUzLu4rvRO3RQYkKAqUuQ4GbR9kSPVONJouKC5Si1v+VP8
LFDAY26PffFRVlChe1wWzo9j7KPVKGbB0T2nlcHRTWu4lQGzNPA1HRsDf9JtbUz8B5RYzuTemgNS
VsrHj9qmZTnK2y5aT19xIAxjpROpMfSgZSNQBiXWrD9HHh3XJli2j0Lmx6PKZm3m8wWgvV3ibieZ
LNFbFI6xa4EqaE9VQVchz4JtRZaEpaoG+inm+WVevpiUvb556+BnttpT7ghtGwYMsmfOCiFh68P8
eRnMLkqLqWLsygTGZcsQ5OkI3DDUpiaZRRV0Juoh497vfDAwu6Tj5e6e7cWXa/PMvmHbaFED4gC9
bcaBJcJz1jJtTrAXWsgJ9mnf6XoeVjpF5x8LrefgYWRQs/EFBt4yereMzeL2ofb9vMACWQ+aoBPm
4FBjSIIKu/Rd3Sz8baNZGSs+uI0+3ciQ0ky3sfNbEDyuhT+MA3LUMp8zumnf69mL4lMcDpYox/nd
EVWxYCKyKLgxyeMw619rJi8aTvKPldvPs6hjH544Vw8mKg1HnZYO0JmfdRaD761OXOpxu3Q+Ho3y
RzVYu2VBy9b7KGJAJfXCqUDqDEnj8mMYBbSgudCk/8wh3nhP0DhQEVaZndj4R5P5yV4yO4+WDBFu
ZknzmAlzPVX9xrvuk+bR7R0jVL6d3rrZWKJtt2T/HPNQH63EhnPJ2weVB+rIayIyhLm+ju/HK83x
QLPLSMmo7YvXii9NwetYQ+69OnPWRq6Vpvx1hdbvc1dZu7zJprs1L0exoyofd94i4AsVg1N9Tdvp
ydCt9tJbWnKp5ACSYGAEjfYlOcpm8rGhzR6K+bRjr99m37Khi6MyhYGxWHUd2bHfYSE3YIjENVtg
4k0svrS31KGV1+5+5kuePPqxd4Bp0wHdQ/yt84vyUCi9hBnj51hkc9E8tRaz+aBkRDNAnmmSl1mt
3lup1Tat/FQ9z56R7YQxirMlfOgDjaaZV4sx3b4fh/r7ANPggeEhHqF0NP1vOqse+hm91R+B46XZ
vsXisNOHanwcpMXAgaMgGhY1nc0BGjNWvdkjsQbCnfeaEXGznFAgTF8Hw8r1XTO1I21OVmHxk6bt
fffgcoIwjbX+XPnIESJLH/MHJYmdsdnVX+xh1LsQtkXzJvKhvSrXEpfB0bcnFHwXO9REzmdFOXsj
3EKemH5rBISYqRF5nH5Y52YoMis48JS2udU+z203f+80TYWYHNc3fJ+NgaKgRT64rgNPblq2kC30
pp9w38yFOjtT0iGP19vsdtFdDmJaqlDOZmmecSKW7blX2EqNdjIuNvrigEnvJ4gcX8UUx7eWzusj
h2mMGC2KLEjwU7qRvTTmznLH+rZNrf7z0ipqMvhKYwJftEADUYCXSsAnaBPQTTbTTWAaZX1oGBQE
hqjGB6XXxcOQLmMRFuOYvHQwL1971VbI/NWkwljf1Pk5Px8bV3JKCl48la6hpbz53gfZBe8Iz+Rb
XmHrZclTfSLkE/BFK/UH7J3eiewOFNq9iM9WVltvg4eFKGfeDxaegSvfNB4x8modHemUXDFM4x0r
9cJ/6zWKmsijPsuBrw3dvTM7xZ6D3nFCP1vd4wjT/R6dDtqOOe1fjKZusWgp/QBvynnrzfhlpk9+
WTsg7oeutTCDdlXyfeEDOaSjO007ysDlaex9Ow56q2NjWxCcJFIpTyTAtIeOOlTfcPb+i1+P/jvG
S/M57+PmXa5y/T7xgEfSbYwbC2HBQXBTRJ3qxifqSy2wMTJftX4ovqyiqQ9mib8KRslq3aaLsLjL
NlIatmyPeRC06aPLYiZshzo/FBC+XtB2mfz80jjrojb3OU7zz8zlunu/TvujvpT+E+bu9ZIAfd0p
lyOXNrgC92SJ8dxP1nxfD3H/jJrd+moWZKQERrfgn1oqXh5mWne6OU4X1bvzKZuV2TC38epD7FRQ
1CB8FwFjD/+0atA/4zjtH7AZpC8eo5PP3eqNz1z44H+g3JM/pI1omJxsX/qxfWXDjYlhxIIYeetS
mzzvmKLWRGvInPLSe3CMLaz3thT7fs67z+04WQDE7XW99r41XRAqFUwHquY5MVe/4syu1M50AZjo
7PxCSfrPnScTk8l8r33TYgMN2nXBJpr5IYxnat3InRhpe1fSd6Q77gThmSVkgX+woZmylLeatdT/
Fy40Up/pJTOk7A64uE3rLzhogXHr/CsF2vNXfDP5Ovo/KdCNxr7/At/c5bN2xDz21w7Ve7nXVa/P
p9rqqjswLtqDW/tZGzqqT5td6rf9I3YaWe1Y+S7ppcqKJou0vrYRIcaxrh1cuEjr44IxeUoPW+kh
Ir9TTdkQvNU2c1KcC3ryvgx1l8oltKspljf/fyYwcr1Yj2adEvEy0oiPn+yM7q/nHOlhSzsUTkmN
rOgoRwebs6FEnT+v5hLjV1hUJ/zpbHDYiZNnsRE4dOVS91EqB3t68mG55ihwkhILTo/jGCuRZuEY
ykxUM4GB4e6hWXT8mDONZh4KuGbiOvu5wrHYM8e/2Zg9c4RAbo0aJltnmD0EHehucR5JWhjyu3LR
HIjAgYSUpWAfCVAUm0qrNezqbhyt3BujxckduHP1BIF413isN0MIZka1s3T8vFfcebmDq4wxb7iO
CuueWS0sftwpL441BN5ml7AovCkyxqRRrjJ1JHtCh6bviRSXlJP3+qlI+pZ15GQDqjFmtt/OaEDj
s33l4umLweaCTDYZxTGz+6S3Wv9N+pQmZt/iE2uaWDd3Cab+yQgp4VKtCdnNI0WDVZw6j4tmNdjX
ugmHeBlyko78B43QMpV95RDqAEKAeISbg81J+buicnU33bWGArd/o2vSmWAk11V8zDvPekuk/LKu
afKSYEtM/NbOA9qE6mlG27GLvRjYGpeH4JBwetZf7grgzihvezOb4A70fthCddjCoEysUlVlV099
XTpR3zvkX0F74nyVY/UVWPK6d5uSNV6i8K0U3Cuhroa5i1YuG+veH1LzyUVA1INdZ9bD88ADE6CH
m7/pTVs8tF09eLvBdZPr0AA1m7oBeyIUNRmfmBon8NYr5YPpyrvIqDvYfB3W6LoQ+g5EUnMpYlu7
MQplXYyWpSUIJpbXPm1RZBixfKvxAB9WZRhw+10u4QigTzfsWlCzt+gH5/HU9jPu1WEWivwPgJ2W
M8g28OF9oiFFEDmdBodfbrcw5H5aY1KVY/be3SFnvxb1vJQEFyxFf8stz+WfOQXAyZz6gh8hfuTW
yfYTIUfEn7XppzxL9C9M3og/K3T/0Ai/2rutm9/DF+tDWTnpKzkkL+QuMFClcdu7Rpx/bmZjbALb
bDAhirg/T4YZqyAm2MzDqjfhj2wNfulEMOHOlAxpds27nLYEHKWefS1S0/1SxIn+WujmfJVsbiO7
7ZqTycj4E8N3A5Ozv6o2MHPR3ThxbFK3Qg/bHkLrq1VszfBSV9utrYzhvQH2BNHbyViEMkxunFNt
11kTDiDPRnZNa8OwEHOwHmIMBP8MxTi3b/A9Gu9pmhJ1Z5T8DFAUXJxeBV83ZPzFM5EurX2qnMlw
ozFFyAmojOv7XAE5+72la0vDojVN8YWLF1egr3mzPGpj4URjm2tHMOnGy6YbALkni4n8Q629s22V
v+PjbLke6Dz3zRSjhmpi27yyuusv7YKoJOgTSpqrGqb2vTBGlYUDY0YZZLIEBzIuvCu8lPRpU8sU
85tkayUDNnJyV+fSPDOkhpY2Z1A0jpts9LuFhDTeV246AginfwuIvozHqIw76ChaR5BIKDCMfxqH
svzstlKFxWCCLxNaBzVrdvUntmuejyqIGi5wxjktDzNF1ZnTr4bm3cHvoJTzKT1RcUBNMMlv0MIJ
Rh6sx0rY7a5vJQ4DFCk8ROEGjM6tAmCUdFilVAVGPYq0fre1sTKMly7DeGybdby+1sNUF3dGo88A
KuWA1RnUhtOsbdjrU1IuB00YeW3dOfAKvKDQu8x8K5GNahBJNE/l8Z6FWaHETZE2TuOHdNvKwmu5
pqApQpcgBjzhKfsrzNQTam5riWpJgGBxWbzYMEU4TDRg7X0pmQ6ZgULmTRJmP7Vd9pokhdUk0cyr
whoFN45Z94FUHX7mfUKtVhOuMmnVH0M3KGkTolJkVb2zO3ZtT7Ew2L0cWoRSBGxAuiTP4j6foDza
nywNuRTwATgbM9sb1fPrf4ch7wo+xyGvl8hvU2W/2myZ0qePYa3WbguHsfS30aihx6q9kBW8re7R
C2zbCt7D1f2G21Io54CueuV96/TBzz5P8CY1CGAegy6NzjbOZ4crguMY5mbKQMG7jhSU6lbkPlSD
cEoGSICHle0Wfy2uvLzJ301vqmUV2ZCGlvpiTvx6a5A1qCwGIoIGIhCfzNGGQLlzEKpm5llMU7c0
6JCykRqH3iHp9i3ZKZzH2thEBSqkGwMxF6V763NiLiA1B1g4B/g11QLMM7Ukk9QsRFI1lbO1S2pl
ZeWunVHc+MwO6sa7rpR+3i4mdiJmCyYh+U1Y2zsff/KymhYokr761HpT+aKhrhkDo8F8FlgT784O
tUn1TUCFXNnSCOgTu8YZ/DSSPToVFaxGx/Jxdablh8r+7GeJvGdYKo/MgbNrAyEyLAxnusn1Zal2
rVkh1pI+i+BWK59yX83uCf7q6gYm4YdWoOq5qA/9KFAxKg/CIuYcWXxrVxEXHK0WAQYO9+gE3mNd
HodMmxUFglbuqEDpEOO8te1D71hjFcWVp961NVYLcROQkXWgfMQjRnNW1197QC99MOSS1qBeNUk3
Al0q3VFO9OAVU7uQ3xINYKEWUlEbdbgWabLHpyVhclaT7iHOMTY0TiysBq7SIoajPjTuZyCDlj6E
bmwkTchAMbPpUN1luK08R0yRIexpfEX6gGwi6FtUdiGajk5SIOkGuiKGW7cJnXcVWB11+I1i4aYC
Ml3dnVs45RkaBr5thNeYK9DWtRXSDWOBsujVNlAulyBVECYLfxhXJVqAQ7g7kmfR5eHEwOx9RbDA
sxH7D6ToNvyea7t3dCKViBpTkeXHHqFTaCu+a4iXGB7mbXLVOIaHLzSXc/rg5lW/VV2mkR2pYJxz
bwEQfueINJeDKa38sZnN+AaZZPIt6XU+eW9eFXK1DT5ZrGumwK+K+cVT9nQ/9wBdbltsbGyH3arh
NHUrzAqF7T/qjA+JVMjB1+gMLcCSoI35fTYtfIR2MVjH2oJr2s29/dTFSbMfjVq8Ov2gA75Eh5j2
5YpCf1gXyNz2coun0oDeNA0SU1dZI5D3M7iMJ5gzqNOGekUOmsQzpKDZLzdpBN0wzEYX+hMbIvas
GImzIUrkFmlL5RMzhRlbF3mhmQxwA5N6GW7MqZ2uiaETcSDspHX3CCHa51m5I6rjsea3RA3gfiH6
wgM2SgF+12lbxTt4FmEp1NQLoUgAYJCjYCxOIy70HOUV45L7tWICAHW5bSHMSAR2kSmqDDiT4t8k
NnI6ZCNVG0mz/WOGyUbW0KDCebSXzy6nhQTuUfdtVHbSexzsHg4aSDA4nBqanrNZGc2NWcbGBVpO
4SITimE4Q070LzAmjfelzIqz0kgLRquXAyDyjDdcMVPNnsH1lzCzByjY7mxlSzTNwAACgK1QE4F6
eyXnLyCCS64bC/wTZ7Y/aXHaqlsmV6AtEHIQWlq2lf4ZOHcCDgwhxm2DwkTs3NleaAp8A1dDFwvy
iyo9T59BJPQzPGXuZ0l9HqVm3/0A5zh3swkmhLlLE5OaV5mvHSoL2K1TCSSial77sWmCFELvo4ui
EqFUInnky/5zQkBGQm2ltFCj8rjpJ+w9A3OXL3UyaacetmUZ9Vnh3o2Qs84joOSQjry4Mhdwj1os
vE9MjDOXxyBx3ltjNcn2EMOj7BcDDgKBbGEuARVQrYkK6UzNiMcdBu84QLd2otXXKJyqzFeH2t6M
/bhlM8JKwKv3POpW2Jk2+BvT1y/10qRoA2f9NY0X9erHox60wySwTtoFSYVl/AeyYhER5zK+eJT7
B92K9fcGBfqr4J+QqKv44JD8v+K58W4US/5DK8cNHTe9IVAe79tJgI3xxkbovAfrvZ9oRDz0ulUd
uA+AsU7eYEZkclyYomnXuTP633OGHZGnaFTIowGgoFK9+aR5pfWUp0D4Q4up/qlta51VGErLwjS/
LhPT/35XgPrs+ncuqKKSZKvhZ3Ff6Wibqn3sraGx7LsxJ55LwVTwNm1S3+F/RiSggGN17BpYODZ3
1oKUZjnMBl4NI4Jypcb0JKa0ytcTQu5lfIkzNdtf7dpqimPeeNVohbEF4FqLPAlLvOfwKlCzsNNC
H0ESdOaICOGdvlI2emLJQqAw5PCdgO4wxQwcQ9l7y6pn74tT1yOHStcWJRlds2ungBWo89ApRNri
JFCyOguNFXJkynhUVQteaF4aZOyWjRQ0bZvvotMW0OMsNBHq7YZ2JiOPjWWWFKiF2iTeROQ8gwSb
HZKcWIHuQZreSAuTmcrp+0+NN8cyj1jEEm0ODNHMFOFkeTNMTTTMjufoO9Ga09C9T8Uq9SXgq7TZ
Es6NRUkWrG3KyXCMsUnmfsjEevtNLCcRfnlIEyXd7neSYVbymLPY25LI0MK7jrpo40DDfMmJ2ykd
AHm+B3vxXy8df7G+sfzDQO3jlWXJiUwP4cNfV9G1oOfIVet/FTkukp9bb8MpbNZPvVklqD1nTxLh
JCqrN9wATDwizYBgM27h0ayV+5L/WHT965/rr9tlfiyXPT12VZ/9KyrwXwNgM3vBmpRk7reiaTdv
U/Uh/ADtWPIgag3rsr9Zv/5VfbJ9R2zcfBqbd5iV76/pmwwNvVHgl/hefXxH+aGqMe26ZzVPhJ4F
Y3eUQmlYPrKcZeXHn+I/OIe/yWFBAWPw1P1DC/Dfclhexrf0n/kPP//Bn4BZAS3WFhtu3dFtg7f6
T5CDpuvWb8LBg46wg3RdxAP/IDlYBqnJOjt+lyePFfJGcTDdDTu7aRrwAbveBnj4N+KSvV+W7MS7
+LTlJkIXXEq+86vshFCALG0Wb7nBKqutBSSddlngd83kEVaEChdKkTMmk6S9DLY1fKOAz4gSIV51
6er+2OMNYbZDxmY+4UWrMl09psti33OFD8IMmlJtp0Vg8vbJ9VhVjhXPj2ANVc0I0JcEK79gDEHu
dpxYQWO+mCWVFAwfDWEz7s9z0+f94Id4XRrvD7N1l2w6ztuUhrrNnfQsPsWu0nLCRL1OPrEHEdYT
dk1QM5s+nVYo5/668Fla5h08bhUKvi21WivApVUb5zaxNuYtN2GF17vMbuOqSllGcIGHc+3EzzVV
2vMKOgGys95E5Tpp7yzMs2cvt3o00zTwD8z5CGHuu9NKTP0+beLpjeBoiI24YvMgK3pmpgJ8hd/I
pUR4r1aMQ2cW4dlG710L9r87nB2yuwAMqmpsMbWnbtOkkNpJzc28REWhJcuTtujwnSLBVDfBldHa
hnswMhD7BxkLePNHIs5A5JcUmbIr1KNTIky/aRXTO/4KyMCNSn44wv9zIvzdiWCKzY36P58Iz99r
1q7D9+9/ORY+/tXPY8HTf4Pt4mILtMztHf8zlkn8BpIIaysAF3dDq2CY/Al3IXvJQQu3aWLQ+yAD
4FD682SwfqM0ghfk+p7tmej3/p2TgYLpV6nPpoDTUfnoGIF8cr//eum6SEu1dLbrE77EQWfZ58ZJ
LpkgzGBpxwq9XoC+wJivo7GQxzJ0S6QPIJKxx7hH3NQZe6Z4QMyM6O126CznWRWi2EF4gMaSOAOm
4d7cVYmjXrHXdl20mLb55ie1fjJaUXI82DNZsgkDitj9xoh2POHTTA52VidM/osu1GPSd1YGG4dF
CkiGCNqIdMWQD6uJ6rzkmSfHcmlerbbz3rgiqxOza4h8mbOfmGpHgqsylAx+7yBFe8ea4f6zkZqS
xJLBIhyQBIHmNSWj42BIbT0PsmTokRiO8x57KAICVdFVB1WfJDdNT4FZ5KN3VfkqHqcZNmBdug9y
0v0bXv0OVmWSfCEFD/4Ko73j6k4yKrKObDyGZofejevjnJFD2pvLQ9M2cDIJPN07WrEE6yT1u9r1
z0ldQDRUxb3mQeVmvlBgzJ3R5W8Tgano7KeeuKnd3FmCOaZl4Y5Qw2kaVo314aqfrSLVzuUAhbow
ujVMif2LBtQHN50DB2SHagQq2TxPzzrZoTvk8+4VO7t9sFq92iOdsPmqw/rQbtlBbqbFQTEZz46q
1NelmJzdMOMmjN1ieFgZnQUz9sO9Q7B5pLVqebSy3H2fOIJbcmHoXIeD3pr5cZKJcYAuEH+SHuFU
eR473/D/F8vNtBj5TYLpnoSklqgtpcZqB65TRth4aJyoevedQ0+PM9jYods1wDaPzIyX3n9nKDz/
kcyLv19Frbywi7eBIypMZPIzpGkgvi8pImPGEM3yplF3EaQMgvkGBbK84P02ADsL/siZn7a7Fh40
BX8MlXgtvHMsnPrO1GVzQzDeC57kdkS0YXVHb2oKboOO1IbalHdG1ZNE2XFfBm1p0SBnSOPd46RN
2bJnW016p0/XU4TrpOazk617bNAYd1Z4Hkz1Wo+Lj4AYUpaMarPl5Kz/8XwFhjUBqi6NqSIml/RD
siQTl1RfIMEoiap7TbOPvk2efIpl4aZ3jLemBAR57Zj6p5dWL393YJ1g3rQhrHm6dmLICvnmUI5m
XriB9Ofa/7riJ8h2CX6Qu1Wq4X6YDK/66oNKXa9WDanPG6cXu1XmfU+6RD/tmBs8W/GQ7/x+0nfE
BPlnKO7GFtsylPDBU6d9bLGY5KRnLjI5tqDp+xeDiSUhI7YoaiLRiBJryGxmAzBoUWXnoFo5KPnc
K5bR+9jJa4e8wyQWn1c6QlRzrZbcdotbub8LQDsdzEyszg+18qf4Wx53rF6z1Q844YJUtzSAKVPz
xJNrF4GHdQqhGHHnBfnrW2ylIGjn3WXyoR29WoqGEBpArEHjTVMRSaAm7M65bK2bOakokNiJvBXU
bzwpYtETbDSjYIhHo3pfj671bbHMsTgYsZLtEeKUC1Fey3wcanoc+7vaRk8UrAQEs/tUgnzXZAWD
wnaHHHNBaBRtl7XFKxYxoifDh5OLpD7LWbUyJmnuXG8xGgeqYZea4wVPqC2ippEaEgpFAymYKtwp
8LJ7Wlv+pyhlHvQ2nzHr23h5LhEUXXqHCKygaFj1hoyXZswbpnNDIkt3KjKf955kuMguSujgxmS6
B+aT6aF2pXdomALf10Z5XROUWIwG7OaqUju9xJhJ91h5EPGXFvrsLTugBcfJbDMYc8c4e25/sDXC
Y3hXc86vxMl2aMFMbQ9cXTyxcM53jjGsrKhm+jtHq+tbN52aR0+6eNedTn6289hgy2v6lwVlbIAP
QI/YZSQHjDUrI7J1KkVQMfj7CublnTuqv6X+dfazy94wkxmDbUN04ilZ9XivoB6/2JgiHixLi7kc
6vJUIkO5ayBA7EttEWcJju8rYSj2PTjeCPl9cuLojI9wfsRr4epZRMy19xm3Fx7nkZS7Y2536uKC
Er2xbMODfqkIBGIs9gVTgn62uwZxSKL2o1Yz7h7FmtOmpnpL/KyJXG2J13sHajp7Ev8wMKrEO9wQ
/uTI6YDAYz3YsrK7IEcmFbJlIrq9bNI7+kYW2r0yvEvGIH3nGyZDiB4h1cz3f1KQqAJDh+SfQB2/
J9xmDuWaFjsr95MDPBtv3w6FLAN9tlKOxtV6xTNJGi5Wl/ZNesZ4o7ur/l1OBhGCZFjtCKbQj87Q
mcCt+X6GzwaIuj/Z51nLngs5+20h5u4TANnuZkIheI+pwb+CCWCUntY5i3+FK99kAFw09hraRuls
vOYvDPez64KI7/e4mcQtggufLzI4VAIVmP7JawTrXxP+ukqrMcx48+9tlH4HxPz9m+fC8B+cIiLQ
anzoB1sxSGfyDql78B/YVdIP5EXzjicX6ZSqxK5YGnFKRfJ73NcO7sxKUDy4bLe1xdyxgOs9hDVk
ENex2FlsJG/sLBMXUxu2SrtPiC3WgPqSxGblgdLHFw1NGMbsIRmGwHLVjtkeA3upHB+eiHCZZ6Ij
COoE1W9XwS9yAlZkesJXE3DwTaSfExv8qAEX/WYo1DXKSnNCvcm54nbrC5Q6tdy8l0/EYXhEGNPK
EPf1PDhLmz38KFr/U9//TX2vM9jB8vA/1/cXmI3T12L55/L+5z/6r/KeYvzDKmTjIvlHge/5v1H0
WpZvYJTx7B9V/J8Fvv+bTieubz0+TAldYMv5s8B3CHLFucukAKn/j9r/32j99V9af8ZpQqfDYHOx
wQEN4xd/ByvctPfWODlLAI7kmJq6+zDrlMeQs8ZDhhzvLMV7znLt1HaWRbRC4/mPspHjEUyaPJid
3h0EnGvxNwQL2/ir9cjmR+MjYVyCstqgy/mVLam4wu3C4I11JfzmO98vxJ3HfpGf4cfNrW93+I/b
PIMdMSYmeYutBMP949b36lp/GFBQUwy0PyqDdSsSsBxSL+CR1z9XSB0oI+DcrPtVOpoXlT8qjeqj
7LCcUfOOmy01sj6qEugWW42CF5mCJd1ql+ajjvHtsiPScStvLBxoVaBhKD17W/0D4yzfqd5/7j6q
I2TE5v2qIwXyG7Sqc9/h3PVLEhGCCW3ee4U84BEZdgOe2UIGGjKZEUvgsevQ9zI20vJMnEFZ7MkA
QdOTsyd+qLshKuZkJr4q/qTiRDvAvOrPXZLrh2kyh69w6nomKUTlOvlwAQF8xvo+PLt1pu51Xy0H
F5ErXPFUstyRWpS5awfKitjbW/gdy7VO0j0SEciZ1MrNI0qNz8JkuaNlBDtEa1GmrwZ0ZnZjEwIt
LWm0B/LPCN9002XAoi3VNXHXJ4E+4a5nv0ieiV+zPJw57vZeoVnvdGV5wBJ/wCKEsJD1N+3ZI2ic
9hGKnhlWsVfd2yzsyX0wex2vfV0O5kueECGmdC27W9eO1Wts7Du/nJ8XIVRQp6RvKae1D0C56n3r
jmkR6r0zhQPGeoAHrn5UZtzuXNYukAUEok7RNidrHeeQgtt54FPvLmShbALyUpwTyA1nHwfpGd9C
mURxLcrXdtSHZyCS+R/dzIApLCatfWI8v96ataGuphSIDNhO7Ul828Lf+e17Q45hCT5xZ2TNSNBO
Kq39SsHIRVS06VvBY0/X2atw5EkLQITOj8IF0gtnVF7seaDItjL/YHVpuSNGoQ6MmdyRFT/pYzpW
/X4SK01QT38UlX3lxvuZ5n0JV9rvV5svsmV+aAEb3mkH4Vx/M5I8RR63LN8NlDI3HQGc7HBUf7Ra
S87hmOfO58FYVryrABJOuOfzPmK9u9B4j25NBB1gSEDWNpssNK+Vi3zO7wiNhzS5RJuTfg2cIdae
bTUQc2xp5XjyVa9f/BbZ+E7xOZ6ku/YD0FaUgAlKkQvZmnx6Fnkg+PTzXT5IQm4WtBV0HLH1lRC6
GYp6Ofcgptv6yrCdpXe7dsWNTWG4NxufuA4v294uPBaExZVWLEGilCY5JaM/I/UkFu7gFqijirF/
gRa3vrtyVTCBBuvkOznJQA7pGRQzKHg4CefPMoU9GbSeQ1ZQlaw19WbGPRwmRE5AqoXn+qVGPT9F
dof0K2gwo8lbsyJQVekrlz/VlUuUAEu26gp4dES8viB8bhIH8fzAIUI2CCEG5Cw3DsKZLDHuhtKa
H5xe6hS0dSoVi8OhvLN4MdhxeciM5gawF12kTuJu26/OLWC6AVghMHLCd8vqUzzW3WM2mWOzU6VB
KiJepKvWjc0QsW4Xd5mXN88oqrUy0qfMikTD/+/8P/bObDluI83CrzIvAAf25bZQqI3FIlmkKFI3
CEqisK+ZQAJ4+vkg22PJM3a357ov2hEdNmtFJf7lnO9wjRLPYMzpaVwcEhxQntyvNJwPLGjrJ98h
FSOZaTyrVpE41TYcvo4oii95QjULtCMjWFazevdeZHOpvRC0vZCqi6H7alrKzyLU0wlfSotJeGfr
VfDeL1Z3YnmoXsk/IU92NsarIcfugHh5u2hwYTfJ0KQH1E0kwMoutW/SYMx3nhr7R5R3cINiFCoP
DN7Nj81YZVfmy5VxENhU7iFgt/hWUGtBO/NS8amZUfFtbFJM0YjMeRnF7lC8pV3QGbi1p/FW+iR3
bRJDraINax0hFbNM77RJagxfRhJoWcfL8Rvne3ANGJHtOlBRn1wNV0eYBDrNMWfzLp+t/NjDbIg6
5RAbzAjkCNckfiEF1eAfXHSc8/zIWYQil0W1TmG7EPpCWAdSExoI72wkTpBsECCkMA6FQUrMpJh4
s5McbiRG4e9f20HzESjrPbqlweJNjoYXidT9klu62irfbsOim6znzJBYpVrPu8ecbPCs1RezEwEX
olNYd0wwzlTpHDlOeU7Qe31hZnwMPHI4CdiByGRUbEl1qvy2tfPL7JDOZjdayx8g4Lyr+aETYJv5
6uIM6B1NczC3uEUI9Wb9vcl8XfsEfa576E1rurGdzi5DEET1K/y08ctoleKGkDpv25P4ul/rks+l
VjRfuEodCC2zx1rdzmk7I+wzKVrUkRE+t9P+xvI7VBtAjeFUGYLw92iYNWjTisGLtZt7bXUNLYP+
7OZS1lHndsVnW3pJEc0MMiaG/zRDpB+x8t/IUuID8VNPvSF7JYy5LbIR7d6o969k3BV4LXq+LsJT
7Hy803S7uM46HJkpdvZ5jts9suzeW8IaWe2tyJQLjp/C6y4uavtIidV8QuQldxId3LYB9MOoDNht
w48lrz9Z6Al4zGz8auIRiSCNYkLy0r66hblsnAXHGb8igRgiYd6DggvJGZnISCy4QDyzeAME9ipA
PWwZf6AiU3nQntDvaIiqlK/ZG4vY8DQcyljVkdZ01ZVgNnlp1nR52yVnfvoeOb+mp7LoX5PoByGu
SaC4WYPRv4WbmG5Zc5jmOTPZcW0Zs6JrR+9Bf+lUNhECa+Y9e3bvC2677jOL+nZEBKkFJ88WJDVZ
lkOCHXneQTQbiyRQnc3M0c8Z+GwCpM4EaTOyRBpUDsSeaYuHkinPxzP7dyw1inMkD3vYBg7Uk7z/
aOberLECtyt7P3DTf+BXuwCt4RqIo6Ap3dOY99wJCOcELI4wGa7DpOKUiAzPpv4CLeM/TpNhb5vO
I5jOzmf3xu8LDto0WONrGoDjt306F1PI0V5d1pXMc28G3RWlrvepi/1837gJwS8oykjnNYBz+PDt
6n0neqJUtKRipJgaC7eMjgHGPmN/dG/Sp1UnvyX3Khk8Iuxq3c7CUk/0I4o/LHD1OsIhnAntwfTr
aMf9ddDzn7bu34kK9SFM/l1Xt30v39Rb/9PS5te/+a2p8xyiQgPbYnXqrf5Jl+blt70N/4o4CUDa
v7L614bvj66O1QybDlYQDuzvldT+e1fn/2KD6XOwizMJWv3H/2RtA+T4T2sbKLwu1QVrG3LsAzbL
P69tinxMcwOCz2FmQPAic1m3KGQsNVB6V004eX0ld20335eNyY15jVPTdS/gGtfbXU7JnW8WazFe
YsJ+UMLW5CBlga7eJ+muOpk0D0mwZyKfyPuadQFcHWI7Ndhl1pC1UJMCsZ8tHXPzFGBH4EPMDmwQ
nMccCv+ZCf5yKXNHgtilVD14nYgR4SAoPDGAL7ZDg3geIgmuvxRxNo1rfzN1PYvhCsMmEWr5XvHi
qJHhFx69hZtho/XyWgcJ6Toi+5R7nfaSlZX2RAIU4cUogvcDCaAM8FuL+k205BwJpsmTeCCt/Kuj
FbxJFJgbmH4PtjkXO7rNdDs7FhwDiAx7dq3fGKJlHC0BYtxaX3CItkzqEb22O+Je5DUdzQcXqvIm
8+QtNE9rM5jmQ2b4T/E43CKhqzfpVD+qbjHOk8LgV5I3vjHRyPOP6tzM1dn225e4QiO2GHI6FXPy
KXDxWDAn3JSW9VDMxafOYYDrNQ3RhNryWsCu2rbERW4Lvx2o+0m34qQLuQSfaG2i2MNSA6lhfQlY
vh0eGn8S27nFY6JeaITKk3/9mIigfCZMwX42JgvfXF0CbkxiC0GoTx8lJTmwOrLtpb3H+bwgD9JO
kr3AW2Mb/VMbyBExHeJwIipLQqZN1OHKORC+6W+oFLs7pE39i134T64g0q2Z+mxviBnnYYyYdWF4
cgg618dl5X8o6dKB01jqA8rs5GQDyvRCLxHVA7uh4Yumg28ikku3HiResEuVdSmuKTMlY6pJuyUq
0/rR0gz8a33dpyQSWlfCXoMdFE8QUhYRMzG/nE3O/Jc8eoamYzV1wb7vrJaI6dbAe5hxN84ZHMCQ
G/GgmMY03CSgtaBYkqL5wQPgdGNXrv7J5o1vxYwVigB1FlAOn2WzM/weB7A1zfqNmjsHkH+uOxua
Ejl/w8e7aHu/x2n0bQ48dVuaPRK2pLaLqPQyi3CrMkFMkBuP/zno/52D3nECTua/Ht+Fb8RqYHjI
QG4wycvkvMa2/PpXv6t2kOYYFgxf3SWLgCrnj6PeMO1fbBQ9XPT69+P+jxX9d9UONAikPGStmPA5
/jjrCW2xeEAyd7ineNBV/tFZz3P8CONYaSOGydABKA4SHtPmfvMjoYcRPO7OYZgutbLIY6C4IeDE
oskIC3qjB1dz5lM+jWs5qRdEezX2+KGwxRoIFtTdxx8+vf+D8vu/eDHfWStMNFHF6Uzw3PXV/sAL
suu5LYJ0GC9mVxuXpFhqUlW9BmvQNBI1uxmVPbx6Y6sxBql82YXgkdaF2iI8Gx2uV38NpCSYMUhT
JPJlaXxYHHaT+9l14ncD0uP0q5btLxNAvuco/cD8+E5rgZUL4gemlc489E+vOMPkBIpMXmCZJmgK
ILJ+GBnBWjvpzQ3BhPNk5IzEcNMsnsvEfi50a1+h6DUwlxFzRziZMMJMa+nhZcZZLatUx3XfEwcZ
JU2e3hcDHlWsEnTcSBufRdp939RNUSY095Ygx7Ha//338LNEcEXQoErkhs3WgGsD8PLPb4qiGCtE
W4oLkQXBc5MgIdvYhcml0dbDdK+YSD62sVG+/P3Trtfaj5+lZ6BjYZ3HUonRjmmtL+uHbx9BVmK3
BHNean8xLrAphwsoEGifcfr898+06k7+/EyBbiKDRLLK+PxP11lbwzbrcOleAD/YbwjQ+nIfS2rk
DRO0SO/AJoaWPvtNiKVfVf/qolkvip+fngvFdEybhSHpR39+etA4GQJMvN+kQzqEXAzsgMv1NQBM
FRFWgmZt5vN0r8oOoUxXNN47XiRYt8FsnycXNxGLzRyfcA6r4wP+U9Papj4TuFYb262uYWBmhgZN
6+BY7jL8CwWp8b+/KEpUjg2UQkC52Qn+/EXp7uDUjhNrt8YQV28ZEvxkY2iFZBFpzeQInFSaFZ/B
Y0JtWDowgsiDieM1Ru+b9JaFqMw08RBz5+N71lveVyb0qXf6+68YutSfP2X43VxEqJkIGODXuVa5
P1xObu9nOiRJ6za3IY4F/lYG6bJfycoBhcswgL7r9Iexmp1hg3HRwwJX74XZt/vSbsl0YKB2bcmR
mjZeqZKPKq+a4yyQaLdO137AcU/EG2y8cKABzoCkW5gs4lzUF9VqAksG280kMQKiuBegOwxV0uqA
M7u8mnlyTxgxo4Ny8LqLjLsnaZJfvnVHkw8ym03OBntYSF1Xfn4uU8d/jXV8oCm6Lpbl0xiESk8R
G3LRZWTN9dgs1OwvWwZO2nbJpy+tgGow6Bp5fKqS3i4WhDWizjCfqHgUzGhPM4hMTIv4cwBKGzNk
3WmfhgoiR9sKzAagGY4G0/Cv2di6/O6tqnjMgnhC2IEK/USRMoQzn8N+3UTd4TyeItTv3c4wJmOM
SlZXWP8V2OFwNNM4qoTV468M7tIY5MQWJaY8cKsxVQg+1d340itf2KKmN2YftAzkpEPJnWvmDr7K
8ua7DZoMHVXUbiz8ZKchz3/DpKu+AVNqnRD0kY6WJDHHZDfJvOHHoVQ0J+Pg7/qGeGw0KdWh5j8F
N2f3DR80LI5NLvJcw2HFfMJrnGnZ2LKMQ4sRZIX1q4iSFUz2oCz6+0z0cHdyriS5s6SiQZksbzq7
WJHKGJxaJ6tqg/QL2/xXxkumubwKpU2rDSnoOcqbL+Zc5ZISbZDD0OoXWUjoRNjcumUPiEnGEG0y
tBy5WTaPOjksR4Z/1hAOfAeEeuPQx4qVQknY1nHM/VCWheoikksSPexL1CB3aaczBjkUs6foPYjl
lmdXSIsrSsWNIVQ4cC9EC5bm8R0jD8tNwo48cy44i+CVXV1mfYAMgpsX+E98zqEWB0aAsyCGBgm2
Ck1rmAZkCO1U6ZVVJGKqgp1TJxXhmYz8GFqZBXyQKu21EvHbnCD3yTQoi02S+d+0YUSawXzYZDFo
+4N/cWAJxKfa8qTnIEqaRLfMB4HKuMf2nqQeoEwxLt0u6EWd7ebSreaDLkTVsuTHShR6kzOXLKu6
jIGna5sftbZaDMp0t6i2/E/X7jBaM5YZZF1/zKsqqI5WH5BbXbC6uy6DtBixYsozblLSV70am76Z
yn3cj239yM3YQl0LLXI3tLyCqJEsIiLfYPsU+vncqtvKZ5TIIKxuexhPxnDqydkrt7Q+ybD1Vs0K
3ZygPqlJUVvesasELk5siUudwIC0OyLvtQ+I/+mPwSB1FqmnWbxdhrjAX6P6NoAornI7tMBALlia
8kW70ePS3hltDIvESwOvjZiyL80xzQwUOkVgpwSU8N9tjACFD5dPAh6PiS/2UZzP2qce588Mu5bf
kXkxFtKTso0/2pr1NJfKHC5uG8x0qDhkbp2h5paU4ILgDwLsuNYOvLtRv+KprtNTB/J62gnlLNkN
CRPyycZY8eZMMdZK3+DiBXULMSsS7pLx4pHJQRaziNZAIB5HGXjz11IpKoscSegjBhD1ue1TC4+1
SuKI5RnqOZY1PI5TNgDua9YYF1zsrCyFdIwnQ676OoX6iKRksOBTBEw5zw6IV0ygHHR95l2mecFz
rXfrxZnnndh7pUjF/TTb0g/1TvHdpKrmhTXQW4wb7mDBMzYdrm5WCUW/9dlvNkcpgti8z3v4PFfT
R9l0nOxcDbdykmvxmc7TvVNo7hQ1quKpm2ZBkzeZlVxAzHjrm19fuuJ84nWxAbnYTs27GDpYuJu0
aFDHB8XIT4cw+SJ7qKG/g18YqAoS/h1nqinr9K4z7BnXlNWmiMpS1U/DbaWlOBAzfegADkDitKJ5
7CBy8f/BY/COOECwW691sqzZ5aB2OsFczGisMaZyXcCxeFM1bmJc0fl8teSki5uEMje/aVpIgI8+
d4u9qHXj0gVJ92qzbaebt9PMPDU++dE3BDbhfpt7rwOT4M3WvjX5WFcIyPylKAvnfhoEBtGO2ULx
UblVIg6AF6pvAKLXMyTrStpsBgWrRmZOxa5FRPRR0+NqV6kWbQ39chfNvUqvLDvFDe72Nf3Z7E3I
taVjcztKzeC5z7UxiUqz5meyaLEVHO26Mbr3igN5PqGQ5rcBM4drJHewau8wb48RNxnV3Rj9YNLW
B6UcudOycKX07vJPxJoGT9pMmX5aAtkbXwFkzeuG0fBG+DsmD8V+aMUqKfiCx5avRYUa1i+CGMZR
3k6zhy15FN3G98TBrrBHHRa14tIgWwj2AiXd/m3tTvZZk1h/o7Srq/EmIUkgDX0Hod4TlYj4qkPC
Y/fkZYLk9VQoDKeKKGXuAnP3SES5kb0YDXKfcQPWp5g/tBIqCw8GSihKyXFITlrcqs9pojOtKD0k
TUdGccbDJLR42ffQOLIoWwYu0syUuXU/FeXiXCq3XZEf7ai7t6skaQrZRCmW8RBKgPv5dbayCTyk
or4QZcTcZ+q3YwnaZ7/4HVd/YU+ISed41kUYtwA2PmLCNJ5ylhExP4cseOZar8R9HdTkBA5mG8Cv
rlJQKdPwSkCBQhleFKP3wYEJwgoKSqINtKkkRqWLRQDbIOGKjtrM4tukcZinc4ZQsjl7fZta9/Bt
SvdIWkjA+5omLbkteq1V20oACthQjQ3ytixjXn8PEXxHJDHzOjXpRFB37NOAzbheRkhT6t1+r0r/
o4T6F0ooFIlrs//Xo5TL8D6+/dfpvRfv84/DlN/+8PfBufULbRsTc9tm1YNfms7kj8E5g5fVRLce
dN9Da38bnNuE2bq0lr6JOoHeajVO/TE4R85H28y/+e6FcP/JMAWM8M8tByHISO8c7gqEUREiu4q/
fmw5kA7XFXzu/gA3IrPCugcUOCfwrG4Anjg3k95jMEocEZ8aPYPSz6hcPqQ0bdW+AGxQhH0/liC0
CqLIMYVbcNYYXJstHK0kie3sIRiFjuoASlcS4MVfJo306YKIvK0BU+ppAmb44tbjW2nMYcJDPY0r
TYcfxvIAVPOpaVmAoQUt7A2rqZitp+GRQm7ly+2guCtt/Nw3rkQzkoLWSv0lKAyqc03LzGsNUOEk
kBRGTeVjRWr5Q+USBc6yYroQdCm2Bka1K3xtjXJfC77RSjU6zDhrUpCdlv6YjAzpN/ZUtG/WaMho
UbiyFlsgylg/KG51/rb30s98/1moaYK/VsbYH52ihwfHECKgH6+G41JQE3nYUHP2isQjwQ1q53W+
H3DvGPOlS8K69PUXjzvwrdvSLSEfwzlGsNBBKtEfR23g2Q1f4ZCHc78TmaSjyhqLRpAME2fDwg9b
hBLWckAciVDBbBPtFTWU84jgmFIfPopx7n0BgEI5Rvk8g8v1t2MyGC8MphhPwUjh0UqiCu/8ttS+
LakKwsnq4hOC1fSrVorp0pJptv/++jjX+yNXNvxO1Or90SwlXwaRZmPouV6tdno/sIQYGNA3PoKz
DMFFJPyZBPFlHNKNJzPzzJhmAPQ1yKJQZ3wGaXqI4fItB9qA1QrgeEW2txj4MaCOqRBrXAqnxW6O
Y28jJpH5OOwkqpGXVmNeSY05+zr7ayb2A2vVl8Bvi1PORpcq1czCQAgni6A2OI8NglpCF63yMW37
+aVDiHXGuhA85cvo71K0SC7RiJ11qp0huYk7O8XozSoFhytpNy1ftu/mBasG6WTh2PAmc1qVyFlM
Ue8dPbA3KKlY97gBcqcpb5fXBcXM3rdFgDjLtL4BHlOkU/UVAUiGtUyrwSbPWMPkuH4vjFZ4rGAo
QVTAW1dmaFuQIBAl9w2wLAmY+xpXwXxLCClhYoCWt4vU49vKrTLYAIny9wYBSDsoE9YzCRbFHiCI
1mxQAcPMm2RW+fsCdv0jw9EXR5bDuXL0j2x6gaFRjylC/waMkdFYlLcVPC0ZCqDw0K8XNsue2YYD
AsFTEuPX2mSD36NGK5t7yubqQWiEYiiAJ/dOZhunISFpgvCFJKpgHWP/cWVkBvZySu1u1ZiYCr9h
6VgfJrSfbNRn9i9x7/JDndjd2bQi9Gh1xkWl4mJXy3GKzEbCGiXWC9WcEhrURUvcDlaQ302+VdzU
mnLuYRSb0ZiOaIR1T9BpJ1WJNcfXAvtcBl1GBALV58tIXMstfVDyZe7znHl5c8RFA5agDQo8GRY3
9xwAJKAyoj5q4rd0721BM+Nvtbyf6kMCGPKxC3S0+2oEoTKko5WtYsjlA50eGUN5l15Gq+1Pi96C
BXAB6ZmdRwASqQqNXDFPuhbVgBcomEppb02CpyNrqB0ABBwUxgawDW58151vYOo2D+m0iI8B799i
NLJM+bGtmtU9vyQwuGJEbdjuh2VTgLGXoOWcVVvNrBzdudcYoUfbRw2KsdMlFGcJp7IvQrOv8psR
T8IcjijowEWabrax3FaEVJTTHoE4wbFz9dasgsGeUc+xiTvvwvpMeyoKpIbs/dJlFyjIxTxFKdtw
8Zf+vveL4kRP6aOc4zA3kfFXW+EOMR4WTpYO4NO3YKqKU9nwCzWNxdB//RW1LofWRMv23KsK3B24
Fn0zmmROIgriDtM3br3H0dYf27rE7CoTZV4NZ30i9qfTtjYFr4Q8guVW6QpyWqq0oL5wv58vol/T
Hel3ZARXarnt4e/f/Kdg+ndWTwZhlNQpf10w7d+bPvl58fTb3/xWK/n6L+sGn3xy3fzuDmU++lut
5Du/YFbC/gkLwHKZufOvflcZUFH9XhxhIXUIaiYmAjsFxqd/Uhv5q+j8x6E3wAF0DjyYvuaHglhY
h8o/jGMDaK9+TF7PwfKTV8VdcAO5pYmozl5IeXkkhOBAGGn34lfGy8xgAKwed+ZpPMmZBI5F68yj
par5KEqK+ppJ5zEYCuY/sw6sWetIyhkDENrx6G6blJtx4wsd5lDZfkLtoF81E0bjwh52a5HtF7b+
mkmn1VM0JN4VzYJ/r5aMRbisbmqVIVsF94LsqesioZnmdlZ2f9IhGHdjdUdQMCGH0pZA7qZjL7zl
gZrO2TaeIphrxvtoZgHRf8ilGMywNrE140EtlrOHffjRtek7TKXKvVeV6a3UM+Mmx4KHhqLO7g1X
9JFD7M29b3kRCK7nYQLJiA+FKaDrHCpvfGsYpmxACCnGxO30OUO6cFMoyFpWsBAOWHbu3hEKvBla
sr2ib0VjVU4RKoCvRAVaO9Js4m1WuDZGy+HNHGdaVzme8qCg7c7ot3IGQ/tF1iiyvGCjUq++Vp3Y
yXKmvdXu4lXzCAF4OrQWlKGJ4/AatGb5Ipnkf0RjsMMH9oAMoboW1DjnrETNvsl9D5ciAKfbHiGW
ikwf52xXd8XLsDTZA+Rm+2gRK4PKq6ZkbBOkmZ2lxY+mzbFiFzNwL62iuE4wcJ2ZHmeXHm/dCyE1
4iuk6eB5qqwC/F8zqK3beP4ZxD0zBlXYRzY6/oOnINXCzGFoU5r049Ly21cvyz2XPcpYPtcFKHCn
TIO9bpZMaeoFuTEnZ1PAn2v7s9fBqqXlNPjwAnMw0LND5BNmW6MbibkjLo1enxj8o5bo/BrxWcaU
llFcw6pHBxoEBM8ydiaIzk8ebmB3i9weQ6mZxc/f575QawjGqrLm0Sga42K5xAbbqPDOyTTln8gU
p7DEKQceICsWA36PNkVStwApOGN2ofBLoOokNoybDMLLgoDxwLAav4+D3n8L3ohdl25RrWaz/rkf
POuoMWPOw4QC8ZD0nOUsE6d7PkAtHCFCLZtAx1Q4Nk59mtb0U88kfG2rA1i6N7EaPTtDPBcHR5AI
uemgTV4RuvMaq0afrgWu3RvROC41FULoqPVJed8gTUm7qOyzmllVNVM+Ve1ryu9vn7kBH/c0DaxV
pky4jDdl+dwaNfDtDmwEk/JxbwxW+w64abqPiay7+/7KcmBt/g6TNA9fmqb3kKwS2MzpHTe0YJE/
QL72z7Ymq2/U4zZVaD08idyGf0mmLNKk9Y2zIJiv8+DID95U8R9S4JhHZ+QQ2fpWM0d6IMZ9ruyc
bCOuNORHPBu+xRECHrryG7BAQQQpo7lTLdtnKMj5EDpLVz7bgTI/qhoVaSQr23voncQ+NmAkrgZY
BoiryGpMdHz2gRxMTr3Brk9atax+zVi1u5L9zVfCdgFF64175xtUL11smFeEn/5VdYQtpFyRBaZ1
J/4UQNzdKKcCK0YSGw80+jyjNzOpL5N0TWHqxv2COv2xSxCuNIhbou/fVqUq/DDJzDBVFHEtQ9TT
ftjkfHKzZztnA7geyDx/FWgScYc6XM1J6JUI1VHvwqfw/Ve/t+fQBAcSiny5iJpqDY3YoAm60KTB
A9h8qpk9JhUpLoF/a8rhTlfJfTrqaMFkeqjy/pujgpsAiwpcMfRkpnedhLWzxnQv3eU56QXaVH3y
zy7Rhps2dqJCaPTHcxP6JjwuyX1s2JgWlHwjM9yr3eYfiDk1LmzWiIwxfDb0XovM12OlkVXzJZsC
itd8K+LmZNVefM9UebozJpNxVJPQVCrfTffkqlHuBqMdoU+oNl7b9YdxROYkQQikW43xYJ3QKnTm
e1ePzQ1ExvYmXwYR1WZlHC3T+dIb8lD7zgO3yTXie7DuVrPEq0a7JTQfilVTIdFnDwOeiWJzrsdI
q6wZWTERrxvmnaAhXRd8LuONEAXd8rUandDEArlxlnVuKqfHGuAlEJNib+WYsRx6nn2TucZu6oYY
XNZcnHEIfsB+YMI5wJ07zdWRWa91UBzCW90fWswURYxIbTi1CUQ/DSJtx+IRmmIDs7vQvVPPhb9H
5qqjV4pfdQO6q1YRvGXM36y5vbaZ771nJoI95rb6J8/Vmq1RFE/SEPnbPGsWkVsjI2urY/4+1ILY
wUCeWDnZHVG9C+eBNZaHJF8slPSoY8j43CLdeuwq8RV4ZRzptT9fprRXbUQcdibDWpo4nOoF7zii
5vrcGO6l5Mx/4LLqVw20cW8tsx2x3KibsBq0/FDUBU5LoY0bYZjtu3DMIloq8zhXDZiZtn0b0DVu
O7r7bW6ML3pMG6433O0Ds3P2mjt80W39Fcv0Xp87mPV0yhsE+CMachpIUGPabW87H2IobeEaiIhe
rE5e2BkJdN3WVhq6f1b+kEQUCf5XWujxCvzQ+FAg+KKGQAAKodadT0BhFQoSiAGI58f8Q+4NBV2c
Xb0LpHnvsu/LE4mrHptPEUP508Yd93S1w61zwl3ONoA+9uLFefPAvm/aEiREZUWmI0ro3r+0YwuY
Tp/LT4pNwcUlDzJE7DBveiACW/pquP6VzAYvTGsQf3FR+Zjgpzw5jyw+jJMwYwOhs1jcC4rmYecn
HaZX6SfP0p20O9cgRqCwzKnjS8RsG/eJRg+cD2dw0TZXTI3svOmcFm3JgqDcmYbm0jCrP9nsRaKY
7QgLwC5+psOUV1UsWR5B/Sb+QQa1diF91jlSKRR7Q2+6KJtY3aIbbOyIruVbXZnmHfkV8oPqM3VA
XtB9dHGtbErOQiB3QRoqDwauZreEaXrLsYA7RHTHqJ30hgOMCKbuAEdYhG0vc3w1pAtCkgR+2oGG
nu3ysydKfyP6WN0V9FS3fVz3O5JGYQmbyGEHnH9wBfrbqcl3tqbtEzNxw9JfXvO+x5KS12PJWq4j
htgojE2WCiJPbF2GzArt/dIst+SzzPu+YZVqQv5lBybG+2WlpxZjI7hzjT6pw1352OVCHWjVtVdL
BhcsKeJdeeQ5dO4sd0HrJjv0+mDgrRUnzIp5O/QLP3Hi1jejr+PFdBqwINOwaYNh3ggdsKLVTvtJ
TcmW+dcj6WHeZcpMnPc+avW5Nvbko4iwNGAojE3yDjpyb0lueWPXgE8lxw0j3DSdMlxHIY7rmATB
+JwlHcZExyGAz8+P8wLuLc79NJBbONuFEbnWciXBoaiMG2/Q3GyMcmByRrsvKpUnD5YLHpyfsFAJ
a3tF9iqAaFByz0nSgW0pAj2ZK8Ya5TwdJ+rf5exQqqCPSarCiWaRj9vJb3GZOQOZQOWG+zZIu8rN
8MoJmO3zl7RAS2tvXCtuzAN3w49TZT9o0MR3ZAQMIVoA9RgjXomMeRGXJHfAjED8uyU95aVbLBia
rXvNgkaj7ZboeYPa3JaY6e86r3U+CwAhYW7Wy2dDGPJWVZ62y4zxvU9mqE2OOd7642htkYbbJ3ui
+1kTCu8DVZpn5bndNaFUgcU5WFsyJj/hOo43XTXkb0omIAC13oaREMenSstAUuXYaYtOgGweGWDF
rZ9yq2xLpC92ttf94CnQ5LRxCvtmWWezZZl/hW8wonSugBxAsigb+0tammIbyyw4kf/r1hHjaYr+
ZO7lZ91W8qtXOPlZKSYspg9G1XIzB8Bl8KiPQ4BZgVpG2xajLI7LEsM9WSCBnG0Sjh/YIC0fS+QU
tyKtvtCAYnppzG7AnyEX52au42ab1emXbmVoSa2rvnrYazmzYilZKWfjrjdw01C+uJGJFeiKRg0M
jWVcLTjkd1a+JIIhGRktaPC7LWRifmmgn5/x/g43zLfq81KCDA+7WZZ3Rd1hu1xz8j7jfIPeGefZ
tGOzx60A3DOiAFpD7LSqDPyvPiTDlImgY2CJS/yPsvfa18Wq6s8LPlumTrFlaxz53rp511X9xAyM
2aOx+DdxI5ud4GBEQbAcM4J+NkCJM27QS3HJkkG9GhLxgtt5COOdOgUUSfJ3g7i74RJKKEqwTqc0
vlkgn3AA9OzIkYnXjHMBPmRymUl0AuMCsUBAZe07MX5LRVUdPEuyE+9UeyBx972Y2PeLOWZvaolz
0ePNapPev7qVPt4nqWyvVh4s+IE7qtvcJhQlaZBWx1a2zQMftUaafaDxi7dekDY7La/8Ywnbvf9V
YfafNdm/WJMZhm5h6/jrqc8OGWD29e3HDdlvf/PH1IeH0B1qCCQvK93vj6mP9wtaThdNM9I9khnX
5dnvUx8DIiCjosDiBegmO7L/mQIhUgY26LLRQj4EwDD4Z7DAPw+BmDaiejRIuoUUCFLp5yFQwqB4
8dtmOJjEjWBjBkMB1dVMg7M9EEuNCbivqVLJc98GKTPIHz6r+18Vlv9VD9U9cFgpUGL//OwoRhAV
+wafDzhE9NirYvCHEVTXcePHoyv3ajDHyJsrl/xws9xiDqwO/4+nAqKG78XmOP5zFiArtdEwKkfu
bQO/QmkaZJQLIFCIQbv/x7viowy+T/JchFs/v6vFYKE227Yk2Q4UysRGfNtL0qHk5A3Hv39Xf5rh
ff8ALd6T/d/sndeS3EiWbb8IY1AO8YpAyBSRiqleYEwmExpwwKG//i6w+poVkxzSZp7noc2626oS
AeU4fs7ea+sY7SxaNz8fChE2LTfBBfTTCDX2bCJW6Z0PEEFhXEXZxq2xvDRRlG/Q1dZ/YTrwDP67
gfifg5McuT7FKM8+nSeNA5IrZNdBRbWdgIjnZFtBn/+fxW9yFAHUwnSJWXLgsbqfjqJiz1IMTft9
S3g5McBmBcheTI27ViQlOs4/X9FPE+Mfh6P/qjPnJtTTWWfT/34kRQN1PzHAz8UzXs8kb7+7lvnh
MQvBzFFeOPQ2/qLe/fUyCtM0fRNEhgEY47O5K0ryDNsrO2SMJQLLll9ws/x6++fzWi/TvyTOP87L
RPqJJ51OM+GpP58XznssqE3e7y1aT4GlaZcxotjZMMnq00vxl3P63VX899E+3TQMFgS1iaLfewOl
U8TGJR5KhLordKL2fWZDef725xM0V4345zP08GgIC4E/D+SnpWxOCF0cR147I3Hss13bxWNM8NuR
NA3vQDgkTrTmzh1msHEF7Sun072TFNahp9FG6pk/bPvJHHGwuvLbNFkaaCbbp+fTNfcLc2DSU+KN
kTfLXxamz8yW9c5A/XUBt9DWN3954jwVOwz9eI3SEWwcrekRWts0CRoOGkEwKR5xuuP1GIJxA8hU
TPYrhtjphqwCee1iGNnEMvbPSLbiv7wL4jePJp5IA802LRH+8+llyPwCQS2ZF1SqCdVuIkLcDcT2
eMw5VROrL1NqETA1Osxd62KhKVll7SXKVMqecsJHNhBHgztlbUZWemAhkwSz4elBZcbzRdyb7bXp
LBoCAhpvDQj/EMw2hSCBco89GslHel7RxkduuWltzd2xSWJKbLXeFgDhqctBTBAR0W+6SPjBVIiL
xM6/oFVS17k9Wzj9l3zX4mEMR6071767HBpgKAHbRaJOoiK61An+eNIQgeyzKtfW/PmPfLbuOo8g
GB9H+aFzku7MX652f35af31BPCEoDHjr4WC77qeHlZwVAVxlvekqudbyPsFVoR+NdHroFxgmfU8i
5//iiAjwYPAIQhH8T0f02wky75J3+zaKjgZk6YLBsF/Zl8DEIFT6zvOfj/frt93Dl8igClHyqvb9
JL1RtGIr7k1Hc4oQLXOwx2MMZGTrme0c/vlQvz6mwFHBCulYC9goO58e07hnwjHi3dn7MN8vaq0x
jvXYu3+5gL89iu14lClIa7mGP6+gBIdrZTdyATWn1Vvs3752QM7r3fz5ZIxf1zHOxsPuu0JUXb5+
Px8nRxpsoPpF0T6BJkYpnu2cqaRRqqoaCZxyKSl48HXXQvbvPaG83Nd2nv5tWVrdGD8vpytGCtf/
mtFuGPan+9c0NYmAg0sk7VS42xHZ+w7tc7djr5l6G8te7KMBkXHb6vX3oh7du7zLxn0s9OGqXBbr
hMY++ssdMH/7m1CM4YImFEF8rjhiGjeETFhqT3xDddRbsfV1AFKgcprrSMl+k7i9fCkQ/24KyPvn
fmXhA6clzNyraiTgxfcCHMh17k3hsoyvPY6GDd0seT9XkHxkl4qDiJPxVM0EHOrd34qL35+Abxgo
1TCNI4v7+d4SBeojAhm5qMl8F7Nb3SHzir8wwuej37hZGCl0AohJOr5YbXlCSv7VS90H1Tr+sZdR
tCG5ZtiiOPZva/iBD569fF9EVJ0sejc7FLpzOOaZxreiK3ZI8eVfPgmfM+35WvFY/OsMPj2dYwc1
K65nDOFaFp8iyE+nTkwVXSM97NKWRb7HIp5l+pEpzQAQhMSbP78g1m+fAt9DJMjLaCCs+fkiejNr
CR4htSbCdWRdFZ54o6y6cW1VoWHS3+timJ5c00i+4VbrYNFustrEVE0oRzDEamfqijmPY7vQTYyR
+YHZy03CAfeY0Qmky2LjO301g6XSvWf/vxV6hkdF85/AObQHYxAMslGZHeijfnUH/d6ZOVBM8OFG
YkURf7nmv5ZunsNuEKIAQZGQmz9dckHKOeRdFoQmK56qiJjKrAi1hci6ehHWX+rE3yzbgOsFO0+k
TtSKn3YUimToqmXR2cu4+vCx+vHVxqNu47L4y5HWv/RpgeFIq1HTthEVfC7sSffpCdoRPElt/EBS
XvyUFeuUrZzZTQgEfKh7wLidIofA4D8/Qr/5+jq6jdDUwmKrU3j//AR1cdqQ86erPZKGF3yGN5Pb
3JEe+1G43RtbXif88/F+1J6/nCuiRjSRbLiBQvx8QNSnakpTHlm24dVdb1H3zBG9QxhQG4sgXPT1
D3VaMBKYJcWNjaBzUHEb0gn/y6n/9mESjs2XxcLU+/mznPZIApKB93f06i7UJZxKG4MU8Lc63ogk
+/jzmf/mo+noVI7Yotl7s8n/+cQBnuZx2U/c5Lmd9jjyI7DIXvKXPeJvr69BJ4MnicsLev3nw2QK
Cp5hS7Vnj9xuvAHF4VAReQJkWDsiG+XtxM8RanMD0SCKAXMNRoGrSrtYFudva+Svm3IPeTPVMgZu
SJCf39eRqTUTwJwfMxBOjrMSQXu7XM0DA9q4JDlQqrLaJyswrM57/S+v1Wcz6LpCsy46XGzqdozu
n561jiBP06rAj8+GnbxJF8pBQCpZd1apIfAlorl0NrB5GO5rs486YHCaQoR6Jum9l1Bt8s2ozePV
kFjkLJpd1xsbst/V+5+fjN8sNJ7vOA5rDC5jsCs/37JE89JZVE6zd6YIxp2NAcRWjb+llk//ckl+
cygsFLaLXoE2HFfn50OlmaGYELvNvlui8sO2ZvcW+hrSZ83R/xenRQ0qCN9YW2q/rGqykksnPbvZ
oyJpb8F+Ort6dqOLrO2+/vkC/mYR40i0RSgR8fx+7lSYYD6zuudIKWgWJgOVvC/jxtzydcOoyrQk
sGuy3f980N9eSvbX4KOQjYEH+PlSxrFOjHciGLmZxrCBQTkGaVaaYaub6i+HInGHP/Zp1aTSIKdg
JaparFg/H8wjfrIH58wjYrd6s3PmGb1XmtjjEjKRrIqN0yI2d6jJi02D+krbsXPsp+0yuVZ5W3qC
lysFVecfIzUXj6YcMDcRl+mRJ1+QpwrWuUm+1iPz4dzyhNrFycrpVtUKVK44JRSfTo3F0x9Qq+5G
XPLzhdDQI6UYrJYtfm7Us3GeGA9ObzItKGBrm7vMKCdna8G/NJ/hMabldyejWRIHpMY6CShEgtXX
1LE2+aKK2piPBUmBBKqnRmlvNV0ap3LBI7NXfT6oa1FWvXdld/0c3ULyKqod/1sbsWPBmp+C3vbz
Kqywq8VXQJLhrfXg87JdL5hFDgRCR6cWYfnBaHPYDXPcmkS5JuljqRwLHUGP6fvoxmMsN15fI6ya
83RGziwxzl5mA9tJrAW+RBun1IhsGNvUDDN1wIR6UWq4d+g7lNIMZSnW4grVifnVxes0E2TQTcxx
7Lq9lwLf3x67WDbfjJE73JP/3GLE0BrfvdOxL5A/DH+1P1LETrvGm/x0Z5O4hk4P2cOyUSrz99XK
fdsW0dr+0zUT5HqjhPeFDDHGSUVZrzP6ZIAFIyWiPK+/pc+761f9W7Qq4QqN4WpXoXmOymw6aOvw
zGr8c4+EjkHTblo1ddAeg8FO8G2uejvTzscwXzV4cT+crFWVZ0r1FWW8zdgSxV6/avfwYb7bljZu
h1XXp1aFn7Nq/Xw7dfb2qv+jYl6IlkcTqFZ1oNsh6LN7tCxA1xFcoyEcVjUhAi90YcUjfJKts+oN
hV+2W7Lr05t8VSP2qy6RpITkCjd1QZoNJneFUm1adYwCQWO6KhsxPxKf49vg77O8p6gAuFPwlQjV
qookyuzYrDrJdCEyjlHXmUhZ5t5oKUkFMsNFz8Gmdi3WagwyIEfy8mK0EqKk0WMiiL/D4ThtjdFL
dsvSLpt51W/CbUfJuWo6ySKXr9Wq86xWxefcNUjqEGl+OKseFEmjDL1VIwrxiOHkqht1kWMcocOa
R7WqSmlSnCD07IjAMna5mJ/LVYFapdGBsJ/7tJ+f8bOShaGjcmz76Ln8MeuKUUIch96tdsM6CsOr
8JCvwzG1jskQJnlbfR2dFesQDTA6KZLrYI3Z53DTrMM2MnD5LjJ/I3vYDYp1JDczm1PrkM5bx3Xp
OrirSm/4sBXDvPmfwV7+z5iv/8/Uj0pzHQLW60Aw/zEbNHl4nkoTQWDo/pgjmutIMVuHi8Cm8utm
HTgChsfmkxtHeLoz5mXGks46oOS/gPjkhdhGwhQzDo4ZKLB6IeHYVeQOm5E95uGCqedFM6ydnsVY
xzXMnnLvamb9bXKXXB6snECJsPRaEnzn2kCDqWlOlwW565G+CLVWaCfaszrCn7phLtlypUgnqIpw
AZn5kNDVvzGLzHwgaSNPj2MGYllgkr824JWiwBggXpIIPJ2SVOlvjh5RT9LfXSm8enEh+ch+65QX
O9sC29UmG0VqAQxTzr095Ajkae6jyqswdjARH/RwwSHxhTlT+dHCEq1IV1bGK67llohPKc7M8OWa
JzmGuIbnfUfF8uDNdvYyANfjYURTSyZjc0ITW2zSCUQjyA/1RBduJX8pdPyoiHkSEstvnhNgCN8a
aee7fNKaZ8Sk6SFro644Wshpdkgy1ZOocVUDIxgRsEai7MJ+UbwcoBRBAwOLDGMHdiHJBdaxb0Qe
urSQt+xK/XaXs28qD4Rp88/j4hkem2hc/eoIi7zAj8co3dS63fibktEgWv8EqwFaoPEU+1lyr5cJ
OEO37SEucDm1R1zOnKK74nguYnPhpzr58DiYUz9exVEUA37FuMHQe7mqEYZc2glJX7hg070Ne/l+
6EyxBFQizcmRSXLGPCpfad0hdkBxcoZ42DjbCuPQbumnfDfWE7GQLiHx56KQg7uRIhFnXqKGl4q7
SxO+OeWlb5/dJJFv7RC3hAW3xoNKud6wpWcSjSEJewkXFTXETOCo2dxK0co3se4wN5WzgLjNmyzd
c2XTg5hK/qwGzcZo7eYkDVS2y6DkWzfL9nlIuK6L6zbfaiNGUbn0BMEGOHSjE7Hv8773OyTHmErO
9tJo2NtqPz5PqcCqi8e5nN8x/NuYbwBcWNhrrJG0jEuDz7IMR598cA2oMKlhVZJVrFA9RrymRmgr
jVmcU1FHX6STxNeO6OtXJyaFoCNgNwnIgI6MVbWj3kVvmdu484DetnoUxtAVLtqSk0dfOH3xtIx1
MY7SgyX5t7HFxOceSNoSJJ6gAq8AE55tqymAy652/c6niYMgfIxOZCHwD0SDj04zHgvkOYus+2Dh
PaeNVaknktnmD/IZ1bsb22ITRXNxNNpufcr7RCIjggJwn5bJ8GjXHdqxseZHFkLP77yuxfiXJc69
5iOMDWQ1JufZIaosUHbVPhfNMt14juofdTnld+l6u8028i5FZkR3jT1woBy3nu/ieFjda8nZVlw1
L0vmGz3W5g8dHflem1YjI0376A4eANJvUkwuMYjxF+slv6Nkn774OhOZZYR7cFpaWuJoLZP5w5W0
+RCoJxFAVWGoNqgcbaw2iBjRgdjZUiIr1pzozk7YcgWyV818RDOG6S7peZLwKGCYoYHEk8aalZyL
PMMoVBpLfQOglSYu1HXuta68ZDg6Vu1V2Oi6jxoGIjo/vSSIuBybD63OjEc7xq88jMr47gwZpiNe
veaW1WIBGpzhPHLMavWLZqL/jl96EdwzVJealFwWhy+52utjbrQBnEnjYTEL7c7vdFYz1xm+T9Jr
brsIEm/fmPK6G2b5QrZ7c2ug3jtHTpPuOx8ddqo8OCQqWf3WHu93pcXdUwMiUL9tNU+xxtd5KY71
XHPxsCtcsSeOdrLHiRegJXDpm3a4IJvI8l4X5XXk4sl4PxTFcLCdklvDZ/PSau28D8iwS28cW8kd
cCb1pZUDCIQl+ejimv9LSSnDaJDWGzBjAlMlQAdpA6pA/wOvcLCcvcH1Cpho2iE8bt7DH4Juo0Qp
ThGCz9POokc4+fam0Op7IqyvyCJLmUXqKXuZtg1HeDPXDf0f4l6xQpSy5bC5g0IZYEOC1X2PRI3x
up5qV5OjyXM1i+jeiUwQxxNqIBbdEnl7xbCxMYR+FGl3Gua5CFPezSs9HltA+C4+v6SaA0p9SkCf
8R8t1K++gAWSuxWa+Xqw3gn+PjWpbrCkgS5bLNVsK8eQG+RbF/gA7CfqbSKA9al+88d1zlR3u4TO
8rGJapdpWUJBOmT1/ORNY3ynV9Cl3UkeHOKbQn/UsO6nTX0gT/sr/b/yJS/hOfLN4SKZmh2z0LPD
2bgz2SmbLM/VMdd08oIiDa5aacudAkxxQaAZIdHYdG6AiRPCnmXqvm80h6XOj+96xUF6Ebk3PfyC
gMb0THZ5ZH+FSeI8YkctDmnqPk6ZXu5plybUgZRyJBfDTqzTMblKPRo3tWEeI0idb4kejbuBOK19
h7Et9MCRh+PAywj+uQtQhvro0iDvUlzYT5ktSD+e6h2vEwtwjYA6iB207ivj/WMgbOxpkrZx7Zf+
gmqhtB9kMmWbiRp2R4CDuChJYng0hOvezmikdmIAdrdzqQsD0mdAsk2T/L4wajI3Mu7S6ybjMSDv
J8aqSIINy5qcE7JiMrWZJGldDBACf0Hj37sOBb0dZ1+zecpP8VgdurwpkCTaGvzObLpddPOpg5iz
41XcQTbIKNSEoCBz++vSFtEXmBGUGTYyX5bADBRpl955eoteq7S8CzXD7oz0ZJsIJOO51YpzCSG/
3mAQNBhaFMtxnuvhyhEanx1cyjkvnFMh9Z4ySDlWUgdgZlb0SFuxLS00IngCZmjDFfHQ2XNp2tiK
DBrwtNZqvliLpKXRp9p040dWcznTzGZX5w5pHuBaz0/+mOp36PtObeZOh4jUgsFT+VXBXb5Q1QqF
ttH5zwx4gmpU3SV93zlwVHYwJs1/9pmZss/52tbVyhQi2qeRDs5gt0q8YBg64xmKS3usTffNWJzv
UVs3r1SsxWtBRDeLltK+uAXAI2tAaN0BIb+dHSqWgihvht5+BwR7wkNEOTQdAMcM6Umz6tEOB1dX
7sHNDcg0kKLrszbGK8Jndusz7RvMk6aXYT7oi4JFqDZE9lqWWXVrNl5566T0kYOUzLN9liCSLJSp
v1UqS94JHl/kxtT4gw0qgJNo8WDMNgDX55aKh/uWssmBgFHwldAc61hIjy+KP8kXvpb0zpbCAB4S
05DEMZqaD9TH7Ezz1dAS55N6L3NggqpXNBEUaP2P3K7oKqili151lRlv+Q/0Rm0Dq1HNFL2SSMQm
3I5SfBZyidS7JqRWBuYy+FBVc1HdFw0Ro4FKcKnsXGj19c5GkJqE/ZTweCRmT4EDcb6+T6DfQ9aK
6+hVGIJ/x5eYYUMXP5kIbYISZFBZ0PPDQfErQbAglworVFoQ2c2Jg2apXamLdBEd+0a9wvy7GeWI
zYnilb+8aOTrHW2EsETn2f6s7Um5pgTomJDCh5xK/zJLdLsKnRb6wqaIHO6StvCp2xRTH70O7YA8
Oe4JRg/gJpUfZg8/PegbCwjjaFv+6z8XUwxa3AcW48mUSCwdZZprLKRxsZ+o90TqxBurAftGnMja
FAALVt0L9GPVvkgz2j0oC1I2mPmUHyQZOD4ODzEZOwTCqFrbrr4XI4oKbiHz1s0YNZxf7gr6Ia3U
8+xCoWIY9iXZrsmVPxAOMDj0RoPeBI535WhG8pDPg7mvemBWJVDD2xwTR7SR0tMf4LKo+TDRho/O
ds9JH8xB5zdSlfOr0yri5jkE5kJkH2tRAF1LeXfp/SdzSF+GqziQwd2xSGClS9m9pAE/1r+c1aC+
p3DSir3foyml8AVWC9UoNSeA47w/wcjtXA4V/b8TsnANLXbdUdGJBO/NUXdamigtsxXyMBosWbzq
NhtuPsJ8v3Bj6BiXKq9f8XgL6Mwzlm88gWsJWbiV2RH/ZiZfjAyPN4Eg+omZdHsYy966LWNvwgOY
p48LBugvI9km/4zB/k+D+hcNqsWDSxv2v9egPnyfvqp/K1D/82/8R4HqW/8ldOid6DAQmjB3Zjjy
H98xarNVgmoy5gPWQW+Ozvj/V6CuwVRIMn8okpiV+bSf1T9x1ab4Lw9wGlMWHd3myiP/nxiRDfvH
QORffV5WbsHC6rv4RpkVcayf+7x6p2l4FYhrGxuzfRo0BrOEL33zJrO4hqLUbBONwJQJN9CdO3pX
SsnhmSK8uZe1dt/orTr1MzV/47nLFS1jlFuR5UTE2ABrJStT+9q7LnkErELNwfYIvYHfbMbAjlwx
W7e2jemAkKeqMNzjgknGvAbhoNc0Z2F3QYvMlxqMVt5JeeXJVndRPNH2mCZcDgMOwgB5ZUbizxLr
FOBybNvmS+FVTMVZfMrCOCX+5AANNSO/27qsi2qX8BpJmNtYNsGt0ZDGMjGRuOtv0zJbjJNbz+aj
DbCPtM+lNmqx6exoArliurM49mkt8Bvkc+pmD+RaUs8GhpsPTZhgHvmaVZH3HjsZvCeAHYDHtoBV
9cHZsEFIddADbSbDjp+g9vlUmxeebi0YQxwaCxGUeYIHO5de+KAT1LBd6mz2QjTvh5LC/2Wq0q4M
isrqDnhdPRpxnnihiWQHqM8S+mTpfUzDgJvVZ1cNDsBDZo6PWZ1ae1jxhOWUfnzIxxjhfFPGyVOK
Rj7GeJoeXW+6op8O+a/vn1RcItgv1I1V8m0jF89Hyx8737opWvt+48uS4QQyaZ7kk3WMp/wRJSzd
It/ITgxM3uIUPqUV5f394vUKM5pGXcsl1SwkNMKVINTcxN1hUdyjmLwblvTRKcyPuki7i0XVBIjm
8TVZpC4rYvdSl+pEEEV1yLsUa3tqkT5SYlOZpXMhpQ6IpFlukhjWSW7mj2zuV0+PVm/zcvjupJUD
uGSJbka/drDzTKD7aDAEihlAPvf53h5sA4w/ubJQOMJhGNZglqjY2OOQXGLObq+8bjS39D/1o1tj
kq8mNpe9FpPWpBrvLUU6Db9YpG9e0kynqZ3nrWyEdhcjQganE3+PsNCchdbdYxXElMgXba/Lkq5D
KtMDWQAORSPJ6eg1iOYECbPrPEHnzLGTXdua/i4uhc1oWPP3gzN+r0VeHrsEbH7E2hHkfMapcqf0
rbZQGA8CClgc01sk8kaBoiA+TVXdjPWWzQjiIOBkRCwGnjk9GAJNYFvkj1oR4UqpxqBkTheITnsS
zBcCC2fQKWmEv9GknX6sHKfXfnE3mYHPH3t9HiAMphcPFDS/5GPdXzhOxxvft/DYEChpH8RxQWYa
UFsJmmkeY7I2G3BmzOWkHcxc7+/IJRrd+8LO5Q1ihbJib9ym15L5KplTKfYycqrVxij67EE5xFJ2
urHE+xQ9yalCOFrCYaPpE/Jg5UsQjd23vmisjR4Nw03Gdh/HD48FUrjCCIjgmt/pN+r6Nnbt+dR3
aXUwu3Ee/T30UZxB4E34CDf82pz4qbH7MJpmRDoLHAUJWN8nH3OmoO94o792svVGjtfIddSLIg52
MFcO4LKj66hfJJVf7onuQdbSaCb2+Zozy8ejO2fO3k2QrWQT3J2aLs1WUJEHllziQJeNtcW8w3CB
XhV19fJMlor/6KZyIuFB+8or9UTvEf0mOx/Sz7oTfiD7mnIgD9sCSCGu6vdIeW2YmpIZU5uRGkZk
W3qF6I/ZTNkvVrgYpXHTlNGXpjBzWqGEI15Ku6hPhg/L1bWGy4HUiTvKQO0e7aj71SxFGsa5j2+x
9MFv9WzZaxA6prmN6mqCRDrrV0404+eOOhXGaGlxnCb1lr9T7WpNx7e3vrW5HTm3IJzAZlIIbjVQ
h/Anh5sisWHuzeowGnoCja6jtdesaQdz5FS35KK9VH0tDvZQ+t9aU926JHeOgcqtAXRG9+zMWQnz
EdSNaQ1HuzC8MO9RgAWdIbuPqLYJf9U67QJZQLLzsMWveRP+VtYTYwaa9ruIKjEAHnWdArY5LxoK
ujkFU1zNvYvzaiI5R8HQHZApbTvmiPvEt6dApwG/IU+WDp/BrH/1/DCruPJ7Vq0F6jPmWHyrejdV
xy4nJdYZ4WiRgHXXe8TJ5V6dM78khptz8w/NNFHDN/6x1Yd1o0/uBRzn8tss62Gra1a36Q1NC2nA
NCHYZfakvmeqBz/N/JA4rTkk/MkPVdccfc3H16jJDxT6X8rUrbeLP/Y7XeHrJLh72Wj2ClespmSH
yHU6aXnzvrJsii7qL4wJ0c8yYm4tTLc6m7atX5oTNxZXbLYb004/LqgCDxrKUyxthJINVQWtKmaT
p4HbJi4dL6HJpuYsGud1WVYnMhJVMne7V7PO8wuBhg5AALlckUXIG5gy45JnQO1VSntlzPOP3in8
3SSX11iuCKfFZy3LaC1dAe2N8Ggy7ebDH7+V0hg3etG1N1FuRhtGj+p6tL2BjzshTo4ev7AX/ZB+
893u0mKHS2NixGc/lS1i3zJXzWPh8acWmCB0Lqfuo+1tc0Npn4f0S+nXka90w94gu4XUIldf+HI5
oLHcjW4OGDoC3TvwdrFKDU/eXPPB6Kz7NAXkNMS4R7PJY1130uLNxJG9Kc25PvZ26WCSdOdN5WvV
DihAeWka5rjt5gUTuzW/qSSaMTg7KON8fsOY5OQMQIR6VLq5MIZUNRcUsIEToLSk0zfmkp+PqzB7
4bXPuysCYbwHHHzrLEOf75nRHR3afRut8OPbXhXjjeii7IUgk3tBXwtgdnxtm7U6WL0XW5spyeQW
dAsXGk6L/YUcMxKyBPF5c+dt7SVy0GsqN+ZOD+McLg3u6NQZfOLravNdVFMlwpn7DILAqM8DkVQH
HTXAATSx9zrmSn/p9elbJqPuvOiWlm0JHRsOmeyssyidYWvA6qazrEu06yKBimAOPpFeQvBE6OVd
4/nibmQwpG9YNTVKDBMwubBV8aFaMiLWFzXmngI4hBjvts5eSkPwylROVx9a5S+wYDF3hXNs3aNN
ZaDT6Ze4UbJnBW3jrYppzY8JGaVZjdsAVvB74ShxXzmp+c2IM60Ez+cw+tbSfjrKkYzvIM2TrA8B
ck3f9MIrQqYD6n4Z2+YYsXii4tHYK1bODZ5RTI9u54YDn4PpYGhLxuPsDO57FLugpE3lnn2Ib09C
tjYk+VQQ3TYWW0Z2ciNruRQQS4BA1ySW3rWW3aabmUtxPeUmhlY9IlzB7WQfh0sLtCckXX4+V14K
sdhos13kjt0OGZC5lfyufdc62j4j2rFkkF2kT6xm+ROfuP65wJJ2n2dddNAzNz3qYqTijRrnBMlB
g2uB6IBoPWfE3WGm2XwxaEzo/CVpT74GqztIaLPDIS38k9m0wyYpJ/pLk70mJg0x0DJdtbcdnrMn
3Vv6dyHH4eCp2r8AGt+d7Thpv9SWaHPevzrrQhoMNPME+2qqq+XRb7sS86kQanwAJW9CMhR274eL
Ly2EdIWch22a8T5c+J4NaduLCufLSHSO8xznGi7+wZv4snqoNngR26kLALJN8dbObefasfLkBdqy
Qzq929/jp6AdopJKuyqqKX0hcanaMX4p7RB9SHHse9KCMnpfXmDbuYb5fXVJ69EU3ZIkXh3Apkyn
tvTvAZZUFGFN/1aVqKC1xEVR3i3xRVtRkhbV0HRBVw7lgwF2O7B019yPXplfZrVqdnPZJWEdI7KQ
2lIAqGyl2I1GNd4WtqBNL5BUrYbXfDtkBqS9inQD28yqQ+9O8Y0prWi+Iyazrc9TnExEzMWT3oCg
wehlUiyUMvFhnAR9b6KteKfcTAExMJ5uRvu+7pi1AZ7p59pzW3XI/KSEfpTNw3KBDQZnL420LRlD
VYvLNmEdnbyCHhjSlkOXOOJpTQztwwV1i3toc97FN9/xIvIYsii+THFjM0ef9Tbbml7MhNfsB4IV
NZeIh6Rr68uh0+ShV75xNzUdewGj0VadA9rCbtZOzdjKY8szGfadlV7KDFhiZPbuR9li19arlQ3Q
ptAK9ow2H1TuR+kLOnuap7TtrjreR2C9yyIQ9nvedzCS8cHpS0pwowOX06St+7hkCElSh9V566PM
3SlTLV91CmuyiGDnkzN8XbtS36N97E+L2XS3UqbyOWF4e4dnXZwWCTnLZEoQisSwJIFYUCjitVFZ
6xHVAfTv/UR2JZzTrL62MZyHqxcARstQbrtpAgdaGdkW3eZanDfzdjIR7vSFe9RkNYQ1G/c71LT+
rs1186uwJ/tQ5q0MopyVqailF7hpnezT2BrCthYMl9LS4faqZHwrfG3AiGmfrSnx3/WqPa8pmjT1
dTr5pjkfGoMBSd738SXSJXqb+GXHLc9Ns5P+JLbNDDW14qHU8R6mCbrOMiGwkM94NGn5q6Kmx2vm
lgctRWqLq4psg9GpYG0Xndpoujaj9LasXR0hUa98Vzt3gEnu5JgcGIEXV1PO8FHElUVUKfp8FAxJ
8l1Kx76KojRloW3iQ1TDW83VKqQi3HkuiDpdWojMbd4NfHTG+TbpdP96mAinzKrUOeTY8vFwod2m
dV2fmCrdeAgtAqUgEmx6hk/KrbKwqmnPUtg13nXOEHMzlXq+NYrIBnDmWy8x0CkmO4o2XZkm5Ysm
1UtjuXmAdGJv0+TUg1oO70yk1IHQDeYMJeNyg40nak+BgmUi3HMzAwMJMjd2ICwWXzGDJNAiasba
1fRME/MCgURILMt7lRXPABvW563X6y30/rwOJsvaOtgog4IUilOWKiJT1ARLOtZpptLI1TfA3BBZ
tSv/PLan5rJ2soqnBQMLsXAuaEY7vSziOL+h/6DrYW//P/bObDlu5Ny6T4QOZGKOOHEuaq5iFWeJ
om4QpCRiBhKJGU//L9Dt/0hsWx2+d4TD7Xa3WAOBROb+9l577Pxtr8z+umnZb6dmD/RlkX9Gv1HH
oMa7y4h4hkbjmz+GkiNaCiP1UOCNI+BVy7u0pfMuU1hO4rE9MSJMV3ROeyd0LSw/kzr6yq15ABvZ
SXpFfzdncbTDC/7KeY2t2FQmNH7PaXEsO9WDi6Mz4alvlwFxP1wsqOyf2Uo9JkZdrz3delcxU+w1
ojwbxyo+hsNcNwyeDb0p++5rIOrLAHZ/FafyM0A92Be9bcNTh8IykGF8ikdRrCwIxZvA9Ps1VBHn
ca6Q1505k1flFJ8To3xuFbjyqYkftCveiMey/6MXe1VGVCLElXwmrIphpS/t7zQOYxiPtLVhbvB5
ZP77plRhzLuoJK+3QvVg8z0q6LSzW9zDqgWuUFEqvsGviiZv4jZcjX2vESim4b4WTMlXuR+GyE7t
MOycxp6ADhTwk2DXOfuMfPg92W+HWKflVCDbeuZiK1/HrcGdUGxdM9MnSTE4HL+IpuMo3PCrUt4F
YjykMDydVF1kcFvlnCVi5co5L7e9n4tm25mxoqnN9Y/8D/5RVvpvMpL3dlqxePhJfAqQ6E+Tw8OV
4s5vYaa6ep9BV9+OLngkz6NCwMnHEzOHjFtd0PGZliBSlriIXLRAVUbrKSAjhjGZmKLTssvDHr3H
JWODX5MsCe6o++GAxfbg9fXXyJ9PIxf8Ok+Uecwi4xIGDXudnB7gtPYwrPQtDlEa8GiPyAmWIv/B
ToUwxFYfi9Mo1zCVzjrq74K0+W4WdG8AayPBNJZ3ta3wcBaTd6Q6DhiU0cZ7zi4IiFgcbtDSnxJh
N1fMV/CrQANaRznFfrGpQBZVtCLTHmhstNM1x7KNTJQLwDpm5nxXQxjcdRBGD/RWJOu4mr5mERQY
2U7WjjLyZJW21mvo9OJh8LEvueM06HXaVcMPBzfBA2ufXOFw0msP0OpJ14hRpkjX1KLal1z7BjoL
ZGYyYFl2CNwSm2oOX36m6Hsjk4FCci8S8JBSM85ONc9HgR9yh8NUvTQClpWDiaHYZMY8f6PNKhxh
NWbGS+UW+sYzc+OQ8sCjfM9jXOlnJEu9jCMSocOU2tqE9Bvj8S2cuOmVfRa3VqQoP0qFf0POMLzM
bUzDYOK+RVpMCtOr0ZxqZOi7ebTDtZN4OElUYg6f/NHpbqWM7flaj37FCMUrqj0q6FIW01r0Vc/U
CAhwQx41Jsm4UTLBwYSFUu0SJRkuEw28Fol2+rXDw+CQhP3jFDmf2CE4D+Rcql0E2+TAfTBtsSxD
vw38zwNN9CvqkuVDZEIuo18YllwTvhRMhaBqhz5QNEkNYc4h3bgaJJuaM6Rw5rxtH1+xh2jHXeTq
CstJ4nYnu2T9WRFqVuk+CodxEYmo3BzQwtjTFK4A0TmnbO+GSjmLrVl/1squr+rap6sgrjDPr+gn
CvaTSsP1xLrw7FZjYF0PiWM+9vwAqlLqbn7qcFuvuI1DRCME6qXucGouVqfgSHH11GtTDQAd6jI5
z7hENNAd2sTxZUfsmCZmy7RnEAXHocROiFXmuchcCDo6xr6YdWl7YAjGbMoYazatvu2Xq8jI+7Xt
W+OD06kW8cnMlLviGAb8URrBZ8A4lH4yA402eKyicYOmBjuQ1l9Ih9xo2xkkEpPAhoP3KHlEswUt
cEtY6m1ge71lRHAHsBhwXuOaJ5W57cZRHVnGBAfOGPXyKU3ZgW8cmwV71o5gYFvR1kQ3D95RZmjs
eHVU3eaz0T8ZdtKdrLhGlylmoHoai+xTBsH72iwG+MgKWD2H18a6w73s0TUecnzR9InikIvl65Qn
2QnHZP8gpYUYOsqOuxRSq45XheOXkj0j/aCJ02Bl8AabJxbgv7TBXxVE6TUKf8vzJNBWfpUKOTm7
1h0cftNFusVVE6WbMWtuAfLY4NknJbcWMtQjcfLolNoslWWO7SqnEuU5FA0btdlt6VVFYLqOgwAP
SZQm9VPnwloaFudvVNk8zLikNhx2kq0ZNeleGQMBb6TRK0071bEfzHarqLk4Q46EL5fh9zpXczV8
atMS6pE7JsUmNgYbM78dspy0EImyWl070+AfilhEW0qH1H5ogM/R6rmYXPXQXvy8sL6g3ho8xAb1
aLK/O2M5GHZdy+4fOdNDpTHi+wm+3doP6EQZmWUQlW+KS9cG34xeiC2LU3hwY6clGTQLprzcGlYq
421SM9WPhX9bju54JG3Yn1zDo4raDfON3XLq6NgxrtGb9Qk7VncxtJedyU28ghkX256ejV3qTy8R
tUJrfOScDPwUWVGEIDZrPX2mjSDceRqqtpL0khlc6Pu4Vw2UahDUWYONdV1lJQV4ATVisTWCIhLM
51unYi9rzrSX58AdOSrMB+wfOAk90XS3vlehA4sgzzclEKv8fnTiZDPFPGxSArm4UCASnQ0PdpfD
+AaNVbDTqOKdyHzgotV87WQz/78Z3jV0nt4MbYkO3Gefg0Z+sSIWa8cot4ltzUur2UtQauy+EQOP
YYjBkxm5uSk9o9pJkdmHAQsp9pp7ADMcFWzgFgH9wNgY5xsrTsDNp/WTaur01o26Q2jIAxurdt/P
dv/VGBmDSMv4AmfF3JkzO+SxNpK96nlQj373UgRpfTd09V1XyRz/VuXzaBfLQZAa2BvSwxMODhkf
69KUZ7s3voMP6C6VLDUuttGmhGSmu4dO6C/tAKEyKsZzrxTs4PzPDs3/jq3/ZmyN+uET6Pn3Y+tz
xzjwpST19H9VrX/+oX+yk/w/wKcygbOXflXMbwSA/pxcBzaN3UxsHIAfJGIZX//f5Nr6gwicNDnK
Y2lEg/lpcs0PDKD/MGqWgWlydf8nk+sFwvRzPkmQ47blAk/yHNJl1Ef+OrcmBDR07AooxKBM3t9Q
XifuTWQi2HHUZld16kOqUZ752hhe+Ohh2+QgVoYnQyeEEzQIUS/3xLkyIb6jFnAGIJVYrHw/Mx59
xfjMwzqYbCuTNgwRp3BQS6P7kWpJ5XQcQbLlxL9VBWFR+ufDC3byeOHDe5y1ayKPIjL1sG85Ahyq
unAfOrpCr3/6jd3+Y0b/M8BpiXv9MrkXJC6lzfje4jslevnrN8BsmM5UbpzjqMV46wIPhZvTBWww
2+Vz8b5//3of4md84+AyiFkh/BMcJMz36+tJA7NwlGXqOBgahEeUv0YcCddJyHfw+1f6kK5bXokI
J4EIcqvY4P8CceoIYTS4v44Yg+D3p1jhaMeg7dkKk4de5vaeJ0t4//sX/Rcfz8MQvqBgJJepufzz
n3hYzNGaoSgbtD03nlB5l7IZlHfPwePlkKn6z1+NPQsZUarlXe8jPCoK/CEpixQXtzk42aXUuP9H
V4uBUFTw+PvX+sgNWL7PwONu9T0L/pD4GLkesyiPi8xMjnU85lSLx7g6N3VdVBtfC3zwE8Usne7E
eWiy/jATxFb06VKV8fv38ddvGFqWT1zSJFPosaj8+g1zuPQm7Erpse6w6m3QqOmXID/xGLgKk9rv
X+yv15BjCuFIZrC4Dmz5AaGhazyTCN30WIh5vqt83WywunQ/VKyymOrSxElhUsCc/ZvX/Vcfkj5Y
4huuG3gk3X/9kFmU4tVzsXuVQ01BRM9vc7C6pVwnwc/y+8/44bXoceXnA4QwWVSB3H1ModqJQSVQ
HCTHRNTRho02KpQyNXQfyLaffv9aH9bb99dyhOSrJDRsE5399XOlResa2uAamqd5EJsq9IpTnlBd
tPn963wIcP/jdSw6pJd0Mper/PV1mAA2msNPcgxNyDKbcaB+e2VPbL7D3nIe4iThADPiIKSxVXNc
2pp4Wf5RTPZvi6w/XDvLe6C1ioVOuNgozI/XTj+JLKFunvcACGCDulDLVTRTnBZSVXmiAhpnpmtN
f7Oev3+FPy3oy8tSlMUHt3yLZ+jHID0mm76aQ+YuMU2PTzp1ixOOrelapWW815ZiB98aFTOyYaJQ
bh0OBDePqKrjd+Hmtf6mIPyf4JWHBwruilOYhPzXnBp3v/8N/av3uZjalmgwlETzIzQtcyyOu55h
HExC8K/T1Nka3Hce8CvK3cE9lCRuPIptDM8jUzdkF8TEieAPUNZjl1X2VdAG4XFMfOs6MNzG27l9
XKUUVQRev//9e/3rVesT0144WvBKCLx/WAUw3LcVg8/kWAQmCZEMoyQHraZpt79/nb/eiT4+vWVx
A1z3V3JHYpByC/HWwD6ikCZIFvcrSq1zlTe28/D71/q4nHOd+MT2wa9geA98YCy/3iKT36AHjinL
OYDkTeSH/QYVA68vt8qOqWi0VqjfV6IbvWejKKP9WMFe/Ls38c4y+PVy9S0GUibZcX7R7/7Fnx+Y
uVaG5M4gHtoNejp6746SNhgtdYQuMt9R12S+OjHBEugb7w7bmLRXQvbaX4FYda5gDYcndPHplrYS
2a04jpDlqfO2ox87K/AlxJTDxfBC7ufcCt/6scs/+1M+X+ZcjxjFau0+eDX5AUne/KrHP6GWQZy8
B2zsPrixMg+toCU6puKcpgaVGI8MmOY75FCLPjIAIDeFNtuXnCPjKz618NIYauIsNpbhG5kAR53K
oibJUvYqPMwNOuAu9Yh2IYvpZY9QZTaSSC3tlzgIxTcUWevTYL1rB6jaZDLG0H7L+9ambZGq7Zia
sjS+RBZ3tu2wtAjdJ69dzOJdASV7iyrDl+uyYNsIi9D0I3rYgggDB1C9/YDnqOGEh73d9zq5LVE+
n31kLv++EinXG3d/RJ6yCpAu0H6MO5+pMuDepvOeZ3DTyA9BdPGWP9s4FW9jcix7WydDMzApyo3H
oLKmC8+Z/HNdT8PN+9cbukO7lWVs3imrRkgEfJQjt4vItU6SoOQli4Ki29bzYh7A/8pq1YnpSjPi
9NY+4YWvZZVxRVKCwVQizwUFaoniu5scH3C2Ns34kT50+6kDgmzQ/WCWt1aGAWWT2vycASfCxW0V
59vaS1412eOSFi89RfuA0lSMWNAWH9LIsj75ZY9gaki+2wJU3SuVmnInGAe+pE4NOZybhjhBSDDp
zhmMETtZRh7K7OvxJpnsPt54tki+5i7t0+8NUWIybWLqy3VYDFV48rt0QLeOyZlsZsYH8UYU1byD
Xc615C3tetFAoo2WwqSZVi3CyR0DRejTc8E+p4sbBfSaD0BvajrQdtZwgW1NMKgvMb3Vh2r0uXrh
UI+3OozH6tDFnBhQe4xHN874wszIni7Icekp8/NtMBsAAbQ93hC3rXdt6olDNMzVlrJThzRupe+i
NmaE7+vyiuzy0vCQE8iWjXkRVjmfutp0D2Bxw8eo9baV3WUvtVtmF8y89NKEjndTzN4+Swhq0Os+
7s0ktZ59UlQrhbRgMiPDnEv2yDTGeY2TWa4F0dIdFcEwbDUetTXfqvwcJP1Ngkp5SkWwi+Pa2g1d
XJ0CbpJVbMC5BmmOnajgY+UZ+BhMLyBoQauu5NKx0Tr2s/Ya6xIVyQ0j+yXtQqIbkCTZNXzXO6dO
PrmhW4A1V/Iqx87PLMVZq7Yc9vB0YX/PEIzi2XQ3gWIonATxfRNPr4GSL4o2DuxhBSwg1y6XtIc8
Gqb/hVwDsXAkSsZ0o89TrVPya2HZpxlgLQ6d5Dp2E+gEtvvY9+FVRb3ylxYpaRsTKDnFecECbC97
JIw/125iWQycm/pOJHlDBwlSP9ybM1P2yQeyUKReE+AEqzFF/6hRVw+TqBAwiSmETMgjKz2Jyq4A
eRqRd+6cnDdU5TZwSoiz8ydGJtZuHPIQe1ovg6tWiPqGjZJNhavLepGh5RMgnKJPnTSHh6mCF8aQ
fqk6h0o+XTIPBSwsXG9nZ63/PS0SDTMe3S2uAzCIIbvoi47Me98ZBgzg+Futueu2y/PHWY0MOoEn
qrq4bVpvXnvcafnRNmy2AhIE3VpP7EUAvvEsLN1m7ZpewlKE2TSyQ54IXhR4B5Vy9Om4/phQTeWO
fI+970ijqrVWsrhpzPazl4PxFUPSX9v17CMk5pWfblo3s9MlplbQm9hQ4Zdmzq0J72jnel301KbR
cGV1KNJJOJzSoTNbXJVD8NVKxyYEKy4bQE+sk8cy0PHJwu0ZrST8ysPcF1yYKXsHjgi5cUdMytsW
k/5SVr5DlK7tn+ml8d9a2jsJaZVCPmKT9J7GYQ5ouXaoYJ86pgBh1bEfK8f6oJhiXI9G7d7pvJmo
VawURIbaO3CCDg7BiCzPwLnTP5T0/a3CZXGqW+vi0YJA3kwPGMwCcQYJU7KFKT3QWXlwl4c1cToM
xhaH/zS2kSkIgRsA8JEmseDwSw0eGK8AbIlDelRKo7e/jXhw7jy8FUc0fup8qlpufJdLgPmwwnQZ
OfvBM/Kd67f9dvATmyKOprqN2sZaFaFIj2FaywvfYLKxip4CsFDseyw5J3rwLi7ywZr2SHmLZwWa
H9yFcxBBoNdqdh5CpxYk7YZqnxP/2uVz47+gBpdrFpp63TcDJbF+C/J7lYXOosiWMicMR/ogasKI
5vLRuu5Mv7ox55BtP8U47ko1xPe2DK4qZMW0z/d5VnrPpNwRcao6uhoNx8csHdr5cTKC6UfLcfzc
WkN319p46LHeUiJLVXXJMx1nCNH4qneuObEvXQuexwFAVCf6Y1vurlZdhrTIb5XrtDd+M44Hq0Z/
XicBWjmS5nHwS2PVixB+BKGyS9qVGAKivnhduPruNsOP+GRHDjAdGj7fAqdISCx5qjoaXYmWlOb6
swcZoOBHbzUIyHwdUPuZrxs6V15MRc06i0BjHCO1tDn4goaMmjaSDWFs7JvhRHlHlW75jSfY3+U3
qgnVJgFcCEM/sKjfiaLp4gVd9eqJsj9RVGRs/IBnIOUt854ke7ghv9reCrNvXlOdsWbXOU8NFgGd
wSfvba/OnE8tVTVe8w3qKJ47gmZj/BZjX123ScPMK7LbkmNSa7zVblxeRkdJrLVO98mIwv4V35r/
HHUB8m+JDZLCUAjoDo+9qcixwaGIlAfDxZ8tZRpAwnH7p6kV9IVlBT5vf3FypzXpqWSxd7OLiq4n
OXmbdvF9W7IOj06Vjxbvqh0PdpmaF3vALELvGM+MioxHsc67DgIXi1NMV1VKaZvAOH4SulDdBn9v
xXI2zdGDzySCEgFHdkeHJklzLVCHuC7zYCkIm41HPG7mLiDetVU8FPYWrsWTmpPum+JsxAkjZghg
FHwL2k++hnK5lFGUzEvsKVmuPKnHg2ta4efJkdaLIZXxJt1uOIf+FD065cyYl/aX/WiPwSdKv/qV
XAz44WLFz3uTissm+cTGmNqD0DUhZdf3rkX9x0wOY/Hyg9floio+m4vL3/SNe495HHaTkl49z99h
z3dXekkG2JlZ4J+JkTuBSZDYxhfgc8Ymo0iggCz3KwyTGHzMEjfoluDB5EYHcopy15FHAIAc7DnL
2+t6CSvQKeUt886TbApnLSg9YW62dOEE4O18adB3wuVspqO4mhxSIbN4mRU/OK46fy8nAjfgIvI9
nt3xoXYl0xuMqRfqYd4MRey6nskIuH0vTwnCLhDkmGIVPeWHwEQekOPC1la62xOENl+zllkfZ3ye
OmyETnZHGU4DiAB2U9ucsWan50yM+4z+rhXFaCMG6dFlejneDK5Jm509ugdH1/HaLHrsfbXa5LDz
eEBU4e0oGnPV5qna+W3zo13yJsqo5r1wkwqKW/CVwWOx00tGpVVoB6STjkA/7joivIlr43rC3mp2
wXW5pFuM+nko5psuC09t5X5SOryw5CIYLYkYV89vaR19hvN77xGZUeym15iCXgIzGfZzhkjptcEr
IfsG91PUbQJDOJ8I01D3VMnXcUnl5BRrbaCB0E6h200gGY91ChSWN2Dnd78VS8JHvod9HIMTQbSk
gGZr/jYSDXJTKCiLS3TAsjFFT6ZqIqx1NLCebK3g2mD8TpaIkaDTt06+MDtqDl0bn536k4nh/rH2
4crFZJNA5sYHD47VWtd998WQkKTHoW8PtALrM8ER46BHim3wkpsnx0q8Ly4kjH1S1CRd8azpY1K7
yKNDuhwnqNwY99Ug2EIntAStiJHO55bQu97hOr13pIutzfWwChoqR9BhINnQ4Cx7ICRXrV+AtVrV
cT/e5lIvP0/WGZ1ciM4DwoUI22NUtFzRHiZrvULVtFPIV2kudqKJGJFn7IcOntV5dC91rZcwfqvS
egXyq1lBoOLIubSWa0BVz34EbKcJXW5AXpURgxP6HETgfxIfptGEY1HEZd9tqMEjkRYtM42posuW
UhVjGxo1Z4yKKH6azCMBe6oZ/TqcLoaNpUMmdI63U+2a16nh0BPUBhPHjs5jWRqWqtpSLKcT0Nb9
j3SWw03qTuJs0oO9A+WSnWIoJ89RYSByR7Yn7kXjtFssJ5xEork3X6tqcJ1LG/fLkTdoqe2JHdU8
4QZm65AbLpXYwtJH9vb8aMMtjW1ccUDfONTk7DwBKN0c3Parm0OpSzTbP0K46tYBXpWJvjyWSwP7
zCP/KDPazxNyWYzvHUSBhkO+33loBMuk5v31emUb26ly9TF0MeBwTuj39E0UX97/lQA//73pcuyn
xjrYe44zH6RFuXpTtJzBRi1RCXxruBkoltsYHDaZ9cyl+xBkfJmQ1Z2VGbf17l0oVjnmSzlW/qYD
c77JC2xHKwhfwd4IeItFTPu7SyPo3i2c5qlKWj4AqedixToy3zUIL7fAxMQXIr381suMEnNcIfqo
sSLdZuMC+jFi8zBnHdVWCrIe6A0+F9Hj8FE5HPvqPlb0j00p2ERDcbbvsH3qDdimIYMchiqCeMli
0AlOJ6YOmPD2DtiMkJw21785G+egitQL4l9CQDlFUfTnq0DrhgF1HrRIMnXINLeMsAS12TDQXV1T
j+aIAYZ3OjMhI+txlYczLefLdWck5bzrU34D1tzmn3Odz7grG2y0/Wgs7y9W4ZvB/B1RhGPWHezx
pbi9Y8om+Ft+VyNu2Z6vDZFybQtISbIU5Z5+5j/rkr2J9rA5H+AoUQO0c22ugNZeCjSpGuQH5qQW
IhkY2/cqFEWz86b1lL8ZSzpzC5M/kpUgEN5boVXV8m0JGkOZ0lvedOn5QRTA6cDZ1INhfomFY6ew
UTJogg3XPfk6cRYeOuvmXXgShgzfZqLBV33K1WTNPRNGas5fkBJLa8PjvP/UylGcAwEmqIeR8xLG
JtWjIT6ClRFzC9tWx2yS1rpTSBziJfOaFhvlaEDGb/rc7AnfheKewwGfEDsl8leIHZMdcDiUZAao
sOfcop9amr1onjPz7NRVtEr3TSXpf4Mi9n7DyiaLvxdzoV5qP+Glx67pTzkotWOL5Eqs3zeal3lh
nwKnumtr/lwA/fCKxfe1cxos+iLh6NGqb2CQgjVNJv6+6XV4Mlt+Oy3+y6d65A4MuylAsShJy+m+
3UY0cF0sJPCLKmg+1IMz0RvlzuIqj6S4KUkAn5x8Sc63nHycTclyuDctB/GDsaiPxYerYMCOc3aU
g6QAXBbgHckFjT2r4yqBYPYaQUV9YRRpVGtmsdzTlXZo9uN0uuvolnjGkVzuIzcyHmnVCt88Wr0I
I7TLNahN8NceeaNTEkkC/b41zQdMCP6GUjGOffRY9j98l3MytmQxfmmqZPwKo58pVMOGXCOlYu+L
2VbwZFRpfRZNX14DsegeMa3531UPrzjBonUC6IsFIhp4MtnJgGXf8SbylyVXQA+R4Dl1HQBMBFQ0
NVE4ovtNrhIqVN/V2P/6HP7G5wC500L9/vc+h5s4qX72OPz5B/7pcTD/wDyAGUGazM/QsUHC/7MV
3Mb+4DFAxKrrBhD4mXf9mc63xR+M29hAQEV1+cuCTv0znW/5fzCLNxnpLq08713i//s/v4ydmg9/
//OA/yNNGGgu5GbpUEXAGYKh9IdZYjgYtPGVjnPsR5P2DpmC7Ipzrur3+8WaePgEVLztlGb5E8OI
SJm36jkg6fzJKX31bLtp82RakMqw3cm/mXks8/6f9X/enTT5+LxBRvR/6XyBiaVDMQT2EW919QLj
gpPkghcDOMSNXyf5tA+UuWDokcn/ZvJpfaT5Yzm0aEewMaZwYnExqfw6BAljmSu3S0haRaAooWpR
MwnU5JIFusJUrxzvzLympPV4cr2r0Q4S0Bk6+TrO5fzdg1bWb9Q8Wacoj5otJVv5vs11ly0Hb/fO
i33U2pENCA/uAhoPML+dzRGcmeNSHzsWpN5sCC43sZxMxUOOGIcJxm5aDcIDA9sh+pI0io16ZbUu
4cPUlc+RT2iyAoCD2dGvrrzGnreUdnf3cdmQlZ3ssl8ZreXTsF0HdOsFYZyurcReWlK0scVN/9ih
MyAGzTUUHs9V5TUKcAT00Bh4oFSEYjl4hMRoZmuVzi0dlrM39MD1Qjde43cl/Eik80uZ+oWzMgjX
nCGbhBtXT+2TDx2WMlozHzgyinjsgb/4LgzObNoNce7uQXQlJEjlwCLuyvo+oD72zmySZMFq1uYz
TBLa5nkcaw4blFMMnQUFFrnW54jArXQ/hj5e9LCuXYKmdtw+iq6itqr1hu7InCvHQkpe8h6AmB/z
3B5Q6WjsNSkgzEIfQbTNEI0dV7Hpt6PZuipHbSIlRonkaI4RcJVq/GsblRr2wemlhDpqk14cHOeL
h1sGFJRb3malHndNBOxiRSaYAQIhIWyujCd2QBf0TuNJu52ATO5ngknf61hCmDKTXdD2/YY7NTgy
xC3uZwkQa9VWXXqayYFtfKf1XsCKq8PM9osojGoPE2XaUC9ly4nJQ09wkctsBg89yhu+/lRchcB8
ToDrw8/oDR0YsnhQq9xz4h/2YPY3gjAwpNjSK34wOCb4IeeaY7CDTkL1eVSTYe5nx1q5HkaHDffe
QxwZKSpZlnSoKgT83OEBbSMZ1ar2kLbWqIU1jQxwXMnEqzYjX8KAzscinO6lWQ3fs6xH9u2zuOgp
yixVb16ami3DS5/AljgEZW/Lm6ZhhzCTJz/mppXCA8EQDh/HkdXLTF65W4dBN2KRJbPVfivDjsoE
HbScpUliEvduO81JoULruHAyK6d1Y3otrs4eTNHDBAphOkwMFjtwYUAmMeBqGlhI7kbq66LREQw2
qC1fLEE4waMhYyddRzGPgrY863iAE1GbVvXSVHS6C/QBLvXRrI5T1mT3wmPRjMaYz0+JbnmDdOZd
SzCygA5kwKvp5bNNceg86HAWw7YmEUuypLcbcGQugFad0K2zZQBPoVE1zocEC+wzQ5fqeUCAb1aB
02O5ZK9g+dsGOdrA2j12r2aqO/OSYlQ3r4MQSwg5K1W96IZeVEIj+bx7X8oDPnlMNoohXZv6rKMZ
5N6lcnb+nDdsqKo1Yta8JMdCGeZIu5gYpheH47OpTljfTP7CSC6wuY4mEWE1rgQurS9UcudJs4Kt
WL50U1tw6ei5uao0hcV1I3jHeMkqg+lMS3LHNrTa177Mb5aWBIzCVQJinPLw8a5jR0XBF+ewFZvF
/EY7eV2sAUZXzoZ2kP44knOVpHbauDgXWHOpC+UdcO0Wyj5S7OEvKj4n/dVsOWG3KRvtfTX6kkA4
X04WrHNULGYnPtXcHCswua1ggQwEuo2KucsUFOjVSIAhA/ljJEGTZkNTvTai/UR/q8uuK0idvWiD
4Q4viUVZB+iBHhiqX9sr4Se4WWUVhGub/OtOdGZ2ia1l0mIYU3mO80E/yqwb3RVjXueb05duyiRI
xDt8DNtUVsZMksUZzzYQpyt2+/G582aNMaP2cyR1XzlbHz/elWXk7PelnL0VFxBMZJ4ztIjijd1Q
xEpUVtSFJ9eu0ywBzAq9k5S1B7W1JL/F6te7qV7CGQhnkWPvxpAFvyms5um/G8eyTdrp7zaOmAtx
Hv37jeOlKtsP/tjFkMif+XPviN0Kq+tiVILgZC6bx/+/dxTCxSC7eFxRCpEgJB6mf+4dgz9M3Frs
OF3MG7a7+P7+3Dva9h+0ZzkBzkcTjgJ4sv/EH2sve9eft2cU9Ji4c/kPj2mk+I+bR0WcTQKkjW88
pdit5KjR3IqxdNYOGeDp4FWZVe66LIphmSeWukRwUUlYRfH3htB0xXSukDAMMdUyDSTtv8wNPffb
jNK7LcoE9d8GVX+u6kznT8lMwKpqZvN7akVjsBJUS3crqlm9aVMYDG33Cbi/T17beuDG66DvT6OV
6OGiFX3KcZsxlpwWN3k2udlFETddiy7EwjsZZ7ObVMIMCT+ESMuZYOKkv/ad1FuCQ8wb2R2DlUl9
6LCO2TlUz0X2DgZ5DKNkKB2WUzdOLnlfDccu7zyYyBzN+6pIFYt5Od71RIslKy4jguBpKEdrT26f
/imoS8u7mub0aXQatbY68kjdNJ7jgMDRAViUFjDzMuTCTVflDMVWHqBJUjZU7LHK5BpN1giZQK/4
zfMtm3MnbhOZOCdGNs1tw6DPvWLD6HzjG5mu0MDSUD/OrpqPrbYbw77yNIClbaoFU/fBHdVe+zSB
b1n2hkuV2nli5wePhR5S/c5dqOFiPdgQ1q0Dzc0xY6h1kyno7FeQpUsNAUQ0QshxC1yiS+Oe/IDm
eH8URSaC/iqHx5wQVxwFFbjZEf3R8xQ5H4bwPX7d+6YBmJjXgTF+D0pPpW8B7R5v4IIQVa/pBnUK
8eAxJdy5LfCRZkVQyftCfwGpwLoI+jPwSM72BDz5ooAtx0QVu/SY2EFpbWER3QkBOuqdxgfMbrhp
prxfmUmSclmOGaMHlUGLlkKc/BQEDn0YCGn4ifZMc24EnJz71u1sELbwSDcJQ11Sh3UbQaVqPXtt
W3zba5n6wA1KHk/bnAPUsRhNvWNs27xUUuXfZFvDcw8IvjsryFLxqv1/7J3Hlt04lq5fpV+AuUiC
JMBhHx8+FE5mwhUKSfQetE9/P0jK21KoOrJrXoMqZbhDBwIb//6NYpHbxDqD8lxRMJ/3Qk8bT8QF
trhp5tBmGj4lmYeh54rM4tbiDuJ3RHbCp7jz7Is488pDOUNeHgWmjJLDXRWBaMDLnfldVWvnCJqo
sht8aCS9AzUNOFnZIDTUdzjiuv24U5h2Gy2Pf53i34EjjS68ywBNy3kVrTbR1PaCVDt55hyzg7JL
h5R7DLMTMiwQ9gaXkMl6dOl59CnpCCrDaHw8NhlIf97m1fngyOYRY9hrv5L+OzOyb9Af2TvJvnEf
tM7VmskFR5BGb5XAf0ClDbWzJxr7G/kZ9g2eVPGHGE/9i671pst6zItTXwQ0k9MgPuJjlh+jlFI+
avEYcPEBOSLDDe9jD5tnmJDuJfuap9W1QY0ytL1WBDdiHf3LJm0RIWb99N5va7wRsnyeLsm8dD+W
+G0QvrGsCFInKtA7WPLD3ql68c2SKilh9gzJIV8zfTbo4gUOdriF9d+rnTXgs7PJ0b/eN2KaaTDJ
sX7xvjfdMi9GuZ13/mdsJtJjFfY9n9FYZxh7uFv4KoT5DthuT3ZQE9hA0aOyDGXXmM0HUcXqNPtB
tJmQ5rOgB3OG12VM71pSUF04YTI86KQzafJj/oCJLoERWX2n3OUynHAc8PMoBKBKEO0rgaJVdVYa
bkKvUF/moEpuw0KlpxHHpS8ytcNdYS8uVN/SxFUstWcMkB1g8ewOBE2dLWKcCVxb/Htqpobs3Glx
T+Egou2k10cMT5wd/rQx+lvZptdZMTKzD7b4hB8MTgOIqGHdOuCjgNL+Rx/KBL4EzXoH3JVuPdlN
7/OEsDdfZPUVm/C834xyfsHvd9yPrtDf4nyytrnfktECgY8epis+uNVa3qxOGt6Ms1pvlwoVm1PE
+tbtuoZt0GTfS6db823fdjkoPHS4fV+39rNqhm6HOL2+A3yu9XaZErHFdMXaeI6Ov8201k7VSM9f
uHq1ditDa78y5WwTvYzBRhEoiKCfmV9NiKulGoMrt6Wq4o0UBy923Ef22s2FmvzkvA675rZ1knGn
Wzz79kuYLF8RmmDeNsYtfuSksGLJuhTtJnH6EquDluhlB9bQ2sGC3SIJ+YoUT+yduQ7ZPbv11Zxh
TWAhNL9cqxrbDto19O7Dq3Z0fVSRS5pEZyKwKEJtorAdt82w7B3dh6wvmivZqOXehgAxE5aUhHde
ONMtU3o+qzEy8TaYJ0zbEX3ZDQ2b/H0Z1u17MIbuthqK6KnJo/RimNt5k0xqfXQ6bwHRrDMi38Zl
Hy26ZRtPoxpJXWvXGGq7tj7DFxkUOZbDIyoQDJxSYv12Vurj++5jHQW+Y98aDyCxlyqqz6vJ8jSG
SrBN/Wwp4Xx1mMyo2hPcRz198GaJpH5MguMys6HcZm20njupE7y4fL61rSMCVmjPTtsgs8P3y+r3
J9tbWehVZQ9w9uI+PQRpHlxig9Y8EF9Df9ryO9S7MbITb6em+XJo6+7QNx6OEf8pjv8vxTF6AorZ
/702/u/i+fNz+bt27Puf/A2rgp1isQM4x27OIW8a7PRvWFX9RR/RFUCjfwOkf5fGwqc0RqUCn1l4
AdwkWPl/w6r2X66LHhKCPIL3f1c69icnPKDvz1lQvruww18hh5nTuF4vPOtEa4X9MT5GcFJDr3/4
5Z78C3nWn5RwBAyhkEjh4J+jQ/kdoFyJTACdGa1Tv3oOoTSIT8Vgq5tyGvFbfvtYRnzxKxTLjQkR
xBlFHJoTOK+/H4tngTfhKCLDHQxv6CUaY3NHnGOlOt82AT4l/3BA8Qc2HfpShCTUku2m6KHZZvvx
i1wKKTN0LtlFJybIKGZ1r/VljdAc03qrxDRVhVP4ZEMtcw+E64wCS4giW45BPcFiaP2Y6Jlx9GAg
YGtKNUI9HdYGN17CDi+uOe0u2xBFGwr+8DiRS3EsgwVudDQby3WnfFfkRXgsrE4/OhhNnodj1xys
qEyvmdnSa6SvfrUThIocl9Yuz9K4X/at7st32PqvXynS1qck9yBcNfEV+4t0P8kC29OmAEyib3zl
kWCpWGjE8M7tcRCHD1HfrJSQjy5MWGTwUQH3lAqTiLFxS2tuOtl1RJD22rpHNWJB1sGh3oOjAsRo
0V9IR9fX7GEmiCO5eLaL2Dqhlmhx7LKmU4vTdbyB7RNhFWsShHpVlpfBWs7vEAbDVbLbCcpmpzzc
/FwEyLlFTMluTiDHtqwj39OJDFRPVlFSNdlBVhJm3RQxzrd2UtvNxhZl9XnoZPMxg1nwHj9y9y6M
bXDmye7DLxk+L3jEhh3pHsawjkYuW4hDNyqsSmwlEkzTCXuFo+UVN3YxYm8ZEEZ7Cfl/wF6xmmDm
r8WWRYe8ILdg7GVI3TdempHiImixzincwDlb7mCWBvvesbuPJYrpQ01IFdaMAeXgjPvEl64skyNQ
9ctivHJjsuEuUMsNKIxXPyn3PTcnqaLiqi3K9T19GOudqNL1ElKgAqLCcOwsqEbb2uVpho+phUux
h+8Phmy2dxqnqt+LJc0viWwavsR9oD/njokjW2M8ofaWTsNzbkG/S6LgpSXabnKm7roy/dpZFl9s
ICYcUTwqFuTzeR4/hj0d9pbW49HCOwF39pIt14y7Re16Ngh+CpLU6IvM6jw0kzomEtlW2TMKj4hf
lp9EBIc6oZ26n2XQ3kVT4V5Sud/SFZ2AaBWJAeyVcb1FUX4lsODYZw6ZJaW0Dn5n6aucyuqzNo1u
nqz/mayY/IaQJneXr1rfIWJCSaDVXduG6Z6clg+Q0NiqrWyN3WXtr9HVr/spBCaGj4ejPrtAXMe8
dxVuZhLrWveU5goy7oZky2R5wQsPi5RoHAYiednhY/gIiRnsau0zAoXiMvf3tLJhJ1IkQchRU7HM
Z1Dl0OJvE5oENgxGK16f8n7yxniDw0I/4XRg1S0b67HPHrwuUzEmF0CNapwe5KLxlUI4GMMpMfUz
22n2Vz7kddPqraojpkSB/DDjRqIOcsldtnQKv4IdgoZFYbPYp+B+kHmCA3XpGt+Nuc9vks00skVq
QZU3ddlV021MmpkSG0yK+uQijKwRgVkfTf5Ht0mMFNSuIgufq44uyFM2TJZ/aGfmyC9yTnhQicZ5
5zxfCM3p7nM88cv26IR9/hENSX4fjiSmdITJmYNJAklsOBQS9+gOQN7F9XEakFP480j/eVpHtoDf
gw59LcT55Ea0n+fZP7mlBYEGyjG+E9hbOA9ugoUQ1DTzbRkF0T1F6PRCFo7pljgVHatcYKVQzBwX
wrLZJBbeWUOowHk6T6R9YgkL+7bFQxsHz6m+aD0Pvxw5SmhOATHNBfDI3m9CDaHRhsVtLWyurCgK
P80d/9Vqq7pfezvClA9xNK4e41S+m4XXfPUCT11yIsbW3/Xqiwbcdt0NAULUfbdM9Zmyi/Cm8NPg
uShbzk8Uo3MgX718h5kEZhi5Kjk3K2j4mW/p8puruuJJ2BoAIs8Cgk/Wsr6PS/al+HfVAzbONV08
3tti958q8P9SBYJtGlH9/14G7p6htz7/15evxX9d153++luf/ccf/ywIw+Av3zRqUY0KHzzUAUb9
WRB+h1HBQUPbxXLlu5/93wWh9x0rxXrTMxJMAox/wUr9v+i+ozrjz5Qp4v49rFT+Ljr1sL/3hKQU
ka6D7RGeBr8XM16omj6YpXu52j6tRUhB8aLhmrg2idj9laW9EK2/hEQ/Kh+eH/3/9SOOl4EDBc85
9WNjXUaMwv3SQvyMlxbKSr32V3VcnZJODOfotOQOm97goh4qfPMr4MS6iq0LTbqPUdQE96yo82Om
Qvwihzqzjk7TQibtwUQCcDcyiVbn4LZtSuNrjLB0b2licN5s73xs3Y1MSpR4fpnOT9JG7zBEu5l5
hyX30QC1zqntG7FRgSLPqAjOHQxfoiEPd0zLXwaIXyRqYoFSjl227US1XEVdHO8nbe/m0X5JLBJb
26KHkJhlzmGx1/VIPh/28LF7NN249zSusn3f5IijCm9fzN0NDHIiVeNcP3euFgcI3mrb+E13EmXA
8UtD7F9ab6crFeKyNqR3EmrlrsT87ES4IAShejGASjOewN9uuiUkDaPPV7yvsSwb3BDTT7sRbGp9
sYtT6gfCMGi118hs8lReJU6I3bAo73BDx2Y3kkeUaidw1Bx+NCTsJYToA5Jn79zIPlqAeRitL0++
HpftCMS2B9vQOw1uQlDOEG873yJKUQ2fyx5EZJ7L84aw2gvIFyg6wFSRxh2stGgO/tpWMAexEk19
KenXBqcwCs/1UttblUMpStfIeloEZGEBXg3QAeyDUmU+kIgUbqyxXM5gomcPMgMJ7umYwc6GW0Rx
4x/c3lp2/Wx7u4pdwcZXyDsHjNhbIGZWyuxTQ6LTBdldZ0sVkSTiC5bWvpuYYTGvhrGKbLJpd0Vh
7fOsfcCv80nN6yVRAXITA4wdrCq194694s+NpddKpE/Wau+Y1VG3nbKpQnmRYcDphl+hkaPCGelf
MiYeCmAK6ln4411M0ZrVhyHOFxR9+Ol/lw8oZ93i1otjpPbPWjdzPi2kv2xhWCLTyD+vizfvZ4gX
+4wt2cmvSArHmF5tQHPhhiJ33Mm48U7JCtjnEbWKATTfy53ug9XjeZvLGSZDBacNo2RWX8UTrAVB
VkFWdodIZI+dG8RXlZ2UB6E+x7Bkzuni4g/XoBYp8JcyQQyJh+QnTe+wtFesepDrszxZjg1w8oNd
zWrnyDC/W6Xydn2/XvW6Kw6g0dMebCg4wOjEpQe20b6aHVLQXMu+TaFw7+01L/cOUXfbwc/dHQA9
jVmZBWcOoX7bNFbjyXXjMw1t4YLcGNLS3aR5HEgTPgyIwXeul+F4FIfTzp/Klr5KnW57P7MfF+ra
jbYI0SlHmMI6aSROP3QcANOq+9wSy23UDPa5o/uJWKKATggJ43myD9iK7GZdBmQ9VDlFMQoqThUj
MQvb/jCwLqs6LY4sqteWl39OCfbbZhVNzrFlpzKoETb/yv1s1t4/yYTorlTY30iRgpJJrM456jIM
LgN9b6v0bKjG4FytMoVu4d+hVmr3Ey36Pekc5ElORbDzIEZs3DZ8AbG9S2kzRM5wW6CLgXWdOscl
tb6W3rocig6cWcvLdOL3ses8TiRTk6NTVcQyUU+R9dfsFnT7mGQLtXG89LmtgTWxELyHOjmfIKGS
vZpLazOpQW+xOVn2blqTol3RLbFxdbtaXHkYSvc5bOGbKHSP27Hs0S+52EKXMgTBszY2rxrQZvt1
RF6OVeASXftdJo52QXuClkF+yAp33FMR9jR2cxN1WapTIsDLC/dTEPSXGc35s96fnyhXqd/ou2yL
RQRng51WD2E4vi8Qfu2aRn4NkgmcL0r1lkivB9cZLqSnOxOUcE7WBoTyui6uCsJfCZ7HUD+qdpFI
1BaizbcO0gGtEJSU/jrUR88baI/AK963ky4uF9rdR29Gj+0L8OcCIkwvkk/hosKHxVtONeHYFysS
gAMCfkSmqsDJS3HEal0f2tFLbwkFvARQmTezFbEhIlsNZndcHLrBh1Bd+veNcfoIdJteLG1/Fnct
lhgjgbCxHrAvRaixSyD4fyzy+cMUDdg9LvJLTarGBo8dXOpdPR3narbw0UTWim9oeKNJDbBjSUyA
55kTn64aNK9b7dOsLKM72Mv1fgrSw4yyGYttlF9OYr0fQna3GNt9EbQvmAuH4UyNa8dcg1JiiaLg
xPybnsPzwHuOnEu0b8TMDp2CJl64dC9hKxxiOYkDkDde6V7jHGOZvZ9G9pZkcj0sur/AoR8fZCv+
JqxGnhdVER0stIsbrwmcg1+Tsex4pX2uGhsNp8dKvjKrHjqMBHcTu2dRfcZxvNKPHn2eHogTj8cQ
L+nJSlFDzlAM6ulJIyyXBknFf5kUVkZfqW4ivwthDsnEzc1LVmfw0sWpdfGnd8itDdzoEQ8SaLno
rpeuJ/Pb72tmb3K8ActTOOpu5N+RfSWD7mM9ztVanXdi7LF0zWo2oT5ZJkVqEYtbNd3adT/8Nv5D
X/0HFgLF75vsVYDWPn+Fs5q/+JuC4IYwUV2c7YxTCkU0BfKPshp3yr8A0B1cOnwXp46AgvcnA0E6
fwnIkxh4eQptPL4Y/x9m9fmRj0EQ1EohPdBR799hILwiIJjTcSinPSdwoOKAEBnQ8heEUMlxKVFA
eF8T5J7ZN+CaSNiY1blWS1mlIcQ9ZSRF6kO/iKLcUuT6/sscFU11SeoSwtRDY5k0tryFAs4QDSMy
1ngb82R+7GzYDGAevFlrABEJp0iLEIWRYNwtLzfv0i7Nht69gY3ZSEykbawRHxNNGuu+AP/CWdFb
wtQ1acY2YlPRY0UMAAVaFcL+nmZLRUj7M5OcgSoowhb0l63Sv0CHX5l4EBSAQNW46PI/H5Tq9d2h
7nJqjcria9NPY0jeJ1MaSZXARKCP5LqGHHJ2YPohpKTCfPAkhizd1gWM4HoqZ4rnx7dP6butzf+g
yJySlCGEZ89XPo3X0Hn1wKAoEvPVd/EXp7DxpEJsGOfnVFttn8KIQPKOgkmmxJLDtmwUfepsbnJj
MAvB97me+4UYZzkQqHkOXtaTvblG8YoFfDHzKPaaaBdA1y6IrHkfrHkbXK9rTurLnmxjwGQMDvqB
aJG3L+p3sN+jSW3GYEhTwSeCjXfh90EIj2BOrbyovtoTCT/3fpVa9V1ZRPV6+/aBXm0hORBEGwzS
wNUVN+8PUxZgDDJU5+iL4Gk7Yt8UkTEHcW3e8FnIzLuBpuaLhPgEv7D0llREOd4BZlXZt7fP5PfG
g7lkw/jBnNFXbGrDwNySX947R8SLHc5Z8GUkDCi49slZ0Xi+lpaQ0J37YGXb8PYR/7jJPjwophLa
OrbkLjBF/XpEy4ktWRdSvBRD29WYbC6NNZIPo9Zomf7hWGYQ/jJIuTomLs8J6eCw9Wf6+/1YuP8W
eZP67hcK7D71viJzQbl6RpHLuIvr1tziYgmGIdz/uxfJGALDAIxQPpPuq36OQLnfhVnev8w21PcV
NW2hxruIIAXu7tuHetVcMY8wBISgO4IVHZO3/eqGZnXt5LBJyy89QQ+lPGHzXj0WrmaO2mqJz25z
M4craq/LOu2qwN7TY83XpwzxCnt8jD4IoqBwRor/LssCKTwicpAgX+ZkxavlNEyeV3ant0/6jwcD
Hd8P8YXk6WCi93pCc7BSc2fXrl6qhWxzsemsMM++jc5i+R/qugzwTo1IctPRP92sP0dfyFOhHWOj
kYD982raiowvYcPm/PPqW467bhFvpEO/lTClOoTbAotiJMKBl8vnJSnimSZN13Uh1aIF9+kBQ5gJ
PXrCLlh/jklcCKFzBC4d7XLx4Iz8w11Sr19PTlACZvGaENOESP/Vs/XjqenKoas/Jyp1eRWxqtXr
LfBTx6BaF6Dy8Rj24FHXFnaHvE19hdYPGJ+NDpNlmHvx8sIALLNvAdb9fEIaeflKret4dfbtxwTs
RQ2ziz+j7/3QQweOYJ2XMmekjgQw8HSqTgcsw5VwMNnf4GBppmgLe2MO6C5zod6RZ6rnj+tiSogN
RvuGP4MVo2CSt9c0aDPQihajYGS0U2q6jF5Wfg2mgfY+moeoX295/UP/Q5USz/bUYQDMOToNthoI
UqvB+YDRLs5me7gyxfq0aiHHh7Frg/Guz/jOtEmqjBlkkyRBzTNzid7l0CXutaAKGXQcXnRaPjUX
U8PcJ01gSaqg8jf9lIGTbQKH6IkEBYHsS7KaxznR7zTu4ixmS4v3gd72nZfFyz7DhWR8sLBM59dp
8ZmjWTHi7WsR4gP3EWWdP54iD3nzVYHvx3I0lIzqgnS3ZTgf5mFmLM2K0OVll44prkVqRK+MY0+k
zZrZqsjlbWsU/UeMhUnDwbD95wX4GSbCSL0ljqow+PEy54b66M6Wi36OzSRWlNK2yj1bnIB/Utks
ZYakBkf2vz8DOMfq9iKN/DTZMuRqrEdEsvrcg0GkpE+c5iZhcoRZzzXFP+6ql+cTd86HX8MvTJNO
8vMKAYxVYCMSmiMKyzD8lga1LUqARbZcHhO9GS41IGX2TeSkUWOgA++ovKswR5byQKaHGS4Nriy8
U2MVorrexS7kPjAyREz8FdaikTzoWOdKnFt4Py0vbTmP3MN6HjOOD36CIuJeFTY+GbsV1V4xQW6q
Rpyc4Yab2i1zZsHPFhyhzUVkYRPMV62Ixire11Znnrt0R2aBfbeSFUVuElRYzqQTrcdXNHpaMaIy
HhFI7WoYVLwKQyYglvPkNRDBpnNrzSktXD3fnIbMnIsXJlAXtiS98gouqiXCcyfWIKCxCAmA04MS
iAfIdo5GUoGve4Bn/0M6eHyxDcUiOa3MQzZTIAQpuYPDDN2ePiDO0XwSvkHSO2Uah3x5iO3ADFFT
Wo8Pjar4/xZIixdYZuhurykdV6oM/C14z5duWc3kkeAy/Zy1ojOvtEc/vd51tufwJPyeurHCOt4R
44OkicddwHe+ISgZ9myflVcjCBgf2KJ/4Pxo3bJj3kLRJURn1+Th6vgnAn78udtl9kOY+Gk47tDB
STMzJUWCCi2w6UliMdYIJMVL7NkEna5o3OMR7emtvywzw1/1EEMAKgm3WioKhakme8n3xxyaP12x
1t6CDon0pnYSGHvYVA/mCeOAAcPtQDZaP1pnaW+Tm44JZIu533YuiDefLnKaR5wjBik8m9ZTae0/
Vz2mvQQ8R9kS1/chnS6vuq4JnJoVbdjUI2CLiZjpZq9FnOFhEjdDHWIRT92O/ilyibQ8gRwOfgys
mTPNQn+efMtLzGS7cM1hNiMjSTZdMicJWTnYijjyWs9QFxg8JPSZkYglftscclAGvkIR0jOGIpGi
4brAjH3lZ607Dp1zjZaHqbJvK+7SDkouRl2b2bacob3upwBy2CEjSYqnVDmey1pQL+XEZ4Xwt7hJ
IIshI5eE8UiPB1s3E7/JFqblZxqpHvNSbo+GUaCJ29KMkAHxDM2HOeD+6cRidhi5i7wLjqt7BtTY
doLoOp5+u/gXsCQZ6aroV048mS2opSi5i5nzZ7pkORqXRrLKlxEO/v1eeYVZZLUeWobjHPhpbbEo
dwvzw6ISy7uBto33woYpyvdOTauBZuGOdXW3WUucP9aNMZZfXkrVshv5uQ9h1jc3Z6pbUYfHHEIF
9hJQ2CdhnQ3ZiiUoTXOBGSrM72jvoRNu76N25uLTmsV/2Y/LJDljmWGiD/mgTCQvdjaslNPE9Qzm
Dv4c1mVKyDqTjFcLBu6KazlnHtSWme57S7FoOQR3c4+F7EIAdirRGI8padGL0FtP4aFG2kQCvfba
xQIt2+Hz1WlIiKuzBJ+saiq6e7uciwdkIiGiwK5r0xZ6NPE3h6Aeh+alKVljLjoMGsg94kwFPSNo
sZ9gNgTo3VF0FV+8rFi7u9LkdjxPq1MgosdYhz4yFHb6rsKHkbpRGc0CjNw84fXDYZp8RDh4m0Tk
uePEWDqXomBZ3UdKgxe1PKOOSX5W7Uq0PbZ6HrG4JFWZkn7tMLnbeBKFXLjBPGvRH0MQSe8+QHXu
IS1rvdzE7BbuEtWbBnKrEzFOo1iTW8tKVmwlIv913YVpsUK9jly0QRc0taNhE+j8akJr0RzGUMYw
hijQ1oc4o8/Nwhdoed7T4aZV4mnX2S4oe0lExN2FdoxVuyYaGntOFGF+EZ8kTNRdW9vTehGFlW0f
nclJ3EPUzA6YsgaVI5IlEr5120DN8h4RhJLCdbQbuTTtPsSucH6Y9UyoJ82FyrrD1Kxfn2hVecUG
/mHQPa5yjIlCLTTqu+ZIjkm8Egw6grbtQtLbDetZQw2GFa6IocUqSGBoIxFdteqzU2aq+pIgADNM
3QAHDyhJvhhIa0J+LjeuwIjDPuqoan1jQmH76C+j0gKMJ33KyvPjGDSUtcnXRJEHDepaq3xw653j
EycZ7AOhhRVfdy4Xk93+rL4hrkaBczcRlgw3fwIbZFlqSlE2/iMpC03j7TAv6qKResqGqY8IT/pU
Y5E98cJ082JqzcrqoFQcOzGPZlkJmUh4uVtlyseOBZzXIfECM8OVvm0qzNRaIic6ZGDNMfGgAtGD
ukCvZ1GS+kk7svRA68lYZXTlxy5GVBKRSHQY/NpUfwEIM3OKzByCirb4NJbQvoa2TIMPPqpZTsVp
LIm7QGxpsIZmaH2mSVRVVPZYuXOXjp7rUwVPNrWbtSVeqWEuyzCfZNKDeBwRoCGA9+396FTBKk6h
5xaURBVdZ+aUcihtLpS6RIE3+X7ZmQmxLFzW6AmaIaUJyaqaG9RU0qycdHpnzrSLjdMTRm0rjdv7
0TMWlNBdw5kPs0F9eZcw4ew4f0QfZp7MPazmCvQJeKnUuypqeqd7DrvQ1KthNDLbuOgmg8/T1Fb1
IXAzWV3GdTayLBKObmqpqpGmZElCbe6RrqtAO9+wOFxo8k6FMxo+rVOBG8BIItAcm1O787n9zOGo
hrGANHBP0Jdmlfq5gnlOzX3Ma6w59TYI8TCp6KhGFjeyoX0R1jRmyGT8VgyYq01MM5k5g6G3sHE8
/X0n1pZXaDM0YqUilRWC2ocaPg5RijniT9QVFERmKKbIotizlHPkfyg6h5P58RhZMB3nie3foB+w
vpm5YpFVDs8IswtJPEoV5yN5reuU2VH4ccyln+WnpAnicjrzKEfHh1W6pop11saATzRFxjQ5a+zK
FBW2hgxolBaL2ciroGWwlOB1zrxNJ7uTekcsFFVK7Eammh/rpuv8E/FP/ahuyTkCZL8MImlzPsuK
cBOCmehsLnXMKTJpi3rmFWlLZM/XK11MfiFCME+h5hRsjdMWJlyFBRVadvfYurKgzo5/rK7JOGIJ
C7sQBhZCdtFQBQaiM/WmRv9BzEaRZVTWNncg+xatsuILvm9+m6qkW2+nAr8LmpYw5lnDkoToNADV
AJomxbxozNn+eD1y+iec7DDVPNSuZ+IrL8UsxvjTqKYYdiZKrlzyVreMhQKTNGqC7OB1nhm7ReXi
/ldOTjzqXVz0yiGGR5eloKilic+zHWhqc6xq7bgEuxmhX2Y96rVsF441W75Yhmn3PHZDajLLc6KG
mFyWyROX3uToHM9X2PTZtxKlEXc2Q93PxzgE2PMaeSHlJRtPnrNe/HW5EJPL/gmG8TKPx9kVbf48
Js7MTYl+VD59bI/UGj1mP1xtOpM4v+x/7ogxBULqfZhRF7H7IhRW8FXMnoU2kWVZ8wuJ3UTO29aI
rZBI8BpTuzHp4t46qaARwwN5fmKwtlizc/+tJDSbbhkoU4V1s2M2+TLsTCEfNwj2HyK8DXlqugTQ
remuWSvN7o4od2qU0K+hylGEMAesTsue96yVTTX1Zv/AcAp8Dg+0hz8gH9swJwenRvoznDl8ghn6
J0c50PaWXFFH/Xj18Ks1pRVywBAVOUyVom9p4o+9GRgVbAuxsSKxmCEpbTVVN7Y3z1XLDUHaDRcr
hAxDyKAjzSvObjlurgIYkRSvy5TFxyip5uEdXJq1P1PD7BQnBV+171jYCJ+O2QRqouoOARnmfExI
H5O5KmsrU4m6yOaYZ6Yfu0ZSC2C1nOF45TBJUfAPwbYHuXIxv41Hswv8sbHApMicdL3OEz43vGUL
lDCt6G6de6PKGOhskiDNbqekqnikqTOYUx+qmZUQwgEqQ71HveLlCC4AR/hFwsXQqNBLY6xpHqNF
dlWO0QHuc1bar3QGEjLnn0VNaG64x4LQzBzh3JtCF7MCMyrfRo3+BWYEK540dho6EsuSV5iRwoqK
NLli+jxH2uwzRwSKib+zvAXb9U0/dFzvPxzyNaoGTKXYnnoGzsOL7DXOujRVpWwNP9YPJtO9+TE0
CkXq6D9d3Z+HMnIAEtFNw4jW1CtklbZ6s46gE59TLzLzUx14YqQoZLJm7nr7Tn5HA3/Fjx2gY+kI
H8MEAdX2NUzZ2w4tUxjYn2dRIn69GJLSZST62kt4DZOudFgL1wBV6/NQYdINiDIWiLu3jSYG7hoU
wnQ2Qra8Zu75MTP/7H1gnmi2CMjo8BO6hM478dXbp//HrRLAwhS2cN/Yjru2+fkv2P7cRaWOJ+k/
69SZOQ8WKLMtZHFlC/X2of4YcwJgOKQVRCcI75nXeDdlVOoSndk8h4kSw3KKFpVNT84qzSsSRDGi
on+4uNctFGQExlHH9TkmwR2vFRNd2wsVg98/N15i5ig987LdDikz+x3WX2bNikLqfYqJha+/klNv
dzfMdqV/9va1v77NdE193/QyaJP6zh9RNxPhaOMUxuITmARbR8JnQakUlHpmwLeP9Pouw7+yuVrj
oy/pIL0Gr3MKQyUcuFBDVcv8SjeF2ZqnGTu105i4pmp8+4CoaH7rn7g+bTCMcxRuW7zir0cQphIr
kwkC6q6iTwQbV0RmmmNSXHiuUdcWM3TmNF6ScCtzkv1+elX95nL0q6vR91SSX99ASi3hhjZMUMy2
uHT39zHMLjEpnEZWn9rEXuJqTy9rzfegHkmYHX+ULWOXmNI48AgdJWn+Byhu+dpAXmVALlpyhpLd
3JwSnQf/AP0vvMU1AUbsFtZCVSwJfT7VCqNCoWE3b1In18zWcvLNYjkuA34X0IVtXvyNYHaiFtH4
Ri8vDiTvCTv9HIgOM4c8dfVZSmuZLLg6x0OZZQimOpOF1bmSXQwMc7OcQ1WmtsGr3CzxTdM1nJb8
AdD3lPbMmnmOfwsYjtLfKz4Xk4pmG2Vlxkxi9/HE/VdxBu/i3B1naEoXSZUDy779/P8YcNJDeRDg
a4U9+p9De2BnkZBht3ysMWOnZo0bbbZA4apNBfATsn77kGb+/u2BM9WG33s05IVBFnnVoKFRhtiw
V9PHMEYxJvbYNAX5FXRgN7eu7R7r3GgDN3ZgEzU7kSkKraI0Z/P2aby+cgEDEloWllVcNo33V4to
FbTVxLNMPuY18Od5Wna6fHTzye0u3V7/Q5jL6xkEajICKZCigPg05X0Pz/hlog4cO06Tpu8/jW2T
rU9+Js2wyLLGVFZvX5f76pXm0wneJrIqkHTehLBfXVg8zXZBkrz7WPWaXM4I+FKTrQyMyk43xfmc
d4GGd8k/EsCGcTn7Inxis+ZD/WqAdYFg2PKY/n0ziYI61Flx5Huw05gdSiKZBF5IaEkMrDVbBgZQ
GkuY5GxUgYGJETz8P/bOZDdyJNu2v/Lw5gywbwZvcN1Jb+UuuXrFhFBIEWyNvbH7+reozKiboboV
eWteQKGARKhxsTGzc87ea/PVvaIZ/HFKZrEXRRGuV5aVXizrNQUBjuk9KZvJlIMzJcvgbyJ7Pl1v
roHHuqLynpoOwLbP18Cyos4TthwfpEiXnTksGVVgaxhKKuffX+8PtNhfnuflnrJ42QgubLZF4/Pz
TIgrPVXNDO9ds/z4XcCW7HPW18tRX7LUswT9MXvPEelwFQokbDzcf/5X0xNxDklrULm4luks/Uxq
wYqVThdtSEdByTA4z1ctr6rNBKvCYLudDEnBFJDGTnmczCxq/ebPwR/TomWIRDSEzrszu+rMv8G3
WG44+l1+i/IxHXf+aE30Gh1QUjcthNOMHzVOLSgYexb+0u+aZGks/zlC443k2U2ZebDvhSFdDuiV
GlGq5d/st+6vt89xHALK8GMiWLLYC4kJ+3VPqPkLMJpV4VveG85z2hSWvtEZj+7szK1Mevxxt4nM
0TtObpKHfmWGxU7oWf7YRwnerMKVQDPbCOEqrh8QvHFXP4TUr+1NPrYYj2O3x8rkpRfBqO0NlGxb
rexGAcPMLMe+7q2wPMZq0p7YkeKZaj3uM1+BoPuE1LfqD0gxU2tV4WQyEVda2aMyw+/Hyof7Z916
zY3JrpRtzFyB2o/B2u+qqQ6YieePMTP8Q57rTAnSqqOdV2YDI7xOy7+imrCOZDlhe5RzrWq+UTXO
vc7+/FrFpWaRdGLHtDCitgVQUhT3g2PIRwIlQHW7qgJPQqFv95JJr33Plaq5s8225VgUyl06ynTD
mGCCFs28aFxj+ElAUZkCPmhRBt3g9TRs4jR9kgQn0TXHDAD+uinvZzKofY6fCnxYHLJrAqAuZjep
33Q0jl81ZzYfYCPJdTza4gjXNAlIwk2Ov3/Jfl2seSAYK7OYWRwVTJ2DwqcHoqT94+ASLd65X+ON
p4dolO287IjObVT74fe/7NcN6o9f5iCUW7Z5znCfTyQhkRTU5F7xDmtQoBEa1XvsUzpJLSKDHWss
2cVRKS6MCLEm/f53/9OT//FnotVhZMMi/rkekVbrgUdsxHtdFBSuBqaDcSMMwnH/Zpv4+En/vWx9
/JWgiBAeQJVkQ/5cRI66yPQercy7NpS8MwbAlm6FflhL8JHmzm0BKfUWUoeCVzS3yA4w+goFOAJX
2x/zDtkXYj37ugGxcCiU2nlgv205J8m8exSCw4veFQJeaqeZF7VPix9k/blXBe3ZC/Jh/clLqVNX
MO0AJkZZdG0Ij+dYcYRN9yZjFqcNHo21xpveiZrvGCXIBky1pb6qY2esZ+7f35yFPonwuCTLMYBj
ENfFYI/+fCTQFKcdoX/M78ADuPhxYsRbo0zz3TiPr4Xm5S+G4o2+1COGHnWj2OBeoM75v38ErOVh
/uXOOItYc9GDEDvHNv7pgATeEEIMDeP3SDI4oJ3WZATtYpX3W6Yknd+bAuG66CAqJUolmPaUYgey
1jv1ld13EAMj5XqG9rYz5onGWYNDT0DDs9ZNppySqXCuJgO0mCGMe3qg+XWpcNPIUyYycD13I2OX
tERD7VSec8uxsSdimqSByU6Ts+FUyRaCtbVLorK6FlaXd6T/tfLblMfyQbX07AL4mQ3CHrVhY6DY
Jpy8SaL7IffgV8a1yh8Qj9D4+y5iBOCQ4MAghD3xzrQU9yqJJ/NJo6sdrhg6WOPfPPbLtft8bU26
Cw6bFDrZzzmxkpYw990J3+vEtM5KbaSPVWJMmCGJJz5rw2LK/P3t1H4lb/FUOYsYkxIH0AESvM9x
m5qq541g6/wO/IPQIMXA7w9AWTnSqEw3DCI6Vnorat4rg6ytJBq7qyTx1IvSe8bm95/lI+Du1z+f
oybLJ6G8Dkrcz2LAZkAJ7kZF8T0aGTBQt5fhV6B/ME5qMVmrWtUzOhyiDMmVt+gV+mlsW7sYOaxP
n8Tz1gw8UfA3JSbbBOn90vqlhV4oLdFfdtLuasMgpgo44z6ynAgoCanAw6qdNJ0wkEoVkoB1t1xj
57SqrcJl2aRZp5xACwCYpJWhXNnkMd1M48B2llpk90YDu/e61HBpC8a8nCgNgVc4r/MCSQnZOEHP
0PMRJssUcBZp7zp9LPaxyA3ypR3kMjyJjIvWNl2/G8NLCkauKOpGJprMlTo7zyMsQk51GioYP6sy
gUe05vqV2h5xCo4I1Y70p64pk2ds7d0PE2IXrZ4+xSb7+7vzz+sPT4qHaA7pGtTQf+rrGTqTULBG
2XfXpj+wApmQfkPlMTE15JZRUznvcytDHO3KN/x1ZJ9Ndg/R528+xv/wwOKi5NhsoFyF2/GpAYdS
qhXt7OTfAYYSRPBxQ+xZxvlVQh4aEeC9d183hdwQDhYGlReOLzHhwxXPyazd/82H+R9eWOyT9JZZ
OtBaflbszkIOfTlm6ffIUe272tbaW8B0uI1o7B7ZF+VZQvU6VGYh9oS9aKeOOBpa7Hk33iSAexEk
F0N/lSjS+IFyvrZWbp1kd3/zKf/pyEDGK/J5XnE00xSVny5ZL8JJeLUpv9P1rqMHThYW5kndnFay
VfuzbvcZM6V2JrvCbazyRzyrTraaQ70atgZstEcL3i1kriF70BtcOWvJLrBpUuxk6hxh9jJrxr1/
3Oj/+Czup+r7//u/r+8iKfwEz13y1v3VjQwtkPPlv3Yy/xd87PJzGPryLT+NFipWZFO1DKoUDgsf
fJWf/mVtAYXjUEbMoS/2Zf0fTgvDAWjDd6E3+TA26/zAn0AbnBYkeRHbS8+bPpz77xgtOKT+ssdZ
Kl1aPpfncpjR+Hifz5Cidtp2zOzhCggeehzK84EZMLIPyy7VIyFtri44TjlMyLeZLnKhPnWcRDWq
SZLO73VhdnOzWlrzepDzDFZDCgWgqCv3LkGPAiVjLdOCwcm6Gkaz2IDSK2C+Ft60S5VhYDxCvaaL
ft9IGjd9u5o7nHvVqcintPD7PqEkw6pcXFlhOh7YUHrycBIiBCaTxAskpeRsKjY2zrLfDmXvRGt1
9HzPSqurdJl/C6oZbWXhnLwneQ8uQBJDYFghIsPLx0IEa5pmwwCvYIY/YxNfdztnvfWqVjprNvVP
f0rUmAmeHi+nEwrwhOk3zt98W4x9vkXLkBNK4JXk3Yiods4eI0BUlpMK20NRSn5mNXXbrsl6SZlN
AyUWZrarqAo36dw4jPSQ85DZZ6bhiBEz7K91KyxeEH6htyAHq99SuXR+3LZsZFE16UBCIoJG20yg
p7Pq/rkDz/UYziUj1iaqqxGM7hJkEDYWf6gZqlJ/ZthbXw2Wlm9b3W4CU8v6wI6qWmOs31wNaMYr
MiydIVAp1zEZZ4O1JxXeefRSmJWcy7x2S2O57jZxS/7JgrU1fYXWvnoBCBro0BzE1ujykD3fGmmR
pp2zStoU/KLVi95hNm7iVFOlSSVs9wL8MTw0nDfS3ejDMGAWT0ugmXqPFFfvVC50VFXkQHGQIJ0h
UTETa/AgrIVWv3BiApVc1ldBtJG+8RphbWU5VndkUMVHNDH5M7Jem3gT+hVrTHXdLu/jxazdONfk
5TScytmMGlSMNWjzXOOh0UatBwtJHubUR2PAtNu7Hq0alHHYIK2pzehATuvorEpDZCiWDCDZVizh
uqRKuV/YivtOOMKnexp+5W1o6Cygx/iGbl2DTNR2sAyjrtbvwzyR+6ERDm5ASiryHsL2zjX7N8Lc
lSWdcvZDVFQYJfOJTGCnMsR6ihC5riPb1a6ETUsgiy33ZeEjbVELQw602Es1HwMwoF9QH4bfhvW9
hYjuXNPR+QaQNPRlHU2P5KeKXTjDGFkrCmZsHIdkOIIgaK8ngKXn2kpTKENlCnEUEWy4ttpskQCE
5YMd1R3KMI/oHS+JnjoYOiO9vDC/zcxKX6Psq7Z9JxCPuDyHTmhCIiEi7IJQR64n5FDQIwsI8Kws
iHqOVeWmyA676roRobfBLZ1/L7Rs2oNugigX17CTx8lb0O1vKXpL35hwshL8isw152xZmvorU9sn
K28I4gBbPSIH0EGD+jXn4whjbVXHlbRvhlYJI35tZtlyav6zK37/3wA+YBZzEPzdrpihkH1tf91J
l+/5yXnzvsAaAzMMTpyZEpvfT/+h4plfKDawk+sM0PCTebQ9/jQgGvYXlF/MsSEkU3Ubzl+2ReML
Gxhf7S7cNLazf2tfxPT0675Im5//0U50yPGw+KR8iL9OS5FT6jzW0txbuevivFdQPRZdv53JaTrk
UW3tIA8hoymHYXq3yta5In93IRho2nBblhIAeVspr7mTq6cMPwf6ndC4t3mxInYEu/Cj1nTOcd63
t1PaJ/fIyPJthrhoL5h0fC2r0MVt6KQHNM/EdLX1NwZH6Q5zISGXNObHhtl9Nb+pVaaskzCyGcCN
mX7H7Cs7eEVeHEPHyLfSaFfoJopTaZHA4OWh8JVUxAetb4d9kQgBqlixgQSQEHsQtayIbMwJBq7c
fFvlLmR+krbJibNH/YKwyDsjACcFeErUE20BpUfTZNQb6pN8i94reta8xDtrSnajjbY8hbp2P6sT
MwEbjWZRmx7udzrBPyii49UgiDVwCfPS1w0DlRsPWSbwJgdVrGkBRG5YKbdWrlbvA3v0xmgMDBFJ
w8Yry+yhNlO7Xo25mW4rMaY7r+06fzAH4avOpNEj1eVT6SbhdSfj4dIRDPWGzowAi0YalyjDymRM
aXO2DcD0WIQIwNT1ZFOHljyqo11/E1A1fEwBzqbqiQtzNCjCWgQ81syKfAd0Xl/VmSnfifVaQebH
owALVC+ivbnoxGSCjjZTy8JvrfAkskrsFRcebOaQul6X0Mfwq2zruie52wNJ36agXjsbB7mtEnCv
i1jcMC+f2d2wWh8YsIZLflYqjxXi8cdoSrwXpya7mLNQRUyUPdxV/VDfe6GZnGbarqehVdGhg+xK
nsLOhBkg1fzOhC68FfQ8vNWAwnVnjTmQ/Sw3jMs8Ockpisx5g4oyJ3KycunrJZXGRoZ9nLOz0V/Z
yGFuvIZnhS6bHa7T2czfcL9X59C28900SuNoM4jeispOXqTrJM91FWvI7CrrItA970boG2cUUMZR
H6xy18gyuu7Msr1PAdyvR9Hme6HIfVWEQ8jeaLlnva70l4KB9KmOzGyfMO7YpWluipXI2pxuU2xd
59Vw1OPB5HGsm52idgFdhe4VKQAg0mnMtECvQue1NobvVj2KfTRVPXgehv8lwv4NfXrXn5xCfzTM
7G0aDGL9lMjUXxy3uC97A2E9EdzbGfjzpYxtosvGOFQOloKeg8Ogq57jnp40dAy7fm3DJr1xoqxG
62wY3htRB/EWiAVJIXOSP7iJKrAbY7tRGRMf04ibOBgGx0cJywKNsCDusO2+UW73zarLtHvkmHt2
MPtQDvUWaQ0CPdsBqZ7kaXZhTpvfWmG+syfCSO1wLvZmJkq/rWQGasMzXrrSS/aOJcLNlAB0oeAl
SKUY09uqxWA9jwCHjIy22hxP5HxWVvaM1np8cOi+XipdlGtuKI2RJgY+Qkld3SikoMDdqI91g0hq
7Xkbq0vFNmwH9YQuKN/W+aUPw/5ZWabDmW1ol1SNjF2BI6Vd5wM1LhDt5s3oJj4JXo9BHZ1tqQ1j
QEqrJAiQ0ue5c3A+rCp1zpPV4EwlAsApup7bMtuSwD5zpposZ930o+2BPSQkIgqnQBYzbZm5lMR1
wcF4iCDDpCA76EjnnI1Z5uiKrryqga5d1dUJzg3AGk15TvWMeSYpqEZAPCuoNBs7iYc/Evh98gTH
TiWvpFUDzpX1SgchDm4hRh9ext7FEq69b8FxCNI6le6SdOSrO06xRojXvtqpM25TSr0btbUF5l1h
qOclLoy4NjEja3ZzO0Du6D167Bpnwm3iJ1iNyRWo7a+M1u0dO+IMo77tz21kQpemj3XVpnax7sgl
vhLSbG66NKxPKWLrRyVM8jO1QRWUxE1uNLL8/BkgTGC1tfHE+Ejf2USvBk3olpt4TPXvsxPJ00DT
/tU06mVzkbP5TEsseUAq3+cruH3YGlMvInQ1zhDkR8Na0cL4RtPofxLiZK1AHI93quTSF7E1+6QS
VkE76u7RNanEmAAAWcfHPPCgcSD3yJ9kWqxKBNuRIbdFMnaLUaR6yGW4TfD5wT4J55sM7HlQ9ViA
wKCo5NpKpTBXVjRu7Lrsz1of6QeibLKvQ61n/oDLE2sN223CK35saZfs0I5hU4Cs4b1ktp34ohjU
Z9go4Y6VCeNvp/uTbls3s0yVtwpv7aHqXGWDmaoFCl/ke8tUwg2sypYg78F9QLhE8Idaq3cxcSn8
Oickr3tS7I1BwXBupvpb0c7TmzpLln9GFjM2pNEEs2SQ6T7T8V3BYDqSrKvTei+aBIQNCl3MCout
USWsL0vUy1I9sPenaXQvyahHsyrrfFoXpGheatKxd2XMK70aKyejLdQ2tPac0K1/eE2V7fs81lcm
3I+rRCfZ3i3ETd8X2a6z5IvVWIBCS8JvyZcaJDm39gvGv1c1lD9wNby45XhbaDO1wTww+zNqsW8K
ZyLXKrnX66g6VLHj3MOL1h8zGopvQF7HJxSkL25f2IQF2gn23exQIb5U5QG0St13WyrqerZPHLUI
elnNOoaEIMEhZwaLDOBq1C0yr4ZRujd1V09YTu3wh0wmw6VmG7hxgAN1XELgcNdhqW7lxKlnK8i4
PCWYF8uXigWUs9diKSPpZFNjHxMHV8kaf5lE+xzysqMWTcDqm8R5sSar/kpLP0pvQiZXRye2tOZe
xnMcbvM5y2kQjO0wY3KIOit9J4yqVR4slOMWPNY+hHauJFmJlDYx/EJRpy0q4GLT2+0TnMkBlW6U
+yq1P9BL82lU9GFnJ2CVJtHJM185brzc4TiZx4ekMa+kR04UVqXSWmURu4ziwPzlLPJQzCQ1xPR9
D+wgyl2sJNEVEFFtjcl4OlPL1ueGu3mYO6q1OBlezcybDg3oJTTNitxqxQjZSC7HLWMmH5IIkuaY
JKR8Yv2xJwJ7wg47FuZuCBn4CCAn41c0L2ImzjmtlWg/m9huZBiGh0boyaFToytby0lgdrTqCsJp
50+RU3+Vho1vYbSmbVL3yQZ/oQe3TaW4TnJYOqEJ36eMceh1uBLWmIrdnaS1wvRbF1tLDdUfpsRi
t64w5o/kdSJoe7fdwnafyD9assKl+ZEcHtbmMtdDLrWkin+UJv9pbf5NaxNqIVXXvy7i1mVeNq/v
v4Qg/vE9/+ht6vQ2OYjw+NgaXUnqu5+9zaXtSdUE0gKnKu8wTe4/izgyEJfpFlpCmt/Iyf7a27S/
MGDWPUYWaDkgQnj/TnPzYyr93wMsS0UiCEbb8xxkgJRYn2cTKqsEruhZOdKmqPHm0y1yJ/nc9J5Z
NIdUhUhSrzKKyTjdciwC9XtleDnAvwisiOWQIEOwXhUdTC90M+NUKDqCzImcPXpJBMAQxZy0W5ml
3RhuM5zeSXKFRZ8QLsgwWYqSIqwZf5gMOjmaz3TvJJDB+AphkzXNGRAxSGIxZ5e1gge4EAfmgWR7
ZcawWFRBq/bqi140yARLGyzCdJfWtHkM3JHMvi4sTTL2rpOko3kGpQsMDDHpYm3JgrlXLpGeQ36c
gN7iaitJl/rPW/O/an1AJ10mNv/6tXlMmigpktf/c/32lrzzM1/zv7ZB/vz+P18hx/ni6JDpQZJq
RGHyMv3jFXL1L7bFuwAK/x/vyc9XSP2CYG0ZzoKIx1q+KOx/jgecL3TzbXD4KNnMD3zTp9jQ38WI
Iif+tQ+yqEo4JfG00whBAftZZBxNOJ2LNIr3rXDksXQLMgMLvWqPBqxnPzexUa8yaWi3raasJsGQ
XmUhJ2VEG3ZZ3CiknITSIRrRa+5IK6TzbuTeY+J2+Tb2lGhl4JstjyWt1o3keJzhloitfYshqdnI
VIbzGs/0ALHZtQjjM+ni+b03Zb5F0b+jdjsUuBcJsJwiSE3CjR7IcoHd2SNkWKPLffYGhOct7kU6
4e30gLwNkiQG8k3SK7jMMV1doqHUDhRZnGbHol1wn5jKlvSl+taa6oRo+Jn2eKM6RN+UyiUJqxTI
95gOO5gA5Wke0E2MraE+QTfrj6mhTvdhNRkbaGnxDbF+tCnwwC/G1iJrA11wEE20NN+wCBKfEg+T
uItiCzynMVbrtOWfHbXWjsTpPJQZR4MIa+3JNSdI53m3VnBsY18pmQbAsOnusip1bsJSMy6haajs
tnZjaiSCSv5iLBe4ZWXorSBqmdTAvbay8X34fObMp8ok2qj0xEonrGkVjsaTzLJqx7H+yjEnfYuw
+xr4IcYsfVLN3HdQla9NizK7IJHOvOqUpg9XLWZB+vtzt8JgsPMQwD+Y7ZTSW05mLVB6bLVmOuHN
atrC4n5Y8mp29V2Xqi9Jqlu+5G8JsrB7DPHUHbyheZigv+K2VIuvSOemgxZXxBvh+/atbAoirbP8
PI2i29ZkpfN78EEnNxX1OS/gAXKVcTuTb1Pa15Fs7ZvMUEJfiZ3+hXO/fsG1lAaYOseraa6+dzrE
o1Wx+F7DOokWH2B7GEFqNaltrBnAjVe5nYWrnAaWLwslvGhG9xy1JcVd52T72CbA4Dh0QO0vIy6D
+hXybfuVQkz+SHAfXWwcstT4tXGXATlBOFnIK6yJtb3uesElGyrRnKSufmU4Js9KpSuBPqjfGVB/
dYYBRIGwinrfp3TT8wQCJMQirfVxktL/jwgGmhVZrtM+zAO7DnO5ZgQuxU41pZVuQrsschRBw/A1
Jqxd9bWJ/n/QKjW4VSAgGkmqkx6w0QEHAX6qXvpywfAT1HJV1cwfgYhN4aWv9BtGRy9z672oDZMZ
3EZBg2mRSE8Ot0SyO3HdMIngiVEj3X6yQvc+Cqvvqi7hkyPhroIGGcPOyvvevY5zKMOF50K84IC7
i1hzbvkJ0YquR3xuoT26uEX3eK0FAgvbjMe1jNpBP7VeO0dbNxybaC2b6kWgZ5K3TTc5fKR2kyoy
vOmxQpCekFHZ90bvt709EvjtbSfTiPcZ2VD1RZ91V+xkqAn6BnJKj5mhplmQtFWRQ0worVML0TJw
jDJGGBJqQV1xyLYdZARaxbkUvR3il24+FqqjQBduY/b+nBQLW4dhEU4Eo6nTsGGel6wIzsyeEUwD
XU/r4egmzsYsOrGqwkmTK7c1EfY3qXWJS5EFlZ31K3sAju72mcnMVdSHNDNwDkjJaAW93LrXRHQa
emvgCgAsuK+Bre2tzm1Oo9opj0PkM5E6EkwZ+SJv6eWiu3IDguPFJq2O9jQ+6+FI0G7T6nuoPHNg
8VXH3FLLk5YbZMJS79JYrgHoqb4lOaLtM7t3Wama+mJ4jXHvWnBo0Xy6PoUT+lXcbtM2VMISdGye
ZS9zSpYu0T3D0SJYZMUC8TUnoowQVBmPK2RpzQZwEcT1uT/nczT9oPQC2NnDf4FFjUGesB5JQGn7
ZoZ27dsOJshVbC+pnroq96GYsEKDE0ZdIr+ysdgbYKT9rphr2oWg2RSsP9UwYDZFxPamF+w2AYPN
9spcpkx9pN1FCPt2yKrUY6I61bop3HRLtpJYxXOzaysXxjAbLCZIchFAgADXbQp1r06ORjRtFu/t
AdawjWyKRuegrtixiQqAykmYp+Ydx8JJglHPb6EsIBBuI2e7SIVcprHJUtbKcjUBAF6JirV3oL3i
oyytGXppAok/TUNfHY2bRivXSjnquMZ5RU9xFSXnRIU8kuUVDYcZVzbtfO2ANyLcDLI+jkLUgILH
llFEA3FBVEOQErp7RQwAGQnSjPfN7H2DEE7v02reay+SgcyGb0JARFa1iQhdyXajNfHebdoIzFe+
0Djcc6+Ft11bGGdD6KgCZG9d0PeJTaO052hKb6XaKpchTm/IoHAP1Mk6b2N+jhwxb0Y789gaE3SY
K7tvbejWLYlccF4QGvYQdBtznB7MDAovFtzBvK1JiLUJRe4meZpaNSoDnZ2zWenJCE63Uw0U1isT
W7Aa2IU7q0Ecoou7E4nqKc94YEYoSgiCZz+x0JTSXy2Yr9P9zeE5O52mTbvKSu6sj8jj+SP+uM1y
89wDguaxsjTaM7RdypVK8PH36SNBmS5Vfa3j+ogJh27mJ6OS45OA8XBwlhRmWZPHXE/K8AHJGu21
NmX9QbWzgaU/L7gGfdztpiXXWUNUv1u4Aq/kTUL0WPKfe3hwQIh0UqHdWSYHgBqtj4MgALc4MAlf
UqR1qWzbjmTpFmzQZnBrPOwfwdOiYHnFKM4FyiaUv7EaRY/mFDLKTwXWXuLVFqEDbrDkI9xanS0J
u0FqA3BlYx6WqEHj2FRSxEGnNxVQdX2Snst4qVfhILC3rdwppsXbOjJZ0R2JDxMYABqKbtvLvRpP
8pjHmbJX6iWXm2qenjPuQ+9ag3dO2dLNdcLQHsxK6Xpz48eGtIn6qNUXANSx5o+pmlLINPVt6qUD
Qg90Wqj3PGvbgqHbNAhed/NHnji8pJ5s8alxlvxHIseZAXt+uMSQw8MQ1irn5j/PJJ5v7NZCihDK
GlZ6R4y5SywuoxqG2S2m6R2ElYGsdDD9gTEq4mwiVSVxU3FqHGGMKvfmkpoeLvnpaBAJmoyQImeb
6iNivc06FYt11z2zeM+BwUU6lp72zVxacZNjqWLFHSUSOM9UmtteAy176GQ6rRpp6euus+dqTaSo
uC5wNWlrO4tl0FnxqbKGauMN5MUP0kF78REiXxBgc2k/ouVbq8i3ZoF2A0i/cXAlvTU/RwPxTjI6
2GXO3A/6klYfmjFN6wT+xlWrcjTzw0iLvJNAobTWJ+e5W4KApyUS2I4IB86XmGB9tNR9Q6hLs2bG
aL8ssACsCS68/cRwWAcAtpxIYJq+68zS1x0M/VfW0+SQDIpGboFpPwN4aSd47MKBW0woh+vTsdVp
osFPn4rOuJVaaQSWTa+ynJwsyMzE23qjkAHRJf0RIMpwZtQ43LYOzSJUeOM6RbNDqGIVv06YT+i6
l6W50ZKygxGmVU0A+Ij8uJKukYG9JCDmzt7oPbJHvODjVdUm8xkKTXVXYThHIuDAACg7rb0H6ZI/
RxopSuTCpN6BhnZ4SJjTHjCR1BuMi/VRheRwMeiuEXBUlXt9VvkFGAVXmmNWAaJojbM/AYoWMdRr
QqtjUkdyUWwGu7K2aa4U+1HlLF7hu74vm9zYKLR0O4Aq10nUYOZIRX9OMU4fWSR6nxeQl8XpdQ4s
rHxG1gCYUeoqyERKlCB4eaK7+6lelaLlXW/M9IgOOQwQY9UcoMipjDPbmklzjYcgqaX9o+/IY7cF
SPw1xpPxRKL9aGyGxiz/EAn/p3f2d70zNAa/awJAUyq+v3UJzPm/Fv8s23zbz9pf+7KI+2A6op9d
umdU8X+2zxyDtoBFODTyP1OjyEe297P2p+eGtV5HMfVT6PCz9jfVL8gfbNitlvUhKfz3ok0+uW35
JdiKPUwOpLSxdKmfLQ4WC4pHk77fETeiQVFM6EmDuKD06Z6JWv7mYtVYVeXcBYUcvTXZOu1qHKfs
4GpZtVY7997t3ewATSo7jTK/6l2T1VuxGek2xipXFQYXKcKmSZpIiZjdoQ4Uqs+kwaAvVnubylMQ
LdgSO7GnXyoaYj5aPJA6ppsFWu2Mq0jjd9Jw7tcptpu1ymzGB7T63OcewxNSMuqqXKLS02+2Uql+
LvjyTGOWgFSw2Vd986y5cYUHuDdWKS94IELnEXvdbWpo33qSVPne6jkvkx+0n0nhKp1kjQ/9osXo
EvWCv8euxi5Qm/rZ1lIPWJpToJLizysijiCjKFS/V5x9Q7ZqVECLAM5erXsvDFgasdil2Q+crKRf
2FxKmCKtr9b80LznEphkhPEncBlUdy+StvXDhq9iiaMSqEzmpCE+IwlFZpeaRNiRwZr7dm3zr5l5
WSIKguU7U5NMp8STJG3pyxB64hJUudEFVqfNl6jMLx5hyQGVAPcECgEn95qPPxh6IGs+kEFh4iMs
fiBjmnktTEWfScaPqahLFPyNvqboYfyWTajPECa/hbmicR28e5yWXWAUOcgzIJvoHoHemZ3rwojq
kXykXnsfumFGWB9KAizP86aa1Xk3uFw9o+WXDpazp2V0//GQJPXEjN6sW79yeA60ybiIniqyUb37
ARXJWs/4P/a5S5/woaI0M/dM2en6Qqrxy0hwYvM6HbHb8hR1fK3qOeek1VCMla0e0NxI8TjYI5eJ
Bws1KpRXyzrzPP+A8sLREFXuKh+Sb+CFufcz/5WGeE56TSn8oXPBxgL4ofDgKrUaFZLuVPNJrVtv
DcTk+eN+CzJWwajyWHUDfy/wOW9BunDra7rG0nbzg6pFP3jJearpCeOy4+l0HR6VcnkX0OBND3nM
f8Lw+WZofBDePAaRhOecJZeLWud+mrnzQ817QvRLeBjwT5xixvnQbdtnB/42FEruMGf5dOXyNn5c
jKLipRgUvpTYhW+CqMUgVJ36AAHXCsyQhzbP2vAwIcS4FW1arVGjkwlPTuXaACK1AbunB01Gl0E0
JpdUJSV7iOL26LbKuEWeBCiuDhOCv2Y9yBxeSmQWRHGQG4Gch6eMwC+MhkV2cnVeVENlIXB7pmDM
8/KACv0HPZbk0sfW+eP1Mqh/d6om9WCkzUWGOhljnKg5uwML8k3KxkMUq8V2ZP634Ll4DTO8JB/3
FivJQqopruye5IlI4xEoaHisjYFr8/GUz042b6A1eVtG7lkwQcXaoIzNfdB4hLkvD8DyhPOKXxJz
LrbGxDLm9bzf5uzNu4/b3EnOnV3DY4Quqwv6VAtfoU8rO+v/s3dey40kV7d+Fb1AKcpkuVt4gKAB
ms1u8qaCplneu6x6+vMleuYXmxpNh861QhGjHkMCZTJz77WXibhUjGEYsfaGtgt8i93Ljl8YevII
jJQUZL6fT2DZWsc6fZlbnb80CyM4AL8UxNnq8saW9tYbkxcMAxlIuGNxDFIzXTNcRA4w6wATNuu0
hDV7nOihN67DS1bkVnHUWqKYycZhJ05ySHxsDsYMmUSKLc4kLdNIyS8zxmEpWstZunRdK1yr2kVt
ts1+dFAcu+RUr2Sc6+RW2tZaw4l/6YLLrYORR3exVAt68xQhqsJ7qCACp2MzoagcluRe4lsw8BVw
+2UVYVm3Y27BX9zM+rk3mb4015dFO8TOAA9Hu+d3R3d2wyvR2OJkTioMNNBI8IDbwrEz8jLVsoJE
GvP8yoxgkFovjtIR8qZ303eGOdyaiRVwudeOb6erNOdX9gbPlao6XRMh0640z2YLVOQETBeCO5NR
+Ao3lwzQqX6vXf5x3ieY1kL9DWP2E6Fl8cZomlcEtfa6wMt8WdbuQ14Sd5xq0Z029jeu0p1aBHAe
plgSuadlbWYQgEgLi38AoX0klJA9N2fzU2pnOQgQFYGzBiqnecOTMnkxk1ICPSU+AZq6eW+HabbC
EaFKrqew7anBdR6hpQchOemhQTuf6JBnozLu7qJQ4LaCnXEGjQ1nLojpEx3MGmJt066hmlS0IHWt
Haqgf9a6snwjCvZVxHrZL0JLpu9ebWmEJAAjz+2S7X/cdUVTbvw8xckSm+7aWtIVs+YTQahPyFG0
Mg0vuMaHbtY2mYXf1E1qRp4LaVi0+Q6HwU77jsHrsIxIds2OQeRbtKoNAOuynlIyxe0BA+11SACg
di56ygdcNu8/lGJ3PyeAH21EKLk+6PoudQ2KPiYbKKMcKFDUXR+5nZmvmbMoGxJj4okJ/hy9xymH
i1V493i60o8zClyK+LcGQr/Kk/74XAHLycQ8xf03swV/EiZ+f1W/M8bLZscatOL0jSRsNJtV+v73
V/lvkxsXcT1SI3i0ho/O45MMeh5DTSB46HfZxAuiKgE/hUQYQlpbXT7pf03Ab5oAPJQ8DDX+8yjw
+rmZsufi7WML8McP/dkDkFwtXF5DB7kPwPkHHrTr/xOaM24atsovNNSY/I8WwPLpDqg2ENw5SuWu
Irf/Nf5j5s3Bj84AvhJpAP/NBP3zC0uFxpuKnI73B4+MS4PwwYmEHPWkyUkH2LG72zPhrQLjSBlO
X3NDDsswtO3/StHOjJ65JS0P8j2+OfucWrkfPrBD9tux4Uw7KZPmBE10AGwe4+2Hh/AX6/+T5kl9
CrGNTFsVr9v4N+l2ZyOzq+1I7sBP4+1oyvqUls2wjFVzj3EwEbKwqlaiTrRzO7q/C0tBpPVpA1JN
H/JEPD49QhowZvv1MvseK4phcjtSspxMbuQYzWQcRvoOs08PSlTUHGQim3Y7BW5OxmNgBdChq5gK
sMX44EvpoYZZlIE3XbejijFl388W3jymYIa4WS8wgoTZbYHuED5cwRVc2Ew/CYDwpumdGjI9W4mX
rmasPHeRsKFWYTl2yB27/h5QaG8JisJYogoNdCjoaPEhgYtEvVVL455WtrppRoipphzkXWf11JhO
Wz0TOx3rgGzD9B61XNFQZMMDOWzTtk0uNQXipyaIgb3G0iwgEenlE6Yu1aMR6vzgKGP/2Nbq8Hec
4OwPqNZXA9B6uedWoVgBs+FnAw8V29YMsZte6K4q3OfYvJ9KNnBXwjO067k4YubUZHQzZrao3Lg5
lXiDhND1gGlRJnmLFvLm9WzJeEcQxrgiLKE5YIJbn9q8Cw5zD2XTqY1sf6lWGfkND7BFhoc6mZ0v
PB1zPbfo3QrTzpY9/LbXCTO3ZejSVMRjMREWFJSPPVEHFf1noe+ckaIQeXCAtWXhQ6TS4h0F//SO
v870FUen6eukN+03h8CsI4FEYl+HnXHfZ3P7Leko7mRZwvTMPe6In8B8J5WTWn3hUOrB3mbA1lZE
JY4Y+ayZ3aTnyomUFXnoLBOzbJil8LehMgWnLzLncKdJzp5C9PWrREz21dM6Kqq4z/Yl1ffN5Fbk
+/UJBuytVTTENjrQsquWjqebqZ1cpkRbKKDpOaRc3TheVN8IHZAtw13xB8gnVU3XpZs80wltHozy
CaLj8BAQR37t1wO/ylK5iIwXFobkiv1Rg0CeqsWu1fbtpZ0XqHnWjExpqX1GYkOa8ioOyOF+YJI4
4R1rittQ8CQoJr0FwQjM2DRSyFZZ1XNf07B6djNKJjmSOrrqiIcvVmUUBGdHD+pX29fn62KMpq/m
SL5ygQUyBOE63Whp0SHpcoz7WMQjAad0aYbGvW1DnqNylF9fXtEM8d+PqeHq50vjW888CeGU01YY
vP+o/apHiq7gkBHkPGrUaVHc5EzT37EG1Qe8GHLsedogN/dRaz/pZOQxmwv6hxCnwAg4Oo23pl4S
NSWyJ0z9hx+dcKubKrF5KaU5oJDiQTGV7DZQ46pbWMXi1mdKcNvjmXxfMM587JFwPmG5yduq2pnG
DMonC+oRFAXN/iK9CU6QRmrsEoS8fA49t0UdiagD2NpPV5eL8yIWQVu22lni6thR9CfzNXlz7beq
1dLzBKBK86liOo2O/kRmSb50Rj3edZhqG4QZyHhry7h5rTIMFXlr0x4yJNjOdyT6/jFhrGatHdOq
bzrHDD3zm5f6Ruo8DiXq+de46cVjzCA4DXeQ8AsGGd2sFWsqq5EBESM/+zDCIBZnS82QajVNMohE
gS/VR7gNq8SBGvLphveQEVSHOhb4GfL4hjnxDXb98BB5w6jj07tOzbEwKz5rdn9D5m2+8SLXPs2N
zd7pSgu+ZfglsIObnKIXiQmLCMfpaI+T0NeWWee6zwJGamJ6iT1QbTH0b2lkovoowlfwLWbJJF4u
CqOvjmU+jOvMHhByBmH3hoK+XocxSaZqmpeNjXGQasJnMOxYZq4drkI1/xNqEqj5FQmzzRwcnMQ7
aClprHFWF5jG+UG9x9g/g+IuxbLWQ3uRx+lADHCWvYfV3NEj2IW77Vsx4Z1anAGxY8gomn9F/kl1
3TrJuHEiFmyd5MZVPAWIWHwPIqiafEIEZwaqpqG5movSz3nrctTMZWWRcjiQfLON1DQVApp+Ndqx
v+sZtVpq5uqo6atxGcSa3PvX9jKeZSbEqDa/jG3DrGPKWjEcd4zxqVDT3b41yV5QE9+QXMgVdYGT
coQxEZ4YDVvl2G/Dy7iYA9zbDJcZsgkOl+DUdrbUgBnn33aDvpSpMxOqBP6QfPJsEI/RSuVVgfRU
xcGlj/5ldu1IZ9r6JLCMoHtAN74ac0OZsagQrfpEdeZt4FQwD68us/GJTYQUybQCgEMoXF4LNUgf
1UidObW5N2UFpBFFrKoWVSk+GUXJGzh1BummTiO/zqNFVjJjAFItit2YYZijlQejcebnSg31zSmf
76ukKkM0sD6eMraPn3gw3cWKETAw3TrA8RdLB8NxXneYA3ik44SI9+PJVbyC8kIxCDHxWOiVt6kx
UV5rPoGSo6IjwPRKvrtOGOMFBVlBKNoC+QXapo6yctGH+SkzNM7yWB/3cYwZ1oLmfRVqof+QeaGx
zWLeeEdRJLxBBmsfou817s8iJsdTO+M2490Y9TwdJhTWyGBsPxLr2mGoKmAuR5C7jr7sTDIgxrHB
ngNLzVWOiep1hZB1X0U5utwYbs1VRu7fY5+4k1i49ohUyRyz9iqa0G8B+Cb6jwoFW7YiSsSRKz3R
hz2GlD4aC63Z0tzbj2PWx8RKp3FyFF3YvuZWgjbKaMUAH9MosAh69HFj3o0RJr0L9FotLbrEjgti
+PBSJgziu2xUdUFVn6TsFMA64IHlDXl8pcmM2L1gchN3wVpnxm4NzdGv21IsG9m2GdNWO97Jwgva
ZRKX9u2EEfhujorqxaw8rV3C6oSyrjHavJRIRCRxDmWEWCd2WxyxrrLZnKvuDR0bjPxwNMt0o6ct
SCtW+NN7kQF9VXA8z4TpKR5FSpngBsyxVhf8x43ifAniYt/OcaydtbKquFycijZ9GiPsDXXPXuYU
edFKOLJ6kVU/V2uIGPWNMXM6QyKrDz+LrzpGy5cYU/sG3ywB3LQxJ1tgNZXh4T9BI6IMdb7ItKYs
UwVjsTYHcMAkMrM9UXPFEYH9vBN6O64AF9mMmwQ0JK/MOoBK0nK4+3lJxx/6uJTByroNcyqNwnaq
m3C+fAu//m5pmCgvCKdVm/KcT+9Ykips26U88evauGMbLN4ArMthpYWAR4gX2SpDNqLFBZaclIwr
MrT+IYp1np1Ra16x1OFTbUP8S64YaHD9/TCuwpCzvKTYeqxa0qTbSZW/TEMe3U5mexOt08IKhXHv
5XJ69yaMjiDUIFJKYn9hxCOp65MdqKzWysr2qenXp7/vYfB5+BXE+Dk4YkLjwktgrqR6tw+tUl9a
ZV4ldbcTMdX2Es8V+9Z1ALjDDtB3EhRhmKJW6y7EBM3FgmydQGzazV35FJJJeSaquT6g6ZuusGeu
v/e9ELdDbMqvI1Xu5jdflob0F8RFfVkPhrjK+mOY9fnLQtRO3UGz2p0GiW0xMJf+QjqUjew+iW41
0mdWbP88VGPgLUs7kBeds+GQFrJ8TiqFVQoKj7//Upfx1Qd6OI0XVowMt9SXwkXrc7MZ9jXPJQ7b
HW7zAFlYaAcAa319nEdt2DZNH63YDuf1ZFls9kFP1ZJUNIxupJaGGNJzMor6YGXODJ/MLt+wPIOX
ja/C2u/qmTyhpqwXdYes/++/+SeXKNUmG+A6rkmv7JIYqQaHH599YxIJgktmtws1sz4EPs0frRCK
szqpm1OmqtnZQrM5sCif2qnxVsVYsND6zv5tM/sXX8ZleAl4QVMNWfiznY3da1aFOoqoMAyylqhI
0W/VuT/BQSXzvIqLcUX2lfuOkduwiwnY2RC19+wl1bexCJHb2ZRLGpS2VQ9p83poTPE4VFVxHc8o
d3Q9t55MkUbyugqrYrhqosgj0QvIXgfd2sSSBZ2zlTAHj+1b3UDp1sicejXL/SMF5LwppDVdCUQy
q6buRyZB7DCm6LUzgYbOF812p3d4w7qtxnlCY/LEHusIh7p3LLN937OB4X9AzU6zDCgepvxHM9L1
Ao+KnJ34UqsTe1yfCnym2FN8VbanFPQ+BloLocfOF2Gl1dqUQXWTYvyKFpe89cEAcgiHaHjAHh9e
k2+b2VNj9alz6DIIEUdyiEJuUoxiXJOoNqGtppG+xJKVEdvOIlvKapY23hutWHFBqFfLQODoUVvo
wFyyBMJ9SkmzCmb1DwIK+mClwzohyyDGbHdASueZV7DI2zfAdwkxBSDy3OgRxivwX7jisPDLtWQT
JheTiOutKw19oU0U+bTT+o7umy2Woe43HRmrGlHYy9bWSqLUoWVdy0ZxGSNRvUxJn26auIu3/UB1
pacjq2PuaCggq/QPXZw9uQ394yyN6tGDehavmikeaCq5d346evFhnrn5HDrauUlMa29wcJxSa4i3
Qcpsa+nhLbfvbK98lpNWPovJwJTMzEwTfJ3nacGRvKMT9Y5TjX1JP9L0O1nRfityehkpDWuvS3bG
TsEPmEkrl5YODowggHZYTNnYb4w5RA7XJnQthcv8LYzdU241/cNlCAXnpHy22ybe6oIOqzLonomF
nzkBOoSY38wEQKmus+qmc3GaQvbKzkZGD6gzls7QA4XoXChoM2tEKZ9gSBr8S0g09SuyMe6K0oq2
dIcLm4nTrog4E0nvA5UzR44cUsM4Qi8jVntiOpXlZv19hGp4NEZglraK/GMIa+YQI3M+OiE3ruEA
3aJEtAkAKoYHpJq09+MUbz2FAOGHV93kKfgQSkkQgrGY3z1W6byOvblCTomuULrVS9d3tNu6Hd4a
ahqejxEcOHJBlgUmvqfLt5bCB8QiVY0Xo8zUM0DhsjfUUpXqrNHJE1xVgCVPCDf7jWxgvZAMzAQS
OwSQEdW8xpJoe0j3oj7pRcOTKRNKkctZXBUEvCusZ4LK6/GqUvSC61iMUAFWubrMna7mEMsgOYCu
XV5DUwLB8HrX+k722nQtQhAPixTi0wXxIdoSOc2oTO9INMTSlS6YPPt4l0F9XGY4+x77wLGXF3iA
ARW3QdR0tgCO3HoF5M2xN21SxPNER0Tv+DdP1zPLDXUh8sRgMUqwMI/x4VqvZHquK4F4mALYp0+h
JOtLV97V/QA4RzjijNednkHY5YrQApuAODNLsPRHILjAiYD/EFUu8ekt1wQCAWcA3I3rAgEx2Vu5
fWvCDvpCwaPjGQEP81uXNCCCs0hrGHMCoMzuxvo1TEBcWp0BM5MscBuSF/fYCqq+UbCt0dEHsPNB
ajSP2sLjuGmWBWmexSI3AXtqDGDWcBHj7QW/uRzYMgW7LcpI7DVd+6Gj5aZcdjUeX5ZTLNWtnm5+
vprkXmwYEGb7ooRwqhtZcYS4wRyZqcrR69r6O7TAeYekGUytV3DimFvR7SDotJah3rG5a2b7VmZ+
+SQJqkWuUfvH0WWfLUc0yYvIrptXvVAT1jTtjfVFIo3uEagiYU2r97lu1DbcBmV7xZAORNKPXWre
tOHHOdCJgbMo+CKFelMjqVOABu3J8HglxNy3b30dlM9kloW3LhpVBoPq/YHotqPVAYx0uJxAoV+X
8tbzQUjDtEjP+UhoGzay7EiQeu4vZwPzzubQw/C/ZV6vcCdA1EGzxS1unTZHxeh70CYoiZiZmfeX
KbyfM1RzSiphQTu8jJzEuK8cq0XPzYNEYZTtp0wvjrPFDNk2KWJz9QyIJ6ge23aEP0LOKsX5aJhr
U4TDwzRSJpMO5R31MjPvtbxgs2Uf+17CDHyMnCw4gF8gZFCQIP6cYu+ZVXAIi2hcJZISpGU3gbyg
tekmxJBqU5eSQqmj2clZ2FuoyaCgJX77y0kfyqfM1ACoRzBj8khpFToKZ8vBmssEXMYnWL08l21W
utwNkKPpqilF+I2ufkIhbuaqn2glKFRjybsG0OZr5VK1I2YGshiwcr51dba3aGAdpT40SB1DRHo8
huKVpgdnOYKXmZnM4z3pHfVhrDJARLVVosVS5AYrvUW5kvIoY6V514hrqn3OB8yKQKfnBnS6wLbg
Gts/496q3f6HWwRy2/HVMT9JWbixT09UZWX10uYNJUfdztmegD2amCqObk2SDYbB5q7NrmbtTS9i
qZAFNYKA6HRDyAi/U5UkAtbHRKB9ppc+dQtEJ0gRZPFh6kE5AT+eanYakPn2PPDJS+fr1ARSv/zt
ZWESucgRQzpk82qPnKnQosW+wM71TpratMmjJN6WmJWvIdTWh9C12WQwug5vReXONs7gMTwRZ6Yj
w5phI9v0vRdz6ayjlgb2AhS7bfUkoIueR1UFTLhMDKvKxEQOIIErHvduhoCq98TjTN7ZalaTmA5A
ZQ2LhQ9Ly947dEFXLi6l8/9Glb8ZVfqGxfz3P08qf1ofduU/3n78gxOxz1/i549Ty58//+fQEpku
vS7SROUx9nM0+SdxEfmhAauR8R2eoEre+6+ppYe4VyCxRdFDMpDr8K/+nFp6/2TGSLIHykVaMgSR
/83U8tL+/NrYAecK0oJNgTDZUlf+sT2ajCI1sJnRd4TsYir3nmFxzHrZAxaoRmjHmOrQolH3g/67
kWqLxGp/06EpVuenhpfJrYMomvQKVJiX7v1Dd17aSiNDV7Erm0m/CcT3ya+O7ZByKrPrm9hkd3W/
8iuUECILrqsqRIJsimI9mo8CdtwcQUnSwmt91hZx6W06ZDCVa9zUyu6Ngd0CQshKGziv9OpVFQ9E
lC76Ak/s9CmhrFB/nIRYYK/+tZ0JKkNM1WrryfZ3ouxoZ8PUOULSKqbFrHfQPbSmtcC1U7zarOKB
PWPR8E7sJKYaOaMzYVpXYT9i6pfMOLq3Sv3MpuVp17adUCJ0VsuResR74JRFRU/ToBojvzs5/qNh
aWuEMM9Ys8CvTAxo/hYkeJdAOH+hR9G6L7PVIPNl06dnqeHqWI/NOm3z9dBVT3gk6FvUPndh615B
8nyZw37ZJemydsZsS5fjLcauyxZWUbzmUujblFT0xaSPr4UAOnf69oioE4EA1uGV0/JhVJOpBb6U
hD+n1//bXH6zuRiWo4Is/vPusnsen+OP28kfP/HHfmLYgvXPloHBvGWTqgie8aePgKP/0xRM6aHN
IELWLUbpf7AgTPOf2K/jlk0VD3qDidz/7ScGWw1xEBBtSMxQ3qr/FRHa/nUx0/egs8CoxjGZUTFd
vmikPyxmau5sTggY/dK2VdUvqjkH3oNTSD8zK5ihEmFzgh3NmMulHIuiVDuD+NFdCY2zPIsp6bNW
UinrRHSsNAd7Ml/DkkcyJWx1nd/jaCFQgjaU8V3SwAXCfsu29mVE2dQLmJUV5OKjqQHlRT6VYkyG
0LY0mePPiTXvfAxrFgrW/FHMGnaskRjFrSapKGSRYXgUUYo9k649PZMjPsUQtbhtdC8DTVCTNvMG
9UN9sCcamd6MkmdywqY7LZ0gfRMJ+Tg1KEPYq1J3aUHg+jE0obEwq0xgS6UbpzByTkanxfGCQEDz
a28xvvrNfnqhZP1rS788AsdB7Q4TBSoT0YO/buk5mTKJFrTOl7mx/L1t9fa6MmWDLryUsKfQ0CnD
UTP373DMNI+4syn+guOVkOZSHdu+CO9v17XLvT/3w/Uc2NGN2YuS6VuqfSMqtz1HypzcjpPkurc7
A4ucqMsesizwtmFEddy3Vnnrec3XDu/PnV2NRwxfzHszMgEE/bekxjPuwxq5+3l1H2lq/qdwHs5X
xRJDfg+6Ruv42b+ios8MAfMxuy/z4JGBjLwLsWr9bphC3mkEmBFbbTV7QqDgnUZFbi5ykmw3LdxY
+PZSf6lS1eb69ihvQ0IKD2MJeSSY+FNtmeYPMoSNKyDE8TbqHfi5uDjd2V7wEAppMg2LswdSHWkq
0kzfAeMV20hrtG06WM5qKptuPes577TV6cOVPltvQDnHsTGNXQcaumP0g7W2CKxVDIV6LW36eb3y
o40dP2aVT8KiKMfXOIJvl3XW+Fo1gbV3p6zZNZCzF0EUDctq6DddPMozizK9AUFmMbVpvEutNz2P
k4YYgsZpVynM/StcMXKMED3Zr2ImqovSTfytPkMFN2OosG5RyDNhlIjxyQBLrvPIqimNM/Pb1BXV
Dy+r8wbSe9M6mAX7NRM31yCrsW13vqziK1K69OuAouLOK4zh2k5rLs60YImv62hOdlMDlXuJaY55
1uJO3raoDY8W2d0b8nbgtNtqbWrpDGd9bL+JqK1ffIIsjkI0/lLHVvA3GVKf9iwbhhPeDwZVmGFR
WJm+QuQ/7FmKHxOEg6udIzCkU+cTcqPhg/CAWT7NsYukghkg705Tzq+j6c3LlkN9AgKcojfGjvKm
cuj3606vv7kQDFZZlOlbXES+S9XC1Hg1fMUuEvbt0NjZIhmsYpvx7I8lyCHFDThRi1MXzOnSPEu9
SRngTVzqdEFbFAGa7WrawHcy1YZapofGrjoDTYJmrnGPwjwvgV10A6N8Pl1eW2YdpJvGwDhNDavZ
qMrgneZR/+5pefvNTwDZCm2uYfTHUJ1zhogRSsoifin0dFuXDdYoUOX7aGH1vbMViGjddepF3q2n
1+Xvguo+zxa4/RbnDmA4NqY2GVtqaX+4/WMNfZeOMDijq3S0VWe4xmJqau1LMvtcgZGYOszbVrtP
wDmJRpWVXwGYFpHcemQJTQuLNdgvzKwODh5kkud0cJpp4dcj1oSV0QSPmD5zMeRFGPs67rXfTGz+
6gKo6fha2J1YaJE+vT/FnLaNEYXumelGt5aJIW/qKgw3tRNkwEgF+0yALO/ONtVIDts3bY1eocJL
TLevjBETL9YeOg5zKp8t6RpHh2zrQ2RWfbCpMy+4z9waICwqQgq4v983L+fxvw4L9e7DwBcYlhDd
4ase4NPNzxsleB3tc9nbwPRj2wbvvM2Bt0OIkT0YM91rIlt5m+FUvu1yjyswi8LZe1U8HMocDv3o
m80+s8cGB+Zau++c3N/6o+jQm9R9AQzQxkfX5PrHnLz6RdeO7TtRvhWPKBYvbTAij51nb8Bfa5Z3
vRjTYusiOYIuDZokzYZtqO+Db2ZkJDucQb0DUYCQmTwU7VnLjKTKIvkITDdvm3EI9vEUNeu5cAtv
CY1F/iDXif0K93UNBL4yjTUYPy59ZfpiEMzXkjFbL5g5VPtMDMEjgHWzpyaQd0ItvQDjlbcm0CJM
wFP+YV+kkN5kY55RexDikCfAZL5ZR286A/lNgubqkTdv+IE5pdpB1K1J4Db1cTFfC1qUGGYPO18V
N3AcyAq612n1aRrQIn138wTCRo5nWhjJPZF5TL0b5gaayMxjJMd2ZbuZvCF1g7Pk718EikSe9C9v
go/amOA+jz1blYOfygb2atQg6VCfMfkGX8dSBD7IZW/OkJRCr6yheWDlGaP+j8INpVj17JjdfJoN
9iR8oNo9Qkx3FWVJdqjjrB3xuNHjdDloSZzjF1lsAC3UcjVc/WUCpv3K9t+9mKMYfvTwSbUVer3c
XbWRVwKFUo5dD0C6a6JG8HDHEN8CGbSyINtkBkMmjGLyfueFmlxhT+Lupci/SuxpLL5li/WBZsZb
v3a0E6zgaVy1vd6/1TbHCu+XSlpBkiWNud0KNZN0MwXO6uq5VmPcfWtlurM1hKQracbz2rembwaD
tpVV4kvI94mIz05YEH4oeFkTs4VeAtn4FVuqfNWg8D2UUC52s0/m+wIBeb2dazMqr5lrCTgXfRo9
cA7ED62G9QDg6Ggh9Yrz5BsjIp/Y6LR2wl1E3YLPvcVusGiJwH7TfNc4AwmrAqeR5UH3JEdVmzur
ZibIcmFFqJk6GSH+aPuULS8rW24UiCV/DrqeZTBF5hwsPacVOBIhOLkPseXYB7rg1JmNxHqJIHhO
8EedKr3SYCZS/vjTKeziUlvPyNFfciA5JWzOkZixs+tLrZiNY2iP6WHiRfBA4MvyiszkqFwyjre+
GyUIP+9TP5+A7zA3NtxEnhtqyx1e+D7ePO08v5tO6hFlPWtrEJcUHYUTwNvVm3mEIIZiyEOxwui+
CdzF2Gi8hXFNlbkAwF51iFS0hV0F+iq25uwdKde5Q4sSY/AlSiYIKVOvbEzzG9fNsRnK3XHJYeBz
Z/xpPl0W0v8a2980tpaN+vbDnrN67p7/8dMl7OY5Jzbk23MbxUWIOdTH7vaPH/uzuzWAy0iNdhDm
+ihzBbXAn92tKf7pglD9gaH90dgKrPMQ3V74CXDubdXz/gGUCfufmJGrks4waXrVhvdfuHv9qhCh
jyWE8qe3mKEjwPvcX8zlXPdQUx2K0iyfl/iw9qcmwwhvIce6ffpwY/6im/nURP/kfRgAgzqqBdQM
9PgfK6LQRqfnRp04RfTEj4UoIW13g/+Qxh1tHFVI9RjS6D/7Q9Ls/j8+GlIo3TuCGJ7Erx8da6nB
cNcQp5la/rHwG81fDxPE/rVL33NvedIwF63eANBjPMYy/PuPV7/+X4eQus0gd+RTekCfPLjPH29a
MXP0JLNOGbE8MQORgYwqvYNqdYiRSeHkmjNk+fvPvJxs//ahvCqox+GKwND49ZoLDLT7sEI1bTMz
ucdJgnFCDmK/AVDxHypG5UcRW3x4zxCg3UbMcd8cTBO2mQYfF3CN46pyw0TuWq0JgzXzd/HseGZb
LwN70I2rQZkYrQjH0ZhLVwbVtswKy/oJqf3HxOdPLfDl3jlQnABfVNih+ATleiP54dKNEFz3Gu9K
D+YgMwJhN16LFAGfRLLeU7tFgfN/6NRfvKu/CkR+PjFUgD5aOxYG///rzXM0nd3cbvCtNgbI1NpM
lotbRO96glRkMmZ5tkVl3GBnRODnFPW/E6j8+8JEwgPq5DoqdNj7vFYG3y9SHE+wD9PIo4nVgpn8
nu5/qI3fNIqf6DuXayX/h5XlobhxSRz69VphL3aFrvfGCUcOedYqgqM3Q2zgJxlYVvsmUyGeB91R
q1NHU1K5I4tFSxhQJ2mk/eZx/9WFW7pgt8RxADjw01trCq30a1qIU9/hBrwUbpCVxM/kcFHiAsL4
3z/mv1okrvInvfyPFE/x67WDoeuxZg3mCaiC0cAE2wuCjyyvelcn1rhJkJAPbXlV1zFvOSigcZMP
vgxx4za0cWEkM0WBM8hzWNsyXKe66R27lEwho3NA6qKByV0xJawy2yvkePAjvc9+06ldHBg/rXTy
b12VAolYjDf214tIshBq2uQbpyBA+bnBOLHZXd4b2eXVY9PkGoyFkX1v4gbm3uhDNsdUHUojMEc1
Qa4n70egcp3HOWtWRqC3b16jy/Pf3+y/2AURJAowLVAtQZP269fUaGcHB37SyWa2ScOgbjOEFNQ/
OoKFOmt+92abn18mFawlEMkxncUL1vj8iXkXmomeTu1prKzyyu5y+znwpfqLheNPr6spMSwRcoLi
gIAnuJ+IBsZx8r/E0GPJUy2m7s0q0TglSHm2aLGrRygAbJzqnbjcopZTw4HvCbumxYjwajIs70gh
J/ZE0Rg3M35fvwm35Qq4UR+fN6gOQkGof9BomKJ5n17aGYmEW8dTeCr5KWBZbHtWiaslt7VFWPqu
gFE2LhOXCCZIulqGGRCJc9HGj8IYK3zF42Mci22fmZjDWs87dwMXGi5h5LQ9A2y8spU43g7mFd7R
VLJ6NGpfK40wbmQPcHgWYzhFNvARLckK0xBWRtKO/ZojgCzgNIFALgjsOvVFF6H+z5OjmXvlDRmI
br3yyoZwp4pUvu8GxJ5bo5yyVxjNxiqjDkD4Ms04JE24Zr1NuO9ChZsicts6zu8DiH+Ok5OVVHe1
jmUeGhicI5ShOWZ1pPfVCLxcrXroC0bLaLpc94vv15FSNDDtWtB01oQ+EJ4JncPxJ0D3zvReai1r
vCVmg126m+XcEesBF7bZm/UUa/uAALejGfaMpCuoxIwC/C/TOBBn5gr4gydttAgtSWwVmFq3Zhot
c9QUFYTbPGuWYGVRsPKS0X/ArJFjF+ODK3fqlftSOfnQJKMxxKgNQ0XX6CBw56VtP7cgbPESfzPj
hhKQjZikVnlu44kfg9uFKiuwCo3mIcgENLEkc4/Qa9Oek9mIDA/yAF7ybnWAopdM17D066MmAdU3
4VSi5lzgtI3LFRnzGJ/53atXpA7pCWakb3UwVQzp8vAGFub/Y+88tutIriz6RamV3kyfN8CDJUhw
EgsAyfQu0kXk1/dOsLq7SFaTSz2WBlRJBSJ9mHvP2UfuJJR5tpTN84R055PVIcOzx1BtqEvbrxq7
+Npjw7KnBiN29uzUn8uo8z7VuItWrc/WjhdFfY3he/crdtfVxhx4POtE9NWeeC8k/1ZAHaCMS5MO
o6iUQlZrQC0O6/6L25o+WfNp3DwapD7l5xFkQQ7utSqi8jEY2SwTF5IUug425G4BfF/12g1CfCLY
DQQ7r5VlT7YHEMBNDcr5ZI9qv9yEuRU1nyh9+A6nm2eV3OhWlyGEpmXxM3vqvs5z7jRml/psopB0
GO0N96UNSdDedsVEjafE8fRBGR1PTIueSUETsb4eg4hxBZNbuk81byUMGzrR8AVafkdkBWjvJdVr
NGUzDzXNamONJCvcTBHciYUXw6NffGMydeO7AYxdv561774Ib5oADpisV/siZDQqJ+9FiTl6mmw0
T92Mvsof0KQZYC8gt5bRtpRJiw6fLzQESLJEummivfiWHa8+s6wTTwNcxw2euvqMBsl+bM1F4qHR
T131/dIWYjgTqOqQ7sUba+nukF6iuKaRRJiLbZr8H7jKkFaG8HlfpM1MDdTd4SckJa3LQAIgRAyP
s4oRA19FAdkCkB+Z1FODEfV9jGQNh93RYxIl2FceRB12kAmXWxlJlFZdN/CP72cL1RR1j4PD63Yx
ttgrJC/6tn1fi+SF78obTGLyEMejdRlmnsjosjLU9mQ9jtYcbW070/dDynbDIen+MRM203OvEP3p
ZfWobe69VWouik+SI+XJ2H3BsKHus+WfRqkbEgEInTmaSzhgSLwt9ROWR03BbAtNsX3O8pLVr6J2
e/++UJgJCdbYeAv/xV5MjllX8GhbToZgjOyL61AAxXHs0OVrDfNiJnzSfi3MCyXKvL7iNeLZ2cvZ
VnXLxNPV1PUEZ4TNhUV4XUPV8+AsPYuhYDZHB0akjLAjVundTGV1rH1N0a2TnPnI3xlXdT0R5tca
Ei/t+wJnWJYqObjFL983P84yJ4NEy3BRetot1hjjQEkEjT+4JITo8CopPfcloZpY7Jl2OMHGVtkM
H6Kasm1TWuK1MICmrqr3T8gSXqZ2o5LLMoiZp9/I6S50JxLno45nRMbVki3YfYliiwkY0RVjW71s
VfIEV6alkVExDDhHnyd9qTrsV1xOfcYr5d/D0sTzZ1CZK9E5pfKAlci69MvrCSvPuphxxsxEQhO/
ORtZrrq0MofrBixCciip+bFK8yveWgikIVB1/nOF34YXuHdz7hnOxuhJjWmAAjBsi23fkuiIhIV3
hF6I95KUE/dUNVCNvg8CpCipew1INwSVg5XZ13RwW1wt58ZfDl9OPaal5asnxLl5xlpUn0EGywPL
/RaUtcNTTW2sDwUTOfcB3e45qlLxZCxtJ3Sj/osMe75XsyjLLRU8w8flwxcvJX52kE68iS6F+u48
pQwBHklaagvYksEH11Xc3UZK2NMxrJcHhImYocmuRXsopQWQu58VVlu2o3BB/J5FkR0CC0ZcHJcP
2sy8FydDUGgbmLzXuGKYmlRoPU6O5CZTi7Twj4kMcDLBVM0zFgg+9NaiPv5+hcxErJGxGMYrWaMQ
fd/w4rJonmfL4RON2aKmDN3mamJL+zjAtHwkDJrHAn1G3c7hxHN6XzG+T5t6NnmjmgKJnBMuOnXy
oaOryg6R8gw2tcphYCez3DXZjKSBZpNVzBu5nM67LBIWpPvSDAgQ11USR1cFPpN7c9b4PwJndmj1
olJeeV3McJTmfFyYSBgdib6ED5PwypNllgt1n6TCd7bTGLQHnQJv2XrRUHj3ikQWpLGTm89rA5Xf
C75U3hp+OnqqlMm2tRjcY97Wi143Qu5+Kkefv12A8mofLNOeeEVEzo2el8klzd7HPmVnxr6OLQZ5
liLxsiV38QksQvX6/H4Dvo9Fy8Z9zGzGhWVgJaqLGef93RWxYlpTPVRHBfjkVTIN3b2/ny6g5n1G
IWBPcKubXwdDyCsSmgMvlAfONImxkPz1QpRTGX6DwJXD2pIjWVuUP2HrNN5LjBzq8f2t8Ilgnle5
LayL76IatdrKumTeUm0ASZqSKFVVVrXqvYqRiEacsQ5amyKE9DLCVdPlggxs2eSQ0ltcS5eu7F6z
EJIb9p7WxXK5BF4569FLfCSr0G34sgIS6e9tqA8O4CZeGlhQjPZOat2gOJvv2KnzUptYT1APTXwq
7yOgm/d5SSR9wM0G+75M30iLKDoHE5/NMgERmx0TPUkrumdQqGOI5xj2wojhaljONht6PjOnxSS0
Q2Ch7kvtSgiVbNWeIjg7T/hUue5Bj5CFJ9vtjQ2wNmWtJGuh+QFLQqpomI9VcmN1GawDYnWti4Rd
G7NpRDrKzF/ztpuWmOUjKT4sQmIjj57MCc9Z1ajleoHF3rqDHTwMoSpvbMd7SwxhrPMo66ButybI
VEZ2TPHZtxh/yyrAdbdyfLbUa/L7+IAV02NGUE271uk0r3tKnhErFO0T9KO5z3h65lXtTTO+fzQH
O7MKcYwSZNfDbiZPLW3AETluZ1lrZs3yyM5ekffVVHpdNHh5BG61b5EqFmuNrRgMWWSKFRjqHjw1
3hbz1C6D/ykTMYXIKCEyjlyrmh1MQQqTUdtUYaiyDeu2EJPxAMSAxwNaiz9BJ3OTHI82GxVA4kUd
rEiOXAb/dmSNUy5LujYJ1X1OwX9PxrGxHtqJb2bZKCNt4MY4EZ9qlLT4CEzJ6WFQpdhk16wPXDFx
ppCb+H0iYdxG+1rnX2vWmMwuURNtCSzEj2Jk4gmaHW/Q+8YwNuOqORVF1jDk9Yxpta8CcaaeJg8B
8U1XKV2W49RE1iVWXvRkGX33xZ6BWPgO4Dr2YDzXyreZP2XG5DaUMaPV7IO6AB5YrN/HzSjLGRzJ
n3OAsFZ8E8Wy3mwE4vBSIkvfiIbyFWR5/BqFgvfbM+7Jlk+oL3h5UmEAZ6y9nR8vI/NM6lG7Zm+X
HPDZpF/d0Te7s9cMfHG9gZEF0UN0ZXxfYbTUSMiNPJZ5FbpHZNZmcGTDpvpDx/4Gttwg93XfDbsC
9VLIXqUnUjmfrccwtCjZeRGjEnUebkmQYUteCWGzkyh9JhZ/1P5jQsV6M7eBc2w8xfcwL7r/70tm
zyy/+bENXTeqShM1ZRmEW1/39o4jJ4+JHNQHlfjzVeLq9EMzxCjR+UIYndntgEEo7CEg0LI0oYa5
jXErDb9Wa5bTVbglY1Id7Ngz3obG8b4AM5+/FqwqURqojuX2BOiddZVN5aIziczu6j0W3OmTy+mS
KixEgSu8rbJ2i9gdRRWEkUsaYHmKMz/9WDZ9/OCzxgdpXxZ6k3eeudehpy+R04gPtMbyt5oMLLkh
ISztWCnTSbqdK4Mda2HGk7XQ2BA3yGj0n9+rM//p8Pyhw0P1b4l+/Z/i8C8dnmP1JX35Kd/9+9/5
q70T0sKht0wTFLUhSFaqUH91d8LwX9T8Mbvi0X2Pd+df/XeLB/QrbQHTRHJmIW9cijj/rYUmEWZp
kvDXqEvaS3LSv9HicZfu0t/KRYjGWEFxFpSzHbBjfGw/1t0Gmw7WnChKGc6sNk5bFC9ehjZoNUCT
Y1Ezjza72E6jABoWZ04eo+LxE1lez5Tr1NpiTAEFmY5fgsEqb2ahqs8RhQVKBlEOQIC/VW4UeWK7
spqrz6WHjMukAXQj04lgkGyUzvVsFSiM8oyt/raLCn+f+uEDWc3FvVTDeGOOL2UtkS12Sf6EP0Q+
1xgXjfU8QlDf52ajXjoyrBWJ4oaeV4YT22KjospRiM9I2iQ6oc1fEyOnjODIxQeibSkgMRCgnatW
dWTaRsM11QjB4s4Us7vxpB26W5yypFygKESUDJPd2bcsE0iBSURy5VBCY0DAzxqsjKpAspwbef3W
IAF9rtFUXYZOY8Z04BHEUTe9heVYPSMQYcUyhjFmoSmnV9Bk8QsSQZuxy4bF0Q6gRyBC+kR+sFcM
pwuzU33rObomkTVULc1sfGfMUml+CZ1S3bmFAxdVE7fW1Yyz0xCDnaDWUA2o31y9n+w0uLXaDpZJ
5pTgfAqL6bwMb0nmakg4zPoHli8d+v+u26LucjBeNrjbEKNVJ6+Pg00GL/QcqikVx7mz2tM4w3Rf
ARCh9pd6LcUlE/T/Whq6eHLKZngY3BxE92BN84odpPUpDXLxqTcadWwmr91WVWRcTbOdLUI7f1XP
hLlMlCuu5tgaPha5btq1F5XyahKyPSdhOJJcGM0Z9MclOLMr3MXXVRXbpo2qDMF+1GIMp1R0XRBO
sajHh/yl1VmxjTvVentQjDURNtnUfSYWloi6CUAAhcjWiW+rMKosKFs6vU+a3Plox2V6F80eR0N4
KR+wkWa7oU3cs2UDvV8lQ50cDAdSBLWQZmP3Y3uY2Nzcx0mJmavM1DNAF3kCTxp9neRESJFvljGx
xQ4m1e3UttF9lPkz9PQ+rokVjR3/NnFZaK3GUMA7JsMkf3Ob2gHPlADsjE0YkxF60zUmw+qR55h/
mCxygwKVddedpZNTQOGSvSrhryCzKhf5MBbCDa9r/Rg6rXkTyx5+qtHy7606dq/b0R3wdUEHuOBU
rdOOoGW+8k8KSssShhrjWOD2UIUwmxM0CJP/qin79j0u0lFn/n1XR8osrmgLqQqVY4eo9FBOwwTL
acYnRf3T0afES7JDO/m3Vpjh+XGDec1qmwolisYHhT5o3HZAn5+FiPTKKgRRF8HgRt0aaEq91Fu9
h2HwBopOqdWve1e366RKzYvblOqqx3K8h7/mrYAPEUkDBBa3BvYJ2oG8inwv96JTJpLfcaQSJyan
vPKH3sxugxRLVbRxm3kwH9y5m0r8jfAnvIsN7OEwDfLJBZN+Z+QhkCOsYtPRkeOJLah/DR5D7smg
sjeFKuY9wQj6roWIhcy2aKEze/ER9FFxN0lH3hdTptZunqU74USEjKAK32CJWZUCkIjVJpelMDBA
GUUNmV6N2QkNDr/JMdr9wF5lG6X2sy8Sb+VlxinLKGkRyLxC+Qw4xicTTrWd+5TAczmKTtZri9uy
Y0vc3aSm+xwNTbyZZurGgMeM62y2xCFeRms9mB8rq29AgQoesv4iu/FMDGmxFr15zlK7J9Ukys2d
2SUflEPDo8jqpzDQwbEMmzcCGoutSu17E7HmRiCAjh15409Zdtu31SeX+hMl+jPbR3NXmvUDLBFi
mFXQrydTQ5qZ8nFjg30jelg1IStdK19rn2CdYezagCowIc6p1Z2k053JrI13OgrHve2M7sbqwH/i
MwnMTUDOyomdq5tyec38nKiuuwY+SrbDhPCc1+js87SvzFjabOmG6t7EX7YnXMlYhJ28TbqeL1qK
jHSqmtIE2XzNXat1dO/MRDJs4rQv7nJDTTd+JL8EdWKe8jS2znMZwfnvICavl2XnMsy2YNZCXr9H
5NYEBlhevWkJOdnOaVfiLon1pQD8sdKjJT/MOdYUXJrdxY7SOw88Kp8ELQG0U92llDkOl5J457EQ
gra8wJ0zsJrzalPjPR7PkTCnDS7B5KVQ4iXpzPbOpt16a6tInVP8Ofd+GlUPw0Tro3f8U0cI9BpM
GyO/YX70uqRdeQZ/JJlass84UzsP3iY1dvchKqv1jGlwh4A/2mHkKb75naguKJG6YUa33VOQXEno
UBfGGOMq69OATgiBWvfsy4oN7e/87AS1A+3bbkhu6JI3tyj4tqK6g3ydD/e8hAUZp2Zxm3nCW/mV
H2xTf+4oH5u3gQukoMc9eixnx7ktQifaGINubrzJ+uyN0t+2pMY/UJFnn9EH9se+dttdNwH15s1I
corLNKFxlgcVMda2RBrl+Hv6h+nZGP3o5HWTPlTspY9+zxSp8tk/GkBlrc1/1slVn/b6T+vkxYzw
u3Xy9Utaff27CIqQpOVv/LVK9tFA4RICu0uRn3yCiAXvX8vkgDxQ3D8YbJjELSQI/7tKDv7lop1G
Rx3ROf+Bc+o6pCCweMY1hHgBh13w76ySOcSPa2T4OQ7WksVngmre/6mlqlGROoRpz4dabGnLeZpA
uZu/3Y1/kJT8egjAGijByRjllFn0/7gMRxBcYPHBwj4KZ5XPIRgN6O4+t/R/9ib/j6MsZ/E32bmk
v60oCaP9rD53xudafe3/hGj904X8pI0J0tqt6pFDIH0MzDvcRO38+vur+FEqwJYF7wJkBp/EVqS7
dvDTIXxV2NVohJT03aWpa0TxOm3qOzKu9l7ilvvfH+2XC3o/Ggo9xPqI9H6G3AbKU71XB/Kga6B5
ZscfaUlNr4ib4vvo8X+qmf7pUJa9xHZANPPcn/diZuc3ylYWF5aE8aPK3Jam0mhdmz0z5u+v6pdt
H1eFRnCB3CI6+wUPZeWeqQtwDAf4ncNVTgTHAQS8Xgs1q1ULFmJPgqT+t+Q73x+czX7Tgd3roSP7
6cF5qbBsgxXngVY1vnSXP3yy7Few2t0/XN+PEq2/DsWGNgjYeIPj+WlbS6pjMzeNIQ+lRt1L9JuB
jr4NM1hbBO8wM7W3jbbIOSzm5HqAXvOH4y/f6/+qMP46Pht7Fw3lMjT99D3r2G0Scva6Q1hiG/Op
gq1gFXz4/UP8Uerx/SBAs1CAmcsQGdg/fs7KqnvdR7Y89H1r7YMpmWjDBo64FDZBGbOmCDYOkdrW
kpil3x/6n94fCgaevdjtFiP3j4eOPFdZse3IQ0ayx5ZiWB+zzNDBOjBMFsMOiaUo33qx/f1h0fT9
+vVbeD252EXUhIfjpzvbFQab5rGVaNUr+VajkSPUyMQ9FiwUXU9QNWD7hRajADzsAMuBP+DwCDJl
7RGOTPu0kfLJTmaHYvTcZRvZB3e2V47ehlr1dBVJP90BmSRkolfjzsIo9ZCaNmryBe//qPNQEY0Q
ZGdYKcE6rJvPrIzZb0FyLFhMHmBis39ddCVGZBFnZgTJNUXuJYqNdD8/lfXZl0N2TMwiOJvh7D8b
ZQBtIfF0QhyI4Z/JadFrQhq6bWJ4LM/jcuBFXeCC5EYPpMKX8wdcBMUGfby9zoL2zUfffRJpSZ/S
IPirC+Zy79qkGuZ2/0FV2r2bxGBRmw+KbU3x++iWJpyKwXJ3Hd3LVaAa6zo0cyBwGIvwn6jx3gl6
fkke9lfBjDmyBm2Bq1V31rWgVHSoM4bduB6SO5GN01vUsxkagYd0hKQoXgPyLPZGOn+dKl98ShpW
shusMPMHf4JZzt7E+irlQrnxOrf/ZtC5T9Y0w/unyE7DhGhAlMDjaPKLlhsMQPW61rCsViWitTWt
U39TNqInfVWQD4AgotwK8KVIgwhsQVeAmWMoMuOSxe7XvjPc1aT74Us2qw/ubH+Nqsh7VrYXr+F8
pZ/6XGUkOLbcEnQR1p7W3Fc4eDIifBdOW9YyYmRwgwmohEr1NJj8vlJxHpkK8lMZed0TGkxgrKoN
zmU4ENdWTmLroBCFpzold1NhZ8T7kDgayUbu8NOZuHNtMr6ZcOJ1JLTYhoo2Kn5hkiDordvk2vkc
wJ7JPWizfk9bLYf6mI0PON6Gh74R/LCMlqRWdi93BdqdlUlX8IRslI2DUQ9b+sbuTRhxOxFFwfYq
ZWNvbJZNl36KsuyY2X6Jj6gl5Fyx6xLrQQrrnoZ4fKeRkzxkFUJaQJJw0+gcQHCNY3NvuVK8CsSZ
MKXAd1zsKarFGsZWQK6nVQ1k3gj3BjeSvdGxRqIzx+5JN7JFWBBY98RYjkc/avxbYTjkFjaJcxtY
ZXxFY/dJlO181yNKYXeLhvgwJK1vH1uJe5+ObaHWeZqI15496CpqJnpLjkH2YQ0v+JtLE/6bEZOF
3rE/O8vAil6TyLS28dDCPIOaZLJxo2kl6mi5H8LM/Q1C3S9F23Enu1GRXRU3JgQhUiBLCq9X1PXd
R5OdwlZo8oM4mGftQ6hGexKOp0+hLcbPFT7hO7MEEwUasfA37qBSRBspaVEljvU3K+/6U1sO5WVw
1PQiMRxeV0Mc3eDCcR6LCNI6TpDQAHRleefJjvWtM4KzihsZ3tLXqV6Q0k13Ui8d/izpL6pr/StL
AZHp2sg75w2+SqsF0E4J0H9otAMTbNYzhRcDc5lnYgFftfQ0scXYor+T9GEgO5kiD1YVhoRNGjr1
bhST+c1NfZJnwbsmDy0xUl+82e8O1sgglGOg3PNqeBtFFZliY9Pt+5rG/6Zr0m7DgtLdDqbbnovJ
p3CW1G3yONslJWQSPPidnkj8TRYFYg2/Zj5xtvGjjUHmRI5ze/YyYkwLD6z8Gg69yX63zKIjUEZv
VxM2CEw8xtDdRfUOzWy9bczY2Mskx11V+Q7vRIibmcLHEoajpTzSUC+4jBa8lkDEsQ3EIvCwzSJa
j7iBKN7WLHDsCp1UxSLgdWr7nmFszMEiuuE+yUy9RmjYfk7TCFgvisED29Lxa2ASPwaC2juDsav2
U53iSwyNrEGTVVuvfVDh8iqiVHzraPI/6Y7iAdrt/PT+43YFYatMkA1qBRQQQUIw3UxzhhEYHvWW
FLRab3mH30u50AGtGNvS+yHTucGlhHVpXA+asPCVU/Tma5733cdAkUkzegk/6koYGu/mV9he2doG
BHfvVko8Z25SP41pWe7fLb6eN4ttOoPvoiRQgqlCJGeqIT/59fCCUrY/ojmH7REPmbchewu0FDgs
Bk85XqLe5Pa9OzlRhKTXfq7Ga/qScbTSVq0OtRFpexU2sPJwShA/bgLBPWWdhZMrqNl2b2B0zgTE
NJywqTCgRWnuP1iqMz/13TiTlNTx6JrFXuk1IRazabGOzs3AYdMcaKnCVrmy5EA622K6bFIf4Zuh
ePShgx2rDnAxDoWTfIkIUDnlReY/lNL3zsKqIyKmCEizW4CKfP1GiFTHk0enMfKnKSJrssL6/bBY
57beYrkOe0SIcU4OEbbz+dBFhBG9i9onPzDAmGHOqqMOtQeBYLeO1C7yMERA2CrmE22R/DTzRq8D
0+23pWtWXzPm8KPdmd1jl/vzEy9SfOsnRnzTZ0P0UC2gZ9/ton0qm2ofIjv+1LMX7WnC2OKqAISp
111ZRXtbGEQq9Dj6ZsMcv46k4Hwog0as55642c0S1/X9OeW9Et80EdRb5TrTznz3I6QFWUkiZ5AB
iH7K6HRC1lTpczV04V2EkhmV4+B9dAbtfhyl4X7MvEZfmKn8XdImxkZDCd4YjZscEP+RbB8b8h65
ECxfNGNb+ivq8n7Xew+7BxiwELQcpcSqqpn4uuzsydoiPRqTXDVQA695EXeK+tY5aJNqiwmmP5a6
d6jsl8DhpUmmvQgifRpsXdwgtY2PiIh1Dh0Du/ocWsg2DJcWPqWG80xx5wKiXmzLIoCK7VKbX2Hv
zW9M8FtHwq39T5EQ477H+OdR8mMyNGHcPU1zC/+qI3tgaZMAUUZ7sDZ1njAEWtZ9YqSvMtdYzZNW
HyGYVTcBqOINOgYKSRpT/JOpkOWuKsLht/Ogu11goaQvIp3R/wiyG0p8xm5w7PzkDiVp76gkbq1g
MrZCNuqmDTqm7gCQ3z5A8kOG4FwG+cbGww19G7zglrlpPEYyJpFXuF1zTaJ1hRA7qOrHoVbVbmDA
YQ1UBd0ZSXh/08bw3SQCznWMYeFaT1ZzaoU/7RwbTz3tocp4/E4VoSfFitkFAleMDBvmu2m49xqi
ALvUywhYI2isbRYTtFUVT4s+d1s20OWdKLVezRjivFuSuAemG3drFOJIVynABsMlCo4CZb9NLc8+
zWqa72QeBCd/cvU27LWkUG6PSOj12LSrMvJHRQGvZqRDxTffmb7imzccYkrWgv/x6BoEXqwikYxX
Q29ka8GP3hLBSN8Ek5o4dLQu9il6dBhOwt9PwMKWK7oJEgUrKQLmgakbZ/GQlg+2yiV5w1m1nZvE
2LO37yX6EG1/1pUmityu2geHDgbyjdQ4x2K8HRoy5Kk3JuspM76GLZJ4y60+QXewKI9rccVlwOU2
4erCTO3kLgzltCVu0d4LkY5Id0V/pjYuhzVim2DLCjE5NbNHmTbRt5DtiW/t/PItqIy3bvZulN05
O1uBZmfd1h4JGrBXpJg8TnUyr2VoxAdGqz03YlxbplttYsH2LsrDTzCbJewjp65phcLzDac4XuWk
QW/MsDeOldfQ0wwarrdqgDauBjJ9GLGra9XAmELrBq4hrrZ+SqDlijDkYT/PWfI5JtUbVhYiOYjf
atwCuq0fGpA7yA5iEyFxaSfnJPOb26rKEU+DLVwxq5fPndEMb80Y+A+BJV21KUJAs8Oo55OdRjku
5GQ4GEnuKai7rYsCU863kGLlA4EGpPKVQ6DXSklS1mbf36pAirUA8LsvaAfuxjanGmcW6SnOLDQl
Vg8zA2jp2YoMONZ54UUIwurYITk5HFSen7vqleW99QxpJ7y2IvpBa2l79d3YZhSM7XqYUPYgisVT
EO0zI+l2fTjwKZalSa8kMhK0OpKnuFHCe3UTtwW+l8z6xrX67K4ibG5Hgrt89iXrK4T3iX3RJKqj
rUmCEyrz6iNmKlOs2mpwnsxlhvStEtJXEiYw4KvhnKShe53gNPhIIrIHFrKdToUXj+fJ0Plb72ag
MxJkoat66MXtGDTll7ILzPXoW+5L12W1zSfSBCcrt90r2bMD9yF1OjQfKpe9bkf2mybv44NTBeU2
F6iDl/5YcqkN/TUfg/CTXQeEuURzSHYTwSZeV2TrbCz1ijXezFQIM2NYDfRFNr6WjGRZkR2yBoI/
ClaTx8tse9LsKkhScUgSsNC1dM286dLykSg8Oow9BS1G+RU1W/xUEQLd3Go+SidzNrlPdubKdAO4
Zx4rY+DqfvlY52V91c+FfZRSsJTCcq9FjGI1b8IByHFHzM2B7ZJvfNV9Qbdwkt7RGvzwqTdoC7Pv
DPfsYiZgY6n4UDhGf8WkWNyyVMxelOXUH7IWzGkzNCrYN4anrVUqEHXux3ppUtBYtNlM9dUdOLmp
Wnd1qj7n0kcSMciJfHZ7+BpP4YTePLSuMFFUZ4eV7VvV0IwgnKnb+EZ+mesR00vnGMW+z9HQTTyq
K5T8E6TOtukvFALjS8ZiiODaIuvQGnvttYxJPe2AGd/z/X/Bgwe/jTmNvnAAYpJI6/lEa2W4zU2K
DG5cJE+KFhATV2BtiUQRdx2uplfKYJ9d7DefXa0eZsQe7i7wE+j31WTtM6KQ9n1jOGs+teIBah/5
R0nSynvPLLpyLfyOyI/B3M3jOKw83nhQFLW7TxI/uAIaqxlc5BAcE9oyB1qU8aunAdwi5a5pvxjx
LoxV8MhWh/kkjsrPAqrBpomjj65yp7PZWPae32LTMGv7B2LVwUyH8makqPUaz2LcjQvZmfums+so
mqf9KCEjQ88O9+0ilKO+wk3Bx/MxGBP3MR1rucuGlA9WRslqqlhT6cSPdp7hARNN7Fv2IE8MyPmN
amb/RCY9Ku6p97dNUYmXetH4FXIKKRM62cVHkUCIAHnmK1uyulWdh/htnKr7au5iVrgG9eayP5KY
Vd6J1PBvA0JVNn7m2xcrGZ1vVlxVUIgneONDGp9ElQw3laeSq8LLvQeXvMYKn+AsjOE5qwy0gzn6
Nobb7dg4DbxLZWLYG/wDhhIixPu83uvRKR56RlyapxUMeYIp9rIYHuOBBqMiQw5HD6EEqFc/AwEL
DlmcMGOxEDwxkBqH0onGK5ZywWmCxnHp4jZn/UtS79BnUMCLvnl12gzgWNhDvke8meSvNcG8JmK2
QZzRWGcbqiVIHuESPw62ofTaQKAUXSCbxTaJ122L4EbWjbdrK8rIsL1ldKm0LB6rkmQdooWifZJ2
8aahhPXo291XEjOGlTmzVJGtI0/mPL0FHrsGr7ABGHsem6R2BEFo5RkJx5FFRoF1MHBrnPj+vU9B
6T+VMWtjV9TxgVVhsaHc8dZBdNrQNRVrdEi3gDAAiSr/JWALghvhypPmHWsosq8CykTGEFpvblRM
Z3cJK/VbAAtmXsmbWFiHkfiXbwmW8VvPNOy7TkXfWuUaTzGf3gcbD1+y8bq6haEl1RIOYC1aIK/e
m5EakOC31cbvlySZigrA7wuhv1ZBYTYhKUMbRikUkOSP9VenI2siSKm/Bi3oEascP2BZmw+xz+42
Cijk//5w/9SZcGi2wBmD6mn9bLyNZWtaRqg5HErNx9Zu9+wA1LYVgfmHdou1VI5/rpwTamhjBPXo
uPxsy4zm+a+itj8P01v3XqTXYviieor0BvolhFq+uffD2XxJxLKjnKjH/f5y/6l6j7wOGoDrIN7/
pXsQOD35mCZC4SB27zxUP8QLUCf9/VH+6abyCJcaNi4V+73S/bdunAsXZXBLejDv7RAMkNQjI61W
lps1f3h+/3RBLmrD0AWhSItxOZW/HSpXQzVqsqNwwbRkQE31Z9h3fyA4/OkYP3V3Uq+3fb5WebDs
HnGg3Lth+R008n82yP7x5eD9g3DBq+ihg/zxOqIoCydp9/LQMIFdx4Npn+waFfk8TumnxKDV0lbj
onmi1tpgKzmGAhXg7x/br58erAgUnVCkzIj9y08NCBfJs7P40A8x7hk8Mb2/JuauvSqMrD3mTVRt
fn+8X+8rx0MhSsSmZ/+KamiXTA1NzNShxCN+dn19h24m+MN48uu76NBDR59Cfcf+NTIEh1WP9KVo
iVBDpNI1dbqum/EqyCho/v5y/uFIXMQSqeJbnoND+adH2KXprHVYHxjaCDs3ujMiysdGZk+/P85/
sXcmy3Ej2bb9lWtvDhlaBzB4kwCiJRXBVpQ0gVGihL5x9MBv3U94P/YWmKkyKRQl3rzjKrPMsswq
CgwE4H78nL3XvvA1abYJYJLvipXrVfj60yMvqjw13NouYe2r6zp7VpzMS1Ii7ECm/flK+u/DRvhN
P13qbNjIQVUEueBSHTx83wQsu6QD/CWY69YEQs2Pk8VgGslvUPvSBCag1jL4BFFUWRN4TjAZI6At
8IyGLr1BFyw35/RgEYJyaA20uSEJoO8DzH53piwMArhoGVNctetMR8F5sHsIWUPZ0cYikglLDG2H
1SDi+Y0Pes7LYvLOKJPmPk4JKDPW+dQvy2bFcMlj381N1D65eaEetd65m4SIn3NiMQ94DRmiZMGn
GjPRxkbMyeBK7IXICXJhPKPJKvX07jEPqI5aEXlFmUOfciBucrrMy1SCCR5oOsSGvQrqxNAXtFK/
qnvdPiiJ0nmjWZqYCGaY562je1wn8TnH29epiZYhSd0AzVMZ+W44eLMdjkj9cK1yt3SF4nFu1C92
AKryz0/AhWcNX4OGgoM9i31/mZb+9KwFeS8Zw07cl0RprnvNNfZ86+MuTGoi55EVD7s/X/D3yS8E
Lwg/lgneGLf/2eRXlvChBvJwdq7TgjyJiW+SCD2vhVG128AJ2+uI/ssDzI7wDcDAhdeXsbYKtxAt
zu/iizqceiXqRLHjrDt97FHcfQb7iAdIE8m3f/whmfKyGnHg4a/zGTrDEYrOqQPI3de0RvvFBEo7
GDErtuw9RgkQWw1TtgnjFJ27P1/8wuekrjIAC1lIJBg2//qV2mj1OHsWBaZaHHNygBo2hsx7k6l+
Yz/5/UqwOXifbBRGWAXO+T8cBJsQclq2I9L5aZrA9+pQSnmLDOMfP6aUGwimEEYhw1DF2WeqmrIk
Vb3LGC6SdDQLui9GchoGS4C8Fi//9AaasCKwI8IYYpT0W8kYZ1VhkniEWyg3dko1FSWDBBq7TWak
zRv38PcXkItR2lAaEIetnydeSQbEkcA0s5sV8yEylCc5Oy/JaDyEg3ijBlne5V/rUy6FPkfw0Vjz
z+E7uOXjqVCYxhJrtTZomLglhFM76+fVXPQHehVvVaOXr+hSirqLAO4cwaMQquCUyxWl1h/wlD2X
eO6MGjlsR8wGonT9DfDNpSeSwhuJO1UHV1zu9k/LmdVw7mgDO90pXXeYsn5nmukpFuobl/m9sDFV
C3qoCViI6uNcWYXjcYxj/uhdr+jKg2IX5r4a2RH//Bz+vlRyFfxVGiuzSijB2UM/KvpY4E1Od7XB
sZbjnpcl3Xe7ELek4zFVw3mCveKNVfIMHbRIc7gqCwdoKsKCxfmrFuRz66J/SXeuhSVlILicva4i
aWN0GdXNwCpWAHZAgyol6WWePbsgHhrV3rajDPcZw6TNQFk0T5a8c7s0JeSVyNDXskCWunWFNkY8
uvogdrAMrTd++4tfjOMuhx+8Qeb5F8NcMspob2Y7WlTFOpmgMSsjzY4/fzEXnzJ0lcSduPqSYP/r
U5abkm0kLLMdoSgZ9IF+p6YYAO32rarlwgsLo4valnWI4LKzBwB8qFFUsmAhGiuDaXYQ7Uehjps/
f5pLKxAcevSIDody7t2vn2ZOVH0MOyVFQUBGaG+zTY0WaEpiPr/0ifnPq2jOjMhE2TIgc6nnJ1Sc
v6JHdZFydgxelntXx+I2r4OnP3+qSy8PXFQBeR8hG4D7Xz8VyS0FpFNeniy2nJt00uizB9YLHddy
U4eW83XIqmSPiqV5Y6u6tOahiAVPx+b7+6GH/okaGWQowuzQT22hPM8J0NvkA0bje5brN6526YHn
2EMSgMnJ8je1IImq6MiqJt0RIphuybm3bwc9eTOX8dIzwk20dbYjA5nz2brqdqABCE9Nd043qB/i
SC03CorjVQBQN6NBbw+PieaU5Hu1/UlORXq0MtvYRg7CrnmqQI+HSeVrkiTpbHAYynZEXb2xk2oX
77y9MCShy8PVO/vK66BRrSHP2W1Gk15hK5+11i2J/XCafWw7T91Id8KuIjqZBTTXdOhhqRKrFTHW
nUXVYmTJzT1dJHclSAxYuRGf489P5YX7yGCLEtS2DfLMzjfEzOZ3gBpf7kide6lmrd2oFYqqIGOI
PT3/+VoXbof2KjS0FsUqVfevb4CuTcD34Wrs5kB7UWk4+LmlPgPbLXY2/rM1muH2jQrjwkuH50ET
VDTsWL/pm/s6m8Yakv9uSKyPURwqnm7FGc1MfL6wNOSjrAfpM5Ltd//8s2oack46UhSI5yulqbho
jpym3HFWO5KfgoWwzm6RJYdEB4cfsCKHbzxtl75JSjbaALrG6fccMcq7MrSNCZZYUUPgAlrPaLIw
2tsB8MQuFxyk//wJL+w5fEBqqMX0SrF49gbmQU3SZ8mtHfsQCbdJ6iJ4d+kbyOL+N5cCLk2mIAWj
c76JVtiT2rzgiKa5ZXEDZmGG6dCKq7jTtDeWr0vPKGA5Hk+TZeU3HXCPLqaY6Qzsmrx76KLym2XJ
B2DU9SoO5a0Dae0fH45YwDBdAN3U0ZGfv4DaSMNdb+ZiNy8cbxX2cN3VJE0L8caFLizMaItVy4D6
aGLjWL7PnyrRah6QgQQcAbPQegpH6PezfHjjkTD4M84K+l+ucfZMuEqSJib5qDtUvRqJSHF1aKzG
utM76HEEshCRFwKOsIa68hdGzWM51DaKAQY2nVOnNP86ZV0XMeMekpbWiqFpa9K3s11stPVhNs3o
VnfD0SsmUOtBpRbbHDIYRCZn8tDCBfvIIgJiVgFLWFqNYC9hhnc3u7DU1UIjHa/Mm3qr9jLAA4x+
7JRkKtVhSaBKkcb1KQKAutXqZgJIj06rN6L8fa/U/Q4S4AMwisbjDqebnF4RHmrUQjsUSvmqHMjy
DrrIQjGYDtelaYC1Byaz+fPtvfRssovbGs+JwZzibP0kxEC2k+DZRCv4LMf2GVTOyTSUjZGX60AZ
/k5w+7ct4ktvODU3xR7t+9/ZqFY0FTh7p2JHitXSczriEdsPbfFG8fp7y8+kVwothtqENp179rHM
MY2MGo/5DiXpbQXZHuGQ81Wmj0yi3jOV9jpL/xzWxRtHJuPydenSckc5XJ8XZG6VyxwbNT2Rcpo/
RqOKS6g2lVvU7mq2ZnDOGUdaebCGMyr9DJAOE66ChVzq/R4cH3bSQdkbKokQWmsWXoA6jAeu2mL8
YIzlJl8sreegDtHEIzM+9N1Ww4/f27MPhOteT83Gc2ZLrtI2MWHqzRWAQn4fH2TIN4Tf2k3iLN5Y
CNEbHF38ewArXtS0ydpWbP2DNKy3vopL37ggWhOOIG0GQ1tu2U9rRKw2Vl6kfbFT2+cJ79BqGkj5
0tr+jQX90lr003XOC6O+6sHAu+TDOVamQoYSHTDHaP3n1+XShgjQmNOqzrztN3qnKgndkWZd7Bg6
AZAnnoLD+FOZRghrm+kN09nFiy3MBwpf3G3nhwhRsxgVGe+KEomck+i87c1qgwwMQWX7Fub60kIg
aPuzW2DZ+634zWAgigQpxa5O6lu9sXFrBtNTmdXf2hjzViTeuJPapefC5pTEARYvFYztX5+Luaky
7i91WjJmEVYPXTs4cz3sdXrxYOTAvJmVbD1Yp8ZdrAbRbgpRNodlXLx3QifduKU5Pdr4AtBoB6E5
v/E4Xfz1WBBpI9G/JYTn118P5EGjpBFlziCrb4Ybfoj0/j4zGCb/+Ym6eB2bCAUqSrH4Zn69TtMr
E0wyke84iVZ0c9rnYlLIOe/qNzbSS2UrzSnca+ryN/vsPTQGFxk3Aqxdi3A8atC5DcVtXVqHxNFO
WSkf8sx9o1Fx6QH+6ZLnBWsymxlCHTXfKcO4DbvyG1H3KFzFoS77N84cxqXnlxMpQzLKR87CZ+ei
dnCABox2zjKjT5/bqPpOsLbwelhwHu3b0FMqJfZyVuR1LBfBsaIt8qwa5Y/bN08mTZWnQDrNrtOR
LWNtwWwQtfV9OLul7xSAKUADOJvRHpwPjsWqiUW6QTWhNKM/p0trs9S/q4OOpp0A+bFSPydld8ST
WK1bSr7Y6YdVPhnxGiyBfl+hvGSz1603nqZLd8FdnLq0OHhuzwewWVY1TYFIeTdX835uZ23VquaT
VVlX9Eyf2nga3rjgpa94sWfgGLRptp7f9ioBOAwVM9/F0lUQx3Rkrc2cfn0DyCr+/UWY+ucX5sJH
ZF9f3MYuRpzfTpeumJy81Y1sl8LgWkf1JN4XERXalJTNUwIWb4cO6cufr/mq1zgrQtHekMkFs5nW
3fm+HkJPYTKb5TuRz64XDZ24NyPiwQtjsq6iMss+VGCSYcMh2XrVKb/Gz+Ud4UstWqKtMgxIZt/4
pTSWhvNfaqluOPxwZvrt7At5bK5gerB0zAF6NiM0N6jSjE0TQNxziVJY8aQgn7KytRvWESiHJkV+
bf7tqv+3NZ1xYQ1bfOHIMRYcu3neKlSRRoi8jXN8y4nBaGQRN8dGNt8isCysK74ue09quXWFzwIQ
a0YTWVNgKUAIjPqbwRjUzTQF6sfIpPAmv0f9SFlMXt3AI4VtgpTx0bW26HK/TSgyWbL7tSmSaI1g
0CQ5vFjo19Jej1Fn+054pZepcZ8axXjitcWJAlNifoqczj1kqv1J7ab0jYP5pc/PBAwPur1M6M8b
R7TbkqxpDT5/lo73Ef5cklfH+CnWlGjz5y/90qVQX6I1wI3OtnG2azJ0kjJftiW3NCK/ks5i6SFx
Ejh9Fj79+Vqv39v5A7Z0fw1Or2yD58f/QhFZB8mRw0FvBc6qZWCM42M2tW1QEQhd2Jl2pZVqcNOO
+nDUdSW81VuFbDojq7ZVQcLh6y/0H8zZW/gGyAYsg/9CCfyOOSsH+mbfXlEQ+5f/+39oPC8/8De9
wVXf8VjavJu/AM5c8U4gvWXPxG7HMHWZbP4AnBnvLEYyzjL7oVf++pj9yLBR3xliQabR1Ea1sfzU
PwGcnZ+YaMAgVGAVM6iAdBax5fj/0/Fgytu2L+zYOagyH6+UpKn8IdXTu5ET/Ete9PN+CFoToylS
awStU5AeDSOvP2E+a+Dk2I1yo4W2SgusmvobQBDBh3SGznIl43H8GrVxEu5LaUi06Qi7FU9iedx0
WuCugzGzP0xWO9yyaWGyqKc8wxfBAeml7yfruped8yEaS4IqSVZw8lXLkGTyi5Ks4xbwUOSa8b63
+mydRIbsqAdcizN/bogXCpXsWwFUMUSTcUxImWfvleZdip509jvQyd9bY85PodK/TwHHgikl1fLT
HBjy2ST48WkMZe7pUxN9VwwDCKUbWlKu6tG+qUTvQmybjAZQSzi+n23IuAgczem7nSvKbVkkQ7+y
ezSkzO2CvWA8KVYh4sd4NZQGOPyIhgrdylnDI8qu9MwZkQaOCJq11QfRJ42NZPQMJ3e2DVoTe+Xm
IruftCg6AXzaW2WHmDMGpbilNHIOCLD6rVoyu/HnPMfSFYUQ1OciyuzVNEV43EsMjjMdSiBVPsFB
7sukqSNWYKdGHB9lfXcFxqf19CCVhy5Ik0VFKmYE/6XAkDG6V0uSGAdjSEQr1a2cI3BwF24TQ5y7
3s4RepHrtUshwAORC5zWc2NOgp5Jt/teZkN70GxH8Up95Oa4GV4cpSqyk2Yjjlw54ZwwOp3Kzgst
u//IMX1awctunSstKtEzYyBA1xiEtntgYh+0fpjjI8oosk5IhmsvHmNJfpyoJDabMUKcGuMpbRPm
0CsRjeGN01bfG/6UjsJ0lrHPRKH8PoQp8H+DxI4Bd/Tcfi1qqFE7Mg6zDwHd8z2BnHJN1mQCQbMQ
/XMFr+WGjm/vl1VhbbBQ0ONKDGlsMM/BzRtjbTjNbRMmH/BJB2OPAc2Jy2ytzSSmbW2tj+8YWEY3
ue5OWvbCt6sPJvThOubeEmQXIYwh8nEq46Mq7Dw4hjhYQfxjWli8Wp8GayBgcdL0x9DhGkEj/SSb
782G4JShIDbJazWNQ34ANnajlAH+T95Qr2e0eJhAcm+aPM15vXHAED7rkUY8rLDV4410zXLdqFXu
yVYLNkmUggW3W2JER5dSIjSgmafald66eMxVFLxjad6BgkF5rVrXc2UG3qTW6prCftqJUXLfuxGu
96o3p8AvnJonEIa/elSWQAq/aTrDMyCtbIhCbw96XiN9oqO3N0Z3uO6MOfYHmRM5anVduyrzWV6J
RnYHPenyu0krzIKsdmFtRVK0d4rb3M4RL2ZaJt/BkD+S4bwSmZOSwFKafiJERIRe0jwonZ4dySy0
vaYgvT0eLe2+NlNWLScHr+U2JlHqIBC8INWjVTKEjtfrZgseIr0xzOKDa9aZF8682Epp7JI2vBOi
iNY5BxsvkGi1kljtrRX4QGdXz4JsjVQsd7scHphiRL7aT+7eLs15jQ263zqEh9yJRarD8pSuJxNX
ho0CjmmJCyIsNJvuPYxXdS3HZLyecmt+MjLTRNCN6yxKkVWODJgONvDkB8Qs3VU1iAxhc9iwpkCZ
Yq2MrUD5qpI5AKMyDecThm7uXBEmNzO07G9pCF+spPm6IxgquR40BQ5G2ITjJtBnEM/FYn8lgtbD
aSSBCffx1q5z5yqt9WdaChMau7jfjMzxV8AccHE2PXgAg5uCmz+CeDkbBcS/MONu60bCiwpDy/0a
E7zCPTd6Om0ximXSLJTiOrai5pQ0zvDSqxaHmCKd4cjp6lrFfEVNb3cbYPn5R2ByDrkDIUG7IV//
x8SxNrrVKUcrHYuTBsben9D/P+iunn1vJrP9ZGuheW/LsbiVMgrXkybVTVaZ3ft+bp19opoNmAfA
lGvEEZil0a5097FplAcnaoxno+GRpuAbrkdd0vXQqmY3YnM/NY2VeviPOt6qYboPtVw4nES1+IgD
BbAarL3rxsqCnRpZidcnTerjnmbJzMKT5jbJDnZwTEJ4ZzurtHdssMFG6BtJC+kyaKMZOEcVbXKI
n0d886BtMU9GhPJazWfoXXG6mpU+vtb7tNk1eoDDbNbGL3nbpR45pvMD9jzdg4Bg15BcEKyubNk8
ynDQr+coGK5nFIPhKhPqMp2T0Z0lOu2exGN9M5fMTyc835MHETh6qmTV3BjzEsbUlFg9WJjkjh19
fI5SmT0YkUlweie0cT0MRuqhYZlxDXTtwarb2xavZ7JIjbW2/ahKsbDJJvRwqfpxUkL6TiWOtfgJ
Ek7AAKYtRcdOlKqgo+Yy6vVVYXT5utOE9CcDSPa6Usf5xWl7scaiC8WwjlmCGYLDHqjrIViF0dRt
BzWH2Ew2KY7ocM1DGuAPbDK/o5F3aywgUDAYhy5UKl+K+m/VwX/q47fqY4C0HI7/fX189Vw0z80v
FfJfP/KjQjbfoUJmqWIiQetEX5rUP0IeVR1WGUoympGORq+SAvVHlUyP6Qf2F0AaxzLUKzojvkUY
8U+qYhjCvx7tqYqX+T5jUFrmSBLO+w0yaJ0sCUdxleuVo3kMYjVcfdrAy+F1jVLh1AOLHwD1JLek
DI6I7NmCa2wwgB/nlqfynpaequSHphFMQtbKPNZmsHPgzAivM3rO4bbM5uqYRjSe7Q1pALk5HFsV
iMcIgNemOjAbBX/MpsX3L657UzZf03C4bc0YVgSkKNszcZqBCHfdadNIfEP6PN0rzozZf26juPKk
qxWqXLEeJvMWyzTQ7QKfKjpgEksUsPYNsKlMOp28SZQgvUd07X5qstkAusimq/GS9Ul1JYo6ggc8
uR8VQ5gll5jEvB6RZy0hh3AYMCpjcDfK2DmlshCfpG0PvuKWw+e4N9lx4M1sym6yPPoN9QI11kf2
diNSONOWSrVN5zzbJ10WfRb4yD7qjQHtVytj9ys4kq/ZOB0dwN3xqk/zac/fgvd9J4xTbMXqDjeH
tsbUS5wRXCP+P4Yrb7ukiAh0nSbVb4ewJy+tsl1meh35W5kZCCSxmtXviCbMbwhuaD4QkBvskSgP
WHrt6dZt9OnAxrgAhWMKVwDrSrwjLCV+4XmwbpO07411X+rKCX+/sx0tQbxMOWpQedviIZptSnCn
K2/YYm2vH0PEH6gk9Pem1etPSpk1C+9KN06lGXa+W1Eu56C69iQHzldZa029H3f4UTW9gEGwrIaD
EowbYwC2kNEqRW8SyPmzQjtm44At2EKpmfcmQb5foQ1jOWy06n7G4nXsFFlel0rYASualek0dtjJ
NG0z9ma7pDz9+G+wrWYfvVcsvcJQF6u5zRYte9cs6kOCAncoDvRfh6z07TaQibsBIgkXU3MGddUP
DNPnNTnXmvr1Px2H/wkwktizxdzz71dU77kus7h4/q+Xb9l/3Xf1z2vr3z/899pqO4TeotFB3Ac5
Ueh0tH4Q1o13KJhoNCw2k7/+l79XVsN6h3R3kYQavNGvFPV/rbQsx3SjrCVUdJnC0QH7B/0H63US
/HOPCwkoKldzkekJ0HfnHXMIHrgJk3iRnLDGrt0oNQavKGCORIRgbUShm51H3ercuiQ59ys9LuLj
AOvG77PIcfza6DQSqWLjSTTRdFMKvbjvGxF8pk863lQz/vadPczWrqqX0AzGQNYVGVo8xymdBI8g
bQzZrQIvmmICzuW1QwbTMdVKItEydqNDN8uMQAI3DlGoTOAivLTjZOnPfVJ8R1FCsgIQDnOTKo15
IrxrvEmjwPSUcuyVNcAy41AHLI9QlC143ApO22jfj/ROes5D74mdCipC6cG+dyRgHQaOMXt3jBmT
jJnsP6k5v5Qv86D9xlWWWscsXM1D8wFexalkDHdNZNPaXeKSxqAQtZeKlvD1WBmsXUwn014bM5kP
MV84+DdrvIHmTG0E8SF4mSkAOT1pQ/NUzQCovIDf7Mmk0HwqBjW94wxCnMcYR6ehC4qHqnHKU9vU
/XQFFz60ADrpeIyDyEavS7g9kCxVk6UKqbhybseU30sKGDKrRAs4kapGHHAYBAt2OwPu+ayF1PNE
lCJyGOda1fwACVThYzYtN7aTNyuyLvccJatTqkn3BkRvHF0nkFB3Dfdv05PhBeEsJkg9iobrqHP1
zRj1ZNHEVlHea5p0bhUCdI4krZK6hDxrl0MOYo5Uaw8LImNPqJ1xwHqPRaSzy1Nay165n818Wgs7
0Q5mMwxEpqSd6cco3hvU83nLZ9aMjVHEwJHmXH6qu1J/qtTJJKRulpbwrJBINNrrzhrGAGHQDpGY
t2MVRrRjTPder+PwdiRMACT3WNOstXrjsx7AaF7x5Fm630bK8OzMqQP1QnOvqwqT5aab1PBAPFUR
78iBbOd9B+5oIoOkU4jdWoIHBh1qgaGOThGtGpD8LbqZ1CL5DoP0HQ1IK72OOGPfVCzaxkqrhXgs
tAmgQqOoQ+hxvlRoxxCwhR5BaPVsbEOQa24A1weXNj0BbgRWTOJbnE+yx3OktC7FUFQJI+D7UTgb
E0vTyWFN29zZhAyC9I5QulqhHcNZV91nUk7xk141LgcE/oOWjcfnox2ECqGQdePpafCeKKH+Ku7b
5imS+ZGs0fCa8HcqgcRSqBs4TOalqRwIPbQL39Yz9RE7VrzBMwcpnDkD1Jgp3aiCf2wNNdvLORyI
59Jp/LhR+b5JIixUVXsHgD/y8WDoAlohMm8y66LhgxBMUna83spDERrBlliFuYZeALjfo/qs/DjR
pQ/aKdwoLRipF04Terab1BhHSt/pnT9hw71SHDXZl51q+ZNb3IEGvG6TJtjDKm081ynHwyIkWttj
nK3NNoK4VI5bXLoKSB1WmiyoPRnMWxLCki3lh7aaqtY+NiAKQJGHvh0OW6dNrA9ajbcn6bpuRXur
PA2OegdbVF/1NY53pXEhdZsyXAHMrlgqRLgJisZrEqu4Uouq+UbX5ajSqv0k63TYoUjJ7ml1Oaek
LxvkV0z0zazpb7SOkRbonWw1xNG0NcV8jOGHbTNTXXAITbaZtFRbjQo/paXgh+Iak7ufOvMnkqEs
j8ndaa7q9+2QBl6lR72XGmW9lUEBj0Ao6nvQFZDEaZ1AZSm/uKy22yLWnHUM929T1m3iwZFrGCLr
kiEvzsus72G+57F2NWXkKHV2+LkEX4MCJ4pR5UyFr7uwJDMYhU9DIocdGQPtI00IhLBiULZhPX7v
akEIXwS5sa1fYw714LORWuDKxyAy9yIx82SlMObed4Rk4WbJTcZnMq42rlvD3aoQQmyrjkhNggky
b1QU+7arAKPE9Fz8JCcNs6Wjw1MhZvs4NTSJKF/nOFk7Mm7vXPgzH1yUSGAQUSNxyomOdHPll6Ik
FXI1E2DxsbKzfKN1aD6DWHc2gE/cbTmTcFkNgfoE8QhzZA/Pv0TmeywcnfBBiYU5N3LnFjhN8b4R
owJBLfxg081WPc2lYRE2syCeNIDt2o1tqh2sMQmv3RSm3yosgDhkbdzZHhx1GDcSjyRtVQgnVmuW
tMQ042gEYFbmPFoAExXpZHYZOFu7gvRI0Hnm11XYrSTgwQ9tpTZPPHGFpJYdqivVqO9EkJS3pMSq
RwOvqb+Y8wSRzokwYXDB9fHAwpg7nfiRVd+Yyr4O7OSb0Zj5t45GoS8ig3yrvg0Gi31QTIdiIVN7
CemcvrBi7bGMuv4ugvXzMjpduK5c6VzLQP+suN33mO7XR6a5uOSnQvUa03osTEt5zzuF59JI+1Wv
sc7Nkwwew9rcjkbyORDdV0cnJWMu6QbOAeNRI54+TrTzUHSVum/b9bPMMXX2hkrs4piua02vvoWB
3ZPlq8CQB8C36/WuKD1OZ+aaVBjtJmtEvU6bIb0tNHEkLay4zue6Wy9Nr2lFKyYmESCqgWM0ECGP
JHsE6ypvXrokephKn1KK+iKeDW01oIzf2SRp+1ag6pJOJotratESYiTikAtRNyvi84x1VATxs56m
D4ouSt8Abfc50u14x5nN/lZr9V3Xa98hTCKXAzXoKvYnUiBVX1qEfo2pah/ciQySSu3MlW3IT2U4
ozNwu8NAlB9rZ1XRtpMp09+e/ug45Xujr/bWRO5VIrTHeJjS64xnfkWmibbhJAqrLWkjr1KTbd0j
vCnbkbwJmELavKQq9JbXRcn8wknaZNjTlfeBMzLUJp0iXQW5Mfnosvq1JcBcTkWTbzC15qtacb4G
of5Rk2HwSZWWccIbinCEE5vUWp4r62uu59o+nrtmXXFCvqoKYmo7qX+z8wF4kvbSOKmMmBBlmHGL
Ztg59NFWjQkZKpaIzHqHZA0qFvsOVljoR8RYbFSqx5Ne2MFNHZSHmi8d1dYW+8IxmhrTw9fLI6o5
oT+B2/JrLdGORpU8jmkl7gJm5tuFIdrRTyjKu44IFU7nnM3pc1kiJAyaLf1akQ2tc8h4bRJvl2JT
asWptFuICIN7hSbuO1G/O6nn2N0U9RQMzYmMcpI224aTPJOKKv9cZ0BG5mZ8GMDiVFp7apUCphvr
KX8wjMk2IP+CcGVqwG6JaOc1t5wMGI5l0EyGoGJa1wUc32uRy8KLRE2UhU0bQ0nz+QbCXfqXeOk/
zbQ3mmm6ycHqT0e/U/0t/H//Xfx84vv7Z/4+8aHbf2cKrIno5pDf4tv515EP58I7S7xahhlRo2mk
0fajmybevSpsFsK+rRraclD8MXPW6K65KG8WsT7yG9X9J2c+ONhn3TUGzpawKZnp1jHIPhctpWRm
pEPnxjf40Y3E9VCUjExXw1ScIHSZ5q0pJBKaMlOpEUjAoXpdDX0svDToy2E8SpTUnLrSRXrYxmlr
3EXUztn4ZDm9kqqeSGtImcwRduFcqMNNC1fuBUrZoDL0agp80bUWESipd0T+MCIiSogcldI1w3Ue
yeSQJ4X23QgLxols1M4XRSdvbxSwh+0U6HzJ6kf7387uLBzYjGHL2SfERj2laVwumiRBSSb1Omcj
z6raWs2GqSCVVL44o4gwyCgJ3W3XPoKailmM5uR6BIC2t3ur+zwknb421colcr0Q0V1tO0Su0Fua
bnpIRi5dPkJ51kbFJ145CJycdSOzygf2FF3JIN2we4Rei7H3Szz07WPTiyg5WjSxAI1V9imGGznQ
1RqplTJI0R5EYUpQog/cHjEtErV72wLv6fNNTB+DqSxWiuoCuCL+K7xHsIDMvimRASBnivp9TAjP
FTaE8SPOAI25nDmqryzntSvQEHEeTHJtg7EDOhxAnuppqkfE4KFMEEozJT8oTQEPi5By2k55MDsn
Jx3sDo6rySORgCUkQXmMmtlPrKapfZHZ0ydGC1Lc8EmIAdPTPh85M3Iij9WOiHGV/NBcSaLvdp2h
T2OAtWtis9sMoSF8S8I+6srIvpWzORJTznDM1wljv6UNUB+m0iTDMpfarWK5w7roc3EITHtSFrKd
eFkCJ/2Rl+aIX2dmsvZXInwI21ED6qRU1+ZraLz6V4I8avCBPHnXItTYWXMjzMrL+6iobkw2mXI/
U+aay6l4CmGxOTFLapc3Jj1EZvUk3hZohcmb10zDJIeTu3fbNUCrmPb09n1O8TX4NtH01Yes7m2k
62Wjsse42DJqlQArzxjHBbGmh015SEC2E6rMMfQll/YEOzuzoRxn8LmU657do/HYYctjw9j6ui/a
6EoExfCsIzyGUdEMsPGqgu7ryLDfAvSmI5pXmCEhCwaUCmhBNcE9ttpEFtcA+bTdqXVub4owjm/w
omkk7cqeDbSsA3DJ1Iw2EarVFBNqjU6TgFjCNvvreY476esKh2lShTrDR1Tea576muGYvOY5itds
xxpotP0eFuhwzJYYSJAenR+FOBt44kzIj4lNbGSm2PFRKcsMWNpruORihK79fMmc1DlsQP3FTnww
1eZuHtsEXmqnfFVeoyxpvdMdclA9WMe2NJp5g2EibzdhN5Ufx6BUIUMueZnzTOG9NYOqLrb8yyUC
Fz1cu2Mlmu5N6Y7lXscCRzZ1lulim6mRPuzthHbP/2fvPHrrRto2/VcGs2eDOSxmc3jyUU6WtSFk
t8VMFlOxyF8/F+W3Z2zJnwz3+kUD3QbaElOFp+7nDlYt2hdOffcOfnxn7LHdfCtzbD/3Y46NIbXv
pNa+0IyT1XU6DiCZeW1XI/MxsskY32SvqpsB9B2f6Gw3K8s/ZkDzFGGjptSZMkhp9ehhznAW2nzn
+zBMCiMm2TblW9W4aM/Z2pxt6xr3AV1urYGkIjfIzFMNlWZj+USLbrRUYFZrJ8q4E7OdrnWr4EDa
53acfWkbL3vOKH/uSTSXnztdyXZD491mrtkKF71stjal4Wr9ocUtPCysAfs+N+ni9sRfsBHLQgou
Vo7pCszysKwqE0AXQBByjW3PEfgwT4Ut14oTeWh2Lv16gPbYWlVSSIzoWguNTF+OmJ8SmzvY53WF
oyF+YlFxZxA8/CDH+ZPNEMb/tcNxZRVUurl3/dG7Xo4L67iPJmKVkuaAVtHTN9UM7wEQBqepWo3q
pooIdCpKc5CrsvVK43xsa3x9+9nNdn5TW49Nrx5jpbAd7DkqkbWURgXUAan39EVlpobzcskjniej
uykzmEwEz6MduTaUjFpKY7uYZvzUyRLwaBTb2OlFR4LLRjg2fm58py7+t6D6XUFF+5Cm4f+MpZ/j
/vn8NRm6b33/U5MSSHT5yf+UVW7wF4xnF+KzA+3K0H8MYXrl61loYH2HCBzHooD7p6wy/4L0D4GT
HwM4R0vyY1mFOpe+JY1GN0Bk90dUvvfM1MUiBU2ygb0Cd2f+TOQLrAkzTaGJPQ2hl6SOIT37dbRK
fYqeH97O1Xdw/n/huXeFlqPv/s///tWVTGS9dEgpLt9p1gpIOPasDK5kYrpMXfUkgNJXY5QM4Z9f
iWvQi0UBi7fecic/kBPjXiO2W+QCEztSO6NBv+wkuIzbzA9/fCEcy0xMKbic/k4MI2HSBnU7i/3U
5S95kb/Q73vJ+O+/uYzjo8bii7/7RlRBOEM5SuxR9gUb8J5m1eFREuYq/RevjrEKZxiuKO4Rb6W8
sdBLG0NkQWIWYaFKHzg316Z/1lbZbx7K/bmaZ0yjJUTniiKLfjlk1Z8/EkWcv2DBYp+MYw55b7qZ
YkUk9/TAlu6vP36D71U0XMyil4W5EkechTP744jQSBBkbtZiHzSdv/a6kogdH1yh1tJn3QfdTzH7
XxkTURcfX/gXg57Dz2IP+CpAeDu93LaGQ0bttqfnUtOQayyYT1r+gKud9Zv5tbywH1tiry8U9SSr
gqdDqXsjpZmHbJhSAkjxlyHHpxzEtMlMPbr9Fw/0w1VYsn58kz5CAqkNBVcJFLENrXqQJV3eqv13
r+6HK71Zmca8TGpZcaWkGKa1q7LnGTiZCvR30+u9EGJp3xERxukSD653g17g9EVW1pDvk7K0j4Ps
ypfawg13NfZjp5cw63DlJOQ2g7SfGf0FVDgGC/DVpTAqE+S6fC5VXR3B/Pz1ZPJlOTNVZVhMg3Oy
ceU+o1fZnuVuF4C9ggav+iFyyA4FDLZIiak3NtzNW5wR7Wcaq7QrA/61o+XiXU+R4Vsrijp0y2ma
PaU4ydLoJECKgnmhHf7m8+rvRyxeHb7PLPECYuK9N1MFDqjjl7UoUQ+Y9VroHI2XTgKZ90uHi7jM
em0ELQcXTLeo1hfYuiAS1Wrs6ijpZOHbWBPk5uPbErZ1hfdskpbha+26hPRtBy9/maC8H2IOJOfC
6zh3iLlz4ZvUzaoW/JUpicqNno9mCF/D2XuqKa+JRjU/5Z5ZHxwSRp8o8Kf1WCqHxhaJP/VEjMMI
GXCde4rwn24awOTzSvlr2cT2oe+x3Bnyotogaqlucbu3j1hyj1+biB3P6F3uHd/w6ymz69PodzIL
6U4mNSTLQv9CJ5Dqt+N+NOQWz2XEQ+eyF9s6iMVlbM71GtSeJp4E5s5WxlAEatVYAO8uaQTbRmf4
ZNDS11ortLDUeTp6gFj045Ubej1DKPJYaDl0YhOPNzQxBMrYIoare6i4hnW0S5iUGFXUJ0Pv0bWV
WPH7QalBr0fHGifSOanYyJ5ivy4e3DHHWq2zxOfGLc1PEc8O6jEadABKe5i5JxkB+Hki6EPLmlj3
lGvTm9Bgqz4Qw+qcfK0rrzUt7Z8iXg0m9I24dIfsRTf4pkPmmp+IE3lR3Rjd9u5cH8Zlm0i6jlYC
h7p82xaEtLHOcbwmb8dVN/hd2gd2tx6UsEx3Mmb+UBLRhSYtozqmMbagKxve3UVsieAyc+PqxSXo
68IgEGsH1o8U2tRG31+9LgFFF9tH8nb8s8TlleUpLwHNPdlNdjKFZSPiO3/Gm5zYtjR/CkhKIAR8
rNfkCmXwkslEmInJWFo5aWXq4pxuiQhoE0TyMYkExxfTkJ2Pi2KezisXNOmMfL35k48L8Z2q8vLF
9JL6yDNOG8zXOfrrfrO3MyN4qBFu3FlENWYhhsgO7u5Qd3LcWhKJj70qg7MWyj2KcJNPAHSaw/41
aQqtsPfXYPe7wUPXtEw7W5+1UALTYlET+LveEotZOLbVyQO+PbHcDX6VPQcIF7dBxTzCJ9MgOTyQ
xa6TkboZ20A+zu2c7zBW7TE20Foz3WZEys2bOQOtXrWwc6A9q9z4gk1W97c5M7c4S0zGuhid7l56
vfgcZ/SvvKlgP1E1N9sOtL5d3U4nGjypRueOL+Ekcf7UxGZ1BOupNq3qzDBvsxfTT4KzyHCtIzcC
fI/L/FqjpzWuk9JNLgiCUXAtiyUVgC80WJQBSD2KMPFbf+0kQXSbyZaogESo5FslaOBXuSthgybu
fGYbw6PoJrmjs0v0TTAwEObRr/DhTl86go9oJxFF0BnFjp7Xt35ovXXSqduqMfd9Lb8MyZQey8o1
N0Mk3BNlgXedDExKo+K2dKOQ57Jvg02cM88hYUUrk27VJ7q58wkj6i3IysLtVqIPyzGHEJynUM2s
vmBQsyrCfS0EqpMhCy4tCuxtozHr86GY1hIdycrq6CHOLatbOfZyB85P+rHNc5tl9pwCp1z6+NSQ
SUyGjCV7A0kq/cbMjqyjGhhReJFGT0MQYWBT0NuRGGVsgAKYRqXfBJd9tbg8a23RoiFhzUmInLs2
3JasZ714dhwWyrZl/aBlvbAqCBMy6QqvIQlU0cqxBv8apkN7ZgC3IqNYqs4haBtwiHIguj5jETOH
eu2OXJqzbbt/3ZXwZB6/JjgRINSoiCToCFHAOnHTpsWlJQhySEaStJIOZkbXLGeMmuZjYQgG09gk
Q7oqDZtGLG8njYJxXUIw3ryuumOSfu5z3/imj6xWchkjjj4bF3nUQ9NwaKtLerKscVRVK03rHRLq
nG1HMlKIfb0ZOugDdk0PMiNnt75PFW9o9qJqrXSv5fxMNNrAFyamXW9brN/c6k6KOAp9t6qO0TyU
193A2qPFrB5jwKQHPOSdB/WwtTJcG+JKpnQ4Tf1LYAz9SWoOtXk9gEl2xR78Qe6yBO1yGcT0Ddv0
0kot+QhBorucVNKfR9n8iZiV8ROR1/7aR8wB6c5w9nOQzpsKQsOlgO5zVeSfvYZ2ZmolL3W82Fr3
6T3z+aGVerw3MTMEtiybsNctvECmzsT+bYp3LO5fEFEMK9Nj01vUtwctTYoHAjOqI1hx8KCXvnGX
6oZYrKbGSXxfZElOolfHN4BUg5tF7iKDYN+uQiyv1bBHBG23uyoJVqaRiHHVd0GGHqooWMwyDrwN
QyQLytCI9fxQ0TgMIBN4i7lKW7brSTYwJAphofO04qbXyTNDwEFOlXnf0Ww7jo1VHmlV6SKsIZoe
raIDgTUQYRfrqFEYi52m0VQlOjMdHPPcLb0xumnMEXRTzzMiaOxUgguNWQANfEVwmvSPthwWHMwd
LM+idxugeF3NuBnD+s8SACA4ot8E7bOVkcZQiHxPgEpOhCxR3TjIKjrFuj75i54y7Nu+vyJtm/SS
zCYsKKRjnqEaTlp7TWCjIUvWnu7Jz/W8BxYqbsfMUmR6GC51JQcNGzKAN8ljVWT5OhX6F9sf9iKj
xNQm4t1pMSdbE4XTmoVDXjvk1Z8bVqVl694r6UXb0HiYp6a1qjMy0obCp1HZ4Iynmug5h8NDcKeZ
E9GGqp1cL+ORJrG6GNij4VzExHBWtjloYVBY8wXTNf4aFx42dLlBE7HwVECZrWkHFC+6v/XikvXN
dlm+7ZjqhJMjvYDRxplgLXjgfY7ctAz9yZG7j6vR91LWgL3T5zgTYHW6EBR/Pm10M0GHQ6cX+4YN
FEx6lOc4aese/WbqBHoQ6cWE5wRqkZm6Ig/a+sSEd069VcYpgSi/O7Sixvz5jLXcD2gJBnoLw/ut
jteLCRP0WUL3bWkQWTmd2pw1dfTS56oYbqKJbe7jN/DulMzRBLcyroTYc+Gqv3kBtnRKuFjFXjYU
YRW5e2xQbMcVXaaThqTuu1b3fxSFv/f3WC7oOYs5ABrPd25lVUuBY7v54ptL3OESq1Ov0w7kdJ1x
zOmxaIeCwMnHpYl19brtjCSOuTsAamObGIWGGKpwngmQkjtFXt9vzifGcor96ZTL/YHsGrgzLrKm
tyZZ8UBiBit2vu8xjVo5Wlevergo4WjZj01KIodGqQQjLTG3Ths4If7Nf+p8CcsfpwoMSDky8mne
fBJ8l0YXI4h0H3De3jlaXJ+EPf5u6L9DLLgKQAVmyXigowJ+cwwb0kFGblWne5Sg1srFBBOnU7cP
GzOgtnZzAsGmjII5ySn0Ph5z5vt3zLZsLfgPpnXvzeQhZtnY5Y1YuXRjHEEdr4MzjYbqE2C5c+rq
0ZkuA1pdD5U9PeTB1Lxowhk3/SSRfvV1laTLGgNlvykG39rEvaCEsuEBUnMGZ1lddX83kRH1By3C
Be874vJfvPp3eDUWgwySD/Dq9Cu2hs8/MwC+/9B/oGrf/AsXCNYZuvgYTcDt/n8MAMToJF3QMYcn
i3PFTwwA/y9s/zAacLEw0QGSuYv/zwAgvBQz4gW6ZNKQkPEHrO+3JpogWxAREcODFmJc9z3E+gdc
t1Ea6rmiM06VsCXNMRmXqdq3DofjKNEr3JbqZCLaKluIpZR5WB8rMSWixSxGOM9eKivTWJMIvJQE
TgZ/BTKpjTLiFJsNHaUgqphbTdXBIvjhTf8C+36zjJvsCeDQi7ULCwf09zez2e+GEX7m3J5Iz1A3
RlJpoUNpcjZJT78giIzT4McXZDP6eaHkkhigL/sUuL7L13yDr2ppYQkN0ffJdYOzuvcI+CuQcLg7
bPniRic4W2v2RquLzxByg0aFgy09ex+4LDxbJ156iZGXcoieJbbtKwKnwQ7MHlWfX6WetamrgUMO
kqU7Wnv9TDOzqk9owLGTB8cAwzLyiJ560zaQ7xyiUuAYjBXvWnOluilmoDK64c4z0aV1t8oan0sF
HMHjTetFS6HtRAYCFlfjJO7yRSgo+24Ythg8TeeTm5p3rWExCEaL7aa12P4nWwvwsu+FcdH6nN1D
L6ZHvsFQaCGuL3euJ3ZBVEQSm3eGARVulXodz0YgWPNZS4gDjt2R21CkZSsolqb4bMqRBCu3Npvk
UiUld/RKmWejT9R92ywJbhw0TePOzBKjw8OEjsQFNBVP27re5IpH0xqq5Ni3HeMvRiQFhEQY083c
VuYdERem+oRSTGlPltnz5r73GyEW0ABuhU9VJckPmQkN07h0ISR3C32UuyM+F4RRzY0Op5pAqeQq
gifs0imvls4rwsp0CeZwnpElRw/DRJ0vh5YfD0aDQ0SDsTFea/xqvWt4Selk8xVcm1bXYzKy3e9t
6P/lhvdoDaGTWryWVCs4uyunb+bbaUZkDbXTMY0ThgJFcpyXT+IteoKAqDe+H0lpp6DRwBPSokd2
Rt7ZeJ7EpFZCdEatBiik9rjfEGjXkJSNqXM7MQmLAFBh1eJh6q1racJ1jrx4XTiNQYrkqKY7tzd7
ZOEB55EyI7uT3N+hfo6z3jmfpth90FCEXIxSFFcEssbPCObhK2qF7YcpdLvnKs7lJ2HpmYI0yJBN
RsQKEs6LHybZUsdiJ0GOq6lcR22c2gseNOwW+2sznTWYINJj2MjW4/WOaem2l3qvHMx7nFhDulwO
jWUQ6Gj7yWxxUrY18ysoJd8OEos9vkzZNIjP/LHMXnDzUzdpqXOsdxHchnXMGOnMyhxCTovG3WQu
Xx6dceOuNLh57irHeQDokPD2z7wZJpdHmvi8y0U9RttO10T32CHVuKGCZSJocD/UPjUFBIKc9LiT
YyKwWKEZ4IwrM3C6LDIV3htOsx8Ww4Qzi2xy+Db1wFUAhrIZW+oOOEypjPcCZxYlzEDc7An+i9ne
5fOsaQ/a4M3NWY+wq72aUONH24KSfLyHZDEF96mtl/lNJLN2r0qtbQAALeswywXknqeSd8k5aqFJ
6SOweBDEvAh6UO2ejnihqBoiZo9o8IwMXwdyrjQ+HKnIzGNXLpOib21+ixot1lB8Ksy7dECqENJ9
StxHVfiDeZlFAQuFHxt5/dWzRuMicX2KR78ouaaWx5kiejdusycYrWMsVmTQ9n9beFLkn1pWCCMJ
ya1z2su6rCok2yrW8CHxCoJ6N2aOSRlkHD07do3HN++L1rjI+tlSn/whavJvjleZUGztCXbpptSl
aV6W7D8zAsuBWM5DVJk+4dXYZuj6ITEtzsWkWoBpaxikPqVqxik1jf2LCh+jR0cO0ZLwe+vhtDuG
RlkP91M9aRuiq5M1A6MLrSFODlYRRGvAaETfZYqFmWEZk7NOcALYg3a4izFp1mgp0DHHqy3KHbeC
ZCOmCBKtqA9C+PpD5wgztEr9SQPeWPUVFFoU1HAiklH5e+Iw4y9FF3nfFJKHFZ4Q1SXxb2fD2DbT
Ji9adU2WWvzkWLLalGxSa8o+64amW/Vk2Em5NSsdiMWbS2el9157FcSIADyR0z0xyRk9T0Vc3JsZ
NNRA7/othhgce6XC8ZXQXmJMR3Epi7k8czjVb4bRK65Z1sVTFgzJrbSLq9HTFSxheBHbZiJDT6fu
3Mm0Tm/jzi3usdPu4m3bV9UZilQwz7yZj4UW5Fvf4mwuySZBnOSBWKTSqu/YdMRj5ZQiWWdzVyGf
1OtPiesurxadycp3HTj1rjeoC+Eqa4XPQUmErNe9oDdv18WAZ4K5uK2PhWlekGfr2etEdypSQCfK
gXXXmhIQsqx3ftFMS5fLqg9L0O42dozrLKrFTof0uyYTUDxmeQviokzpHir6Q3Izld5w0fR2dBuI
xN1p3ZxvHQ0fPcJ9Zh+XLte90JK+ObFgT3vsKafDqBkBVnP5uJm6lnzbRS/XDFO2T6rOvZOpnP/W
9SI7BX4wn9qqDYrftGTfHKWpTyCG8s/ruRZ/+DfHqKYuoQoVggDyXgAhQL4J9dFiE7I1YNBMh2Ed
Mcv3H9dFb5qkr1ddPLhIEzCI+nnbj7WjOfGS0QmOTcEqmuIm3YQCTY7/Z33f1+tgSU9mAdXewnr4
+dwuk9odugBejg02zJqqt6zZlRKfHRWxYHz8UG9adq8XW1q+vE78xd8ZfhnMYS2mCDz6BUhtXaNE
eeUHaOkQbD6+1PtCFlwA20tqcR2jqbeN9CYOPEE4PKmY7mRcVIvDh4NFJehXX5+6xUPxj6+3qE8N
honuEgP1pqmNbz/Ttiid46yS6OH7FlQlyN1D6JFUI11KzN9vXuebozevk4db7DaRqfLx3hbrUxnb
PdZG9rGFNYgpk6ZT/LCgsgNXCiQRKIyfCrVS8mcdHFf98SCl+eXwnnWMRaE7v3nourIbXRW5exyG
dAkX1NBoLrS8j1/t+6nAVXC+C4jvcExOJj8P0SIyR9QdnXuMezC8CYHszvN/6zT5q6twoPTR/QJn
vMNr3N5CCKPxLK/MCzela0JiyL8YJk4As4gEPD6e93aY5A0dURK/naMZtekOvwAGhZxG+tBQOoyL
Xig5/+ZI9379Yk1nDeOxMELjsj+/viqV0TQWrn3ENsl9NAZo3rMuKUUG/Iw3lb+IWNxuZoh8/Nne
T3ZsBKHMIHompuHdjCCdJtVnQQB8PjC7o5p1skd/t54z+KAfX+oXj8jggNpEDQ5//+1i6RFtyaVK
86hapLCkTNWnuaMrWNgL6Luc4NQyaj6+6K+e77tph+78IuFK6mllwUY2jgVs/n1VwhQodD/ZcdD5
7Ux/RdF+QBOZ6gHohIMLvhd4/vuZtrQaddYTOpRd4CM4LtG+Ypla3Ag5txd1BncH8gVlshqp6+h3
Td2FbKSKtoCQNoeLmiZdbCLdxfqHqnOu6Hn7uSt+F6byfuGFC20hzWBFgvVnvtlQqtQZ0R1HjHD0
3laYRqn4nC3qyRU5OIteKqCs//hLGO/n7hKEQ10JFAnP7S0VJC7ASyL2uKPma9S6yrc4P6BU7THK
MtgyExEt4z1LjYtmKJrPUjqwWa00UDdNZzYFidLD3GypkpA14l+WrD++wV+9k4U5CU/N4tu94pg/
4EF6g0Ob9Jn15exTdOtOhjicBjVZaBW2eY3+Oxjn3diEVLjMBqAchijuMj/P+SbtlqJ/mo/SjgiH
1zN6OVNTMUzVwvf5+Ol+dTFwI/zpyNdiO3hzMRgMAfEdwXRUcIWvsioPzvTO55Tj6IJT0scXe/ep
eTK8UHF8QOrLcragST+8yjLXDNFF+nR0I4eDZZz2jCwmIqfEjy+0OPz8COBDhWW5XIoH+Ixs6W8r
owK3LOUKb6SCaJPuSucMN4Sa3/W4/GOW3p1EBst5Y8c29I4xodlVCM9qwZKXbbBu1E2S5uAE2shh
iR7bLD7PHm1bXXOBskC9rK1OFh7H8ybncDzSsbnqqzpA6Pfxk7z/PktSFLwx9jXIn29LobSaaGiW
XXdEoemvRxolp5JO9S7Wpz+uulwHp0AXERU9dORUb4ZCH+tmL1XSHlvdtQ74wPH8BKwEG2LY6pNd
qd/ih8vu9cPCaLOtQZVk6tMEgID89itVc2kZTevYR5fAom+EBskjRkTBwysg4nodqE4zF859rZT5
mw3AfDtE7IWkCVkT+8GlDYGX0s+D0S7o60MvyY6GAZI0r/XMRxW0wz5owKIMj3f/i2vkub1Gcm50
F0EMA6Gy2jjdm/0EgYEo8+lGH0pQxDlf8JqGxFoOFkPLn2ePcdSWbpftBn7/lddPWsVvQk25D6Dh
0J3NMXu8drKO1voyvAqNzWA39a0hjrKdRLcy3Y5YkVEBjXURPdNTDnAEbaGR8WJlTOf1HE+nvF3r
Rl5ej6ANF63baztlp+4VOYPavKu9ip6q7KuZpJfG1M+ApfUqxLtzCFaJ3Yoz1BJYa3gFcS3rGrdu
DtBzehz91AhtWThDscKMoEGdOTSp04N963Ksn605W1jVBdGXczgIozD+Hls/BxTXMuZLoMQChk5x
nlzJSfFnT2ugcKGIBfQO2gDHfjLQOBVVzcz/nRvvP8WnzCOQl6BY6ppGMNeSqnCmF9DydAxzI16o
rai0gvwQ+5q6EahskivIOUV9lseN7K87OC/lGhYNs7s2SpFjcQCLY90OvdFs6YKqm5ygzbPYdev8
ht5797ei9TuD8GbO/A2XQKQabWMsUNRY8JmVnvKDPLrz7Izc7i12mzbtSTOzzyRvU4JoYMJACmef
qy1iES4PDgJy1c8JQLhfTi52TFbEb0QqEkGEGq3qgHvioN2qOuXSTT6zawU63fJmlRRWZ15Wo3T6
GyPVkm6dM1ySK86reGMakzeKENacfZAS9Wy+HnqphbOoBB5g5pJDM8eMoKrCZwYyxph6Z7aMDBxp
lYbneq9w+7yo2wJMC1Vbh5MDnt8mzjUBKCNNb9XeGZXTFjsfW5F8cU93zQstbdkbXusAMHtG3xy7
QA2JSxfuaLieNZ0wTFWkrM9TrV6Cfo6u/FnC5nyF4Jxi4GasRadjZ6bznEYJnl3d0MHL/j6t3IWp
pi9zZvSszH+uCM1qAecJyzSQ3dMFZVdssP+GTxC2rsMoanx34XgVDu/V7BbM3Mq64Qvk5BHzR/iA
SLuW1gzx0s+RYy2FRGxT2/m1B7nSyBYktgWeXwmCs/bK0EHgX7c/zx0AGROwK+/M8ehHrHIsNLJt
DcuiO0GvYZqWQqPTUEw2L9aOpG1ts8CM0+uuargRQwc72YrC7G6q2WjU06A8S5MAPU6e3/g1CXnn
jiqMOzfLKjsc2iidvvkanYwNfHHTvp4MAQqcTNTGJEYbo1eyH9MGQPOZAFcwVmy6ObAh7d7yPlGY
5xgp4mtY08QtUinQcEYRXIWQJdzJjkXbgdZPBaAk8vZq9oEkIHkdS11XQG0g5L0PQDajChq/7/j/
7ZP+tk/KrPlhp3/nyn2eVtW3ru6ff5JKwz3hp/5plAZ/cczk4EA7dBEvIMH5xx0r8P5a1Dm667/2
Ql97qP9oeoK/SCyjr4455XJ089h0/2mUWn/ht0ccJKc63wn4zX/UKCUv7Of9W0fFjULaA8PgBonu
fVMxWNACSpKI9FOla3XSDCFmhtpaGVVEFr2hxCbHc7teTfgttFulgSttXNFb3xTu2t2qnNOKPtPU
nSuYSkENmRmOmppxk30wAqqr9dgZX2LfjO9LPJDCNHadT9K2+/NGj/urmQSAaJvWOF3TkdW883jk
f4bSRXW6Q2NLamyfVScvUzO8Uue6aHvrizba0XSiG6V8ABazP5MZNnL3Vh4N3lk3N7MeDoU7DnCj
Smv4O3tt3pod5rsu1lFBBllt6shfzrtpbbW6BYHbGj5DohzpNQ2y1M5z1JJLLUBY1zbn296SdVG6
oYWDQk7eQpTeG8kEm4/+1xy2aQa8aru4MpE20ty6mFYdOq9PdqbK/i6oyzepl+KCoDcpBg/A+rvM
TO+m3Mqv3IwO5p6/Yp1P8DQxClNWuu+J4GsxIHGsTW9oz2i31QrHn3I8sFuwUVSBtSHwPICl6OOf
AFDZOJuZY+aNoRfOuQzoRxn94BmHIQgaTv1zED3Mpe/dCs+J7tp+Mn3kn72lrbFjd4oTdoGszF4b
ZY9ybBMy1EwsWtBA8A6EXDWDqo5uUBenXuD5irJrTJfKJqI3jGHZqR96DI21WCQbL3Xnm6aK7VTf
RTHdmdzABLDH+HBl9iNa3nHGVsmfZBLa2Pxt/SmK9nZdmo84qU0l/hHafBcUHu7ZSMzxD8E1yi8e
iEUcKpyp8TDUNwN7rNI2Y18EXbejNzLp3SGJHTzQyqxAd/mMCU0b8+VQDDtkcuEebIdmI+yLGfLg
RukR7HnI0Aew6xs/iVxc4WyImHk9Znh7tfHKrrFnT9ygh8fcd/6qmDUrXXWOOW6KOZJhq3zygjXv
LlfOunTMQzy0587kZ6t5nNGh1xd2M+Pk6eQ7MukiZP3VtqIyvde0BHMuXK5bLrONUQWv0Cd8NvRx
3tJCiHA9n25B07tD0xJuNbtNdtaUmn4QDh7bOCOax0X/i2La6DadBpe1tFV6tIGStqNfpycNxedB
b5iapluY98FkPlW9b4cNJvqrLOk1yKCZ3NaV1+OSZVnZgarsS0s1cWxTOz41dCbW81zqm1ZMO9pn
GNmIYWvPgvejYbVTalUYN1qgwVDMkhC9+Ddnbh7RIWTQIrCDdht9RpbSYjCGXnFcQ36KzypHEaWV
EnTWkCDbp1q3+G8aK9oMUWi3mXHF3WenzJk07IgA+g8QPIZvYqFG+4nFy2Gy7RshkW2wQVbx3O/r
poEv6tw2VnGToyqfjYi6dNDDzJzvUrdHL90FR9ysbrogPXBQMde+Pm3ijLcfI/j1pX3fNc3On9R5
Zmr4WzuD2rai6DcymskxiewHF0LwaqzKbm2UxbfC1tuVWY0uSpYEJ2cMTvzGMMKgd7tVQ1tZTal/
bgto5lmJrbzuB8aK+C/7WicDYFOqtqI5KkfGliA5h+/h7qh7ulBLgmHvt8VXzEGhCZh6cHRZLo9D
S8dMRVZ2kQR9tocjlayZFcZ1nDTX+D5vcJBa+3NdXSjfzp6LZTXLh8jDjwuTl5MQpn2Tmo17rMVi
hmNklDQEbkEPTh51raOcMdVL0pfGPvY6jihpU6yIjSAYkcblEdYafgcs69e9NYpVPLvBIc+8m8ht
r2mD61uWCf9UZ9qI7zmugJ9YV4a1Kb1IroTVZxeZOciw6fN+p/OhtnrdDHS0nOQG54DgvFU67AYN
x7us/NzFphnSkoPoXG4r3LRX5Nx6RLp3N51bsbosHhKDnm0zK7e4vdp+Tuz0IrcSdgfCH1An4I2V
9XcF1P+tWc7R7ZiP5wIRN6ZPfXYPreXeiQPweU0+d3Pw6MbmwRwcl3E8COIZMTiHmrjtxvZQo7/G
0zbiLTb2hWnEzW7026+VMzkbp527PRlUd4KEdgZwTiejJOXg5DQjjjyGdTMEAi+i5MHNTVIOCoxL
STJbsdJuUKo82cFI69V2wnxZS4XmX/mdteswvb5RfLrFV4QoVpZR/ymPYuOxcHwXE0qPqaZhHmF6
8hw28EY2+ZHTcb91ZGOeWjfzV40UWCuRBZyE+VT4O8jX8yGp+z0JRUeZRvmuL/Q0jANN0KrUtmxm
RYjjBxxZKLocC+3B/mprfK/FNde/mGbdvk5KW+Mk3DbnxYCMYxplvRGZk3wRyrXD0RzOVIqLbTUW
94Yt91VUnwdyZmPNAtQxbX8rwUGhW5Zfpar2gT89Zl5ebCTPA3GgzkNyp9KTnKwDZBNjayeRbxLV
4MwXyiFdDLZ3I9YDp7CTkzrxFqupadUNsfU5qgdxA3qU4x9Cc1Zs/JyVSZZWdUXqBjTkuk3csGdf
EymhgVONtT3ZtGJbDWI4M+MqguVhcngZ9HQVWdp9oo3L9jzG69oNsGZzLkaEvA+QNapLPRZSrW3M
AiALT3M23FRYIRyCLp+P/5e7M1uOG8m27BchDY4ZZm39EPPA4CSSIvUCIykJg2N0x/z1d4GZVVlS
ZSu72m4/dL+UlSwlghEA3P2cs/faY28/AiWp38j8NOJDVKCN2Ln+YGsgI4IQWMeppv7APmtt+zZ8
L4z+ViQ+wnBnaO+1W94OpUFuiTTuiinpbvDqftbKVrtu9KpTM3ufA02sGsS2k2UgfqFx2W+sMm++
sLw6hwGJ+CthH2qLDkoRc2BY26zqk70HunIVBLVcF5IQhVT3L2FMtmBpBsYlRq30hK9rWBGOFnz3
yMXedIzxV25i569V4ENpGQyEJF3wArYOrkhQ+E++T3yCEXlQUfwkA2FYmugpaJ5CwUKeb+N2G4EE
DztuWLayR1vuGubfvNf8ejEVzLbIvsKKeJtMw78Pw7L/bOt+azKJv8YJBs6QODe0KrVAJJ6SFUxR
rJxVbar8jMK7OgAjdDgjlPFFgEVsJZQYw/XrLQOO6h5xBDRCvETdndHYwWH2veYztI1D1U7jQ48V
bCfCNEzhaMr0CojG10YG76zOORZFL9xQw3WPaSbgUdvhvg6xubiIvLa4ftggKK5BOdj9OnEt2i9G
lVkoLQhtrSy3ucqEngEC6ukKynZ4GCoxbvykec/jQqy7MU/FbV334hMLpEYw1tnQCL12SPK9U8bo
KgpHsnlpo3xpGF2eY8A5u5yz4NNiZJlwNuTBouWfbPJXbPFGQ8V7c1JQnM3cxiSYJ9hZaJtv6XvJ
nYWLDK0TRhTsgKQ4zMYq7RDy29ZNRKFi896WqiMKh1F9wckDH1Xaxwl4HEFf8qzQSOxk0cefQoOD
qLhw0FqT1POkwvmIsv4rYyxv39RkkhbMy7BFxYs4hSSReXRDoLbmnrt2cjOQdiGV7CavqowMku5L
3zrkwMx1tyrryN64Od4eRb7A2pDVIXHKejVFdbtC55YfbIQGq0RlGB/MAeqmfZ0lmY1MyFP7vPaC
c5oUyAhb5k3SD5GZJbu8b9Q9iWPO3hRv0L45MKGH2GZF9EjXqVjljbWJYL9g4KvJEgYQGvRZxPB2
KrfA0g9zyXNX4EpbMVgT68ooa+ze/QZ9UcNykrorBJRAjBpk47NMvgxkMXgc8HdmwFdchPUj3t5q
C0UBZVBanAcPw1ImAkR0I0dDtG1OjtOwZk/Mq2NFzkmIuGTvxfZ7XnaPqGrcG8Ob79qCOsVq3Wk3
ooNcq7rd1A7AUbt21cVQY79Ts2E9MXTTqzYvisex1TRQLPAfsPgchlPA1+0KbUjCQHVlZRWdtWJ+
xO+IIgqd1jqtovSrVABFRn/G1sVTPubeajIJJvbGIHr0RX6F08q5Vg7mz66BROxaGhCfhjM0V+vE
IG1hdHqkjjohELArHpWTpZscb+YOg2+4dUhR5dAduKvJyPILgSBLMqwsdqHpNtdeEL2ZWpFvK0cs
AYMc75oJKWSoPbEQPTn1CHwbZp1dl+PUXVsmBPOqGdazVkvPxJyuMQ2d4IObWJEqe+33PQP40B+u
mPp+rag3cmG8WMH8Gtce+Ti6u6LMBX6YSZQ18zEKZL9FlbbPiWAKSHcSHvR6obP60Eh126T2uRwT
lscEzCHiBXNX15S3iOnsvd32e6tyBd2q7BwgtuCcYOLyDB5dPyGUL51fR797j7r4raokz09l33Xt
BZLlY0UwCGDMMv5iGFaPkjY/tgC61rHtX8HnfA5qfHJhWO0lmyOkxqC+jiIQVUZpiivHqe+ygdOZ
oTNz3XazTlcyiE3sbRUg3tm47bymBzVbjDNbQhbxcdkJGqQHxH1MQaCPiif4y6SSb7bEs2FHwwTI
0dJqNTi4XVeJW7zkVUY0NLCt4potC0rrWNk5B7wKX6SVqPJuQFZ56I2xWWyocp+lRkzgjwUTal3h
gXzB34FMj+YnRU7dPA5dkNPohOXFqVoeQz8p905YOrt6muMzjmBvp8ruYVIziuoqvAmDLrstU0PA
HNTdeU5S71TbgTpY+SRPXRVNO3dw1INT4nki/ueVGj67yNKhwI/NG4xA/brXVXxl07FbdyjYL7SM
nW0zk19uVxi9s55qqfcdY9cy1dgATOYAUKL5KgFhxegGMQEzryPoicyDDjgXirob7EXIi+vM3lpJ
Ht14yISJA5zegoI2fGH5iHZzvjEOtZeyI31EZdORPHBki0N/jfyOY4VOEKLK8AvWoXTTBD66zyJB
lFu7JccgNROMxo/XISZD3p3YGznuUfXviB8kyHm0cIfRw0wqsMOcG49+UaLUzot+t8QJblnNJ269
W25zbN0ZzhuKqeC+ywxnTylMx8Ues5dehiEnaceUF7ZqdqGBagF+bHiGpBqsarLYNxZY3VUni7VB
y3uJ92pw9moTb0meHrR0ltyGOiOCWpvnVjbtSVf292buLhMyLGInkmdrTq8Fq/uWMLbiNlPcxkp6
jJ6ltRV5PqwNVGUrrwLPJdFznwdSHFILcaOsikvs+U9VEOo95+tmPdY8/nocd6Uw9/FAv4P8AmoZ
ksZ3nWSiYCDcRPjYfpurGiVhe5no368U4VBzbKMJbqizLLtcF0ZRroY24ePltGtsvUZbzKrsmtGB
hE/04LJ2ObRMp4E3dd0t8aZm17JGEgu/4QD41vvZW+q7x8BpbkeU18dUT9aGEvLMEv1EVGe5c7px
S6nFk0yXf932GvubSM3rWXTWPhgH2igzmy49X1Tb4h6D7DEA1Tz3nlw3QDdDCp25/Nw4Bm2TYRiC
nUWPmbXz3priiU/Ut1vpDVRewYBjiXKwBas9w4rr6AhsRJQOp4QYu5XrlG9lW4V3WWxwIwN33wyA
R1Eczo/EoNz6c9iSYiusja3NXatdf+UoRaIXB2Xjg4K3osDJHooo+RaI5lrP1lkG3itcR7rir60o
9l0bfAfVXlPmplhdxZytdQFLPivXIquzDcau73Wr5Do35JekMZJts7T+F5extCr4yXNAr2TOQmLj
INWtEtCsK1YtgnWzW5WwQK81GOURma/j35ARZYEATsDFjXGO3r+nKO+bSfGX2MkRvBfoP+tmW+qx
VJuk9Znre2fwWGf89WvCt5jdgIzvdnRxUODknbuSs/DJORNT02Hcn9XewQtLwpXnqGOaNwxAWNVg
f2mh3IKjcYP3c+RE3j4YmBz1rghQe+6UIQcFYzKh1eZRI0wsH1aHh94JRWOtSr4jF0K2wpk1mVcd
Fpg3LUdftlje4emq7vdx8393v37/rbp+Lb7p/7H84HcOF6xzSfs/f/yj/v3P8bdq6X7/8AeIBWk7
3XXf1HT/TXc5//R38+DyN/93/+MfmZZ/24lneP7rTjx+VIayPzbiP/7Rn414rKEwRq0/kij+yKgI
3d9gOGNJWixH/2Rqmb951ILe0hdHk8kz/c/+u+39hkbTMn3+ghkghfjP4il+jrVmbA7K0TEXvRui
TEyyP06wlfDgfTQxrgjX5JSJK9rrWzIMImta1Z5DQENc+JgY3Oo+rafyeumYr5oAM8C6DLtsK/zU
/JS1cp62yhrlTQK5HUiSgUo79NV+JNTihMdf0GZMyTB0A7Q5qyoKHTYBzCcQVNzk3JOIcGXGjApW
lZVf4dSVt0vM274ww2Qf+ZG/dwg0bNdxYUQb3UlvP6eJOjIa8C6dXpZauFMGinJm36tiCKyzP5LO
IwsPXOCIZJ7osw5zu7GcHMoquq8aB2cwGRLjsTPfpJyrV9oCwWWWdmSvaK+2HCCZKg+MAnbkHXo3
QzQGzKM9OKikulXmcbFGH8iLM96HSjXf/ToNb+ysDI6AaSDcjgSXrZOiFrdpUndwMWx174C+O2XS
NxlAy2yCYJlZ3zKzokJ18TDQbbSpo7CGXMdmGZ91PRvvpYcxdIXlnRHq3JTHKW2e+3Bs7rNhsUsk
Qf+Y1G37KQzbkRLDmNXb4kN5ZlWQIR1gzpweTm4Y+mWIBCooEakhNVhZZqqIUAilz8ldQPlmxt6t
LWf4DEOcXaUr8zfC1dpDOKftTkA/fZ/NLr9KTXVjzLF7kqqtif6Y53Md5VBhXV/v/DHQIKCpO2BL
TJ2luJ+xfKbqpaHGt9Tx00g031nazs8TEZmAdwqPDzqGbLIi6q5E6hqHzDWTPf7w/AGFafJZtmki
qRlr2P/TWFXbwnMzQSMAfRE9M1tiPODZo2XtdJfOCWe97irThgYkcIgl8yKKjWnSrwddJhvinwCQ
4MoZvpN2QHJfPS4irDJnkF1nSXmb4qdZOZQDV7GCfOvOE0gCFRSXGhrPlcUIalrLYqAvRV/Nhx1f
1fETcB/LA+4RO2/NODgwRbEq7P2cSghSULHkpTPz5tDHOSwoQSYWbngXR1OyHgIDVndBYU8qkqfc
6zQP+/fSt+XRVLSPhoym/abX3UStnozneabby6y4LR/DKouejcKLjROd+SbbQnkUX+kD6m6VmAPx
pWThRdt+kuKlDfOIQ13ZdHeiK5svCnnEOqwH8Spp9nBkndrpXuNOCA4Oh3PiaoOwwpQzaQJa7dFZ
gvuwy3aRsJ/s3oTFi0ftjQM/gE7BKDle+2rOD2S9Bl8yCMwX6ZKvcURmET6Qr1rRu2PYxEyMXmW+
qWG27oKkLF4RA4SPtP7fDHOoNx4pNlBuvOmbWytGXFqIqtxGQVQ+ZzFHjHWuMnZWemLqpfUp8VbM
repjEFXthsYWM7fWdcMrYmGpWVt1h/gvdFZNyvvMLtzARFDONkCpAvTBh6nQk1E5OnUKATTkGDS0
zUlWwj+5psYHZhPWy/fgZPuq61jRaIX4ayOszX2fO+m91RvuvkpNORK+0UYOcCxlvlgygYWz0H17
yyTKMSyLNNvDqMmPxCA21zTDUMQQr93eqyB1+GL9IvsMlIWcVyjuNpNBgteOUTzSdg6Mof7Sw7NV
TKICfYBOEcM9MSd942hlvFeuT7Nfi6y/nZqJ1Ag5A7qojCyENOM4/c4IkuYLrIzhW5Mnw8vklOJi
6xTEC8SwgGRZd1LROiQY+CaZwgi4qlUvQQRDhMXHACQlzPpTLElNDmQ40OglVJA8AEJCyBl0lsDB
fokeDJcQwj4mjjBbggkr4TT70SweiFzo9loRX5iiVqR3oXCZ4GQi4DBsQcAjH5+/zriMim0viEKs
llBE8yMfES1tdjOa8G26s5M3HiGKDpEB6ef5I11xIkpHms/wYOlz06ixRds+d0yCs5tojAwgXZl3
IzJcXrPI1b1X5Oa9J/z4lmVxRD8u52MfD0+cU8v7BsXhfSd0ZBGvm0VPA3r6Zxu1DI0iv+REiwrp
KQDBwyI18FoFQNNuTShJt/hom52OCzDTqXQQeDFMocamBcp8jWWb3W49FlN63RHZQTPSbzIOvEVB
ZrPJr+tJYyc0EPqVRrvFqx7SdBJKe1eYCL0bxnPWxXXLiCpubqNPTqC8Y0b04wNnuQCdD3nK3+yZ
2DNISySgtUsY2mQSixZWNQFpPOPHmA/+TmMe/sik3D2+5I5cU8LV5EfO2twY8yEW+cRxcaKlwtx2
27RRh09rSWnrlsA2qyWniGwiWiBDdtvkHcavhnC36CPnDRN+dD/M0TK1sBiqVHG1Lmdi4aYlIC7G
27dfvs8HtcTHhdmsDiwX/j5rlAFQvCdnzrIGRuvhnHwliTs9pCPV2Uo1I3Zo12yn07RE1llSDUQD
hOGxFwTaEUVQ3PZLyB3vE3l3iBoVDaolBU9/JOLNH+F4Hzl5nU1k3mCbBSPUJUgP16HYJku4Xtbk
zg2VZnSZ/XA8ajZGxDxkzZfk8plLQJ/QS1afq93mOV0C/Ezg1Ue9hPqhOSXfL/3I+kvUkvvn5La7
JgHM36V9Jm+ZhAxf6iUqULbCe7GW+ECLpKxtmyyLJmYU8gXnYQB0pZRlVZ9KEghxfuK+65MgqXFZ
LRmFJtEnCYOFIXxJlxBDBJi6ufWUTvXB9vGtrmbPky4WU9GYV5ZHP4fm8UcwIhmnpCSy8fPNV4g/
PylSFMfQDqadvUQrAmH31wlWwWidkbw4C4sZaKtyXRy61kie3dp2SdXweMXXmDxNd6sGJtu05QlC
nr2LELCBmXPGgM26E4+spZgK9SVW6FcSfl449o6fGduW71k/Wk8hmoAHsivqEzbah6b0p21hN8WR
+NZ67XeAaPxqvPfymaDy7ruTJq9Z67343dC9YbfiBOEodBra7V780MgOnh/kt43It4MD45ubgxwN
mOqxRBT43Z7dvly1dSOpY+nG447rUmgo1dTe2e4gpzWtfFpTtWIo8RB4ndoWszXfJTPnHeZPg1sY
/3fqokv6ripdfW9/rIQ+qps/y6T/t6on82+rp1RDmqx/LqCWf/ePAgp4g4mgHZSJC7rhQ670jxpK
/IZUECix9WcJZfN//5As2eZvMB3wZbF4hiSZusF/Iln6WW8cuotSyRGQThbnlc9v+K/6885sg6Tt
kxj1ZTlfzEJNeztbvPhOTn7dxowT9Q74rHmvhYr+BuiCNOtHtRQqbpfcC0Canm2HlG0/XR0hT+PK
WssjtO354sdy3hmWpqsxF1iV3DYxD23jcr6FdLDgm5pJOgTxWSU+2mp65L0CHId/20LvJD2CtkOx
xKXLCOMIhzC5IQsAmXot1WyxWKbdfI5Sf+roatTWlj12voR+bB74LWlPTYkzymuI//03PwvQGDdp
Ou9UYodwEqjN7jHV+2uVReM+GAaknD6/b22TsuXjSzhV7sj35pVjecWv6eJf4Yz/aoflvMPbJ2HS
IeacsHrSqkscpiGHfCJ+SX0SoM6MU0B/nOwwBDr+1x40vrcbQp+5hNlHcbotunhUNAkTw31JzBBW
GUCBEO5/1drIplcD04jhtrH8joTBOBhi8qmMJNhVchLx/RCbHup8WTTOKiWMjT6YRnGwMRLTdo9s
YPxN4rhC/3lUsi73HIPxIhiSGQ3RbPScIqGBAYghmO0A+KAn4jRfFV5EYQ+3I34r5im+4WBXbStz
ibLR/tTUKyb9wfNMcJVBP2sgdrps/H3nzZuWPy26afXuZk1/7dPw12tpxvYhR53OBAUC6hCBhVSc
xYIw3xMnZV44/SLCDXe16gNyuvEpnRX93MZp6tsGZzwPTO2bMF7Tam1w+rvrvWl8pHKRz2YyyZWf
l8naBlqwnG7cb0Y5Zvf4H0CGUoBuytAId4Q4pMc2CO2XzGXoPaAv3aS+Ko9pWLYnJwLPJER+T7Ss
vOtHTMy4FGN/DWdtb4jBo3VbUiNMDz5tKhIXwlC/uZWI7guZ+JuR+eZRxh5HwqEtzrid9FaDJFgD
s8iZZRD53hgiIcmvCt+9mMxuxnkqu+0BIbzGnA4E7dvJvCYbkdZemwnjVGKFpmgwS/NOaRRGQwNr
27byh8yorRcq5TqmCJbvqeWJJy/gpXIANpFsHjnHmKEk8qKxOCp7+BZFOnid0X1sw7oi1oo1oX1F
nLEl1IMzTjI41IDDuXcS9yaHr7ez+xlemgdM96CQER9BJ3iXqPLFy2h1wbXgpEnDfWiPYSbzI8Qi
yndYFw8aNsqNPbjVQdqFfR7Af1zDHECRGNfuHVwzcQ0WNHtuyiR74Y7m+3Hs7HNXUY6RC15fy9nJ
3+u4ZZuPVOyfUmXPtyRf9YyksMbBFuBkHtWBTz+4RSZsGAieDHtML8Gk7LtwNj0Iw7wSh3xUHK3r
IE1P9CXsm45x8lWv7PQzAvixX9nTYF5q2aeXlgT1h052w6c09eoTfItya4xp+ELNnD2p3mvPrVuF
xhaZUXYyZ8rnnSiS4ha3aXSsIaHu29mMcVSEwU41vfvd7eE6YgeZPo+ZJTdxaLDT18WxdaML0Ihy
A1jV5FS1iA/L+GiF9XmiUEKQYjNWcLqvXTkg8JZlfjDxKa1Kl1mXELrfq7T0d1Ziknk6es1bHbnd
2WyGdJc78PO80hnusoqhYSKD6VCpzr7DUDk9d6BW32G/9Hd8IdHNiIb/MydVAUtyKDa8J+2mKsbs
MMDt2ddO5sHR7Sr5WKdI47ntvC3G0OxCX9ZfbZKw93NQMPsdI9Pejh4Vd1Oo9tYXeNs4/k0eurI+
WQUMQr/PVkIbzoR0w6PMGIpx8UM9yv4Cj/i2RuVxbdF4ebYC3v/ZDZvdaE+Ix80pNS9eKs1L2MqQ
5JDCupvGvmOj0BPsnWphkObjTd50dU54Bc9KR0djMyPPKdbR0DJywEBxqisGQvi4ocZ2dnnpGgbt
vs1SQ10ONQe5uNU44pM3IU1ck58RrXXjTe9QS0jVGwwi2BgXZNlBw1h9Q+eJJDKTxH9KbKJNZX3J
GHgeyT3Bl0ff6UGoTN/Hfutf45pBhtBh6Fl1k2weddmFCHX8+dLT1n+tqw6BrRDDfZ5WaDF4e/yr
chimrxN6Cbo2cQOalXjYkxEX/T7Sor/uW2WfrNxaSAlN8zSAHL0dXVqKk4NI3yZH6I6drX7xiFx8
C9rS/z5h00Cm1moQNWH8ldlxtoXsgQoCAOsABPI8jdrd+IL8SINYcEncnGbOImQ2rEyd9681HMsc
Jg1EoLU3G6jrE6d5IvO23VY+VIvALdJo7XqZ/F46OEd02Defg7j0vK1TxcWbHcfBvmzG6NKJKDj3
QQkLcZzp54UBgiIJUHOy2N/QQrT5deuY4U0WFPoiia/ZdgFxOeRdgvNscQhkjkRplJPnZ/Rl9zmA
Dg1AFlUOwksDhbO2h+6Odk1wNRvh9M20u7xbILZs12Cw43M+tMZDkrikoqcVS49EGsfEwsjKZdGu
6bHMUbRtTZJ1UaHa1ynqV5YloNgyyCexyiKXfEWiLJdnYkjBXYYGBCVBtQk8M3iVGHt3Zmq/Op2u
LgYNhU8BMqKVMEf7amhDh2Vwsuh+ILuOo/Ky3ECYCbbYz21HV6tMN+ScWxe4qdkxtqDRqaQkuDy2
7Ec/aPvt6BsIcJrK3RtehgQEX+UWF5cFaCPVG6Oy6yNKNH3nu7Hz3iYqp6xv63nTDX34SbjIuctG
WzsTJ8gDxO/EYdJXO7cyakiYs/oxvMvj0t9juKvWg0n+cqQGbnvhmGjQEbc43ngKW4sApdRovkGX
tVp6wIh4orbxD8gG67XO9URI6KTJe87rWznVzQFuoHUYbUa3s4swbhgoXPaRUP5nzgLWw2iHGbRN
1/a/B4XRvRRV4O4iWT+7Te5v6Q/d2ZbS5DVXZsu5A5I4VM6BSXTWZsBIa2UcvdLSoKkQvERs2s38
ntaKAEWaR8PJ6sYNfc/hPCEA4NF0GEZl0r2NOJvuRMpmTW/DydAEK5+ORzNz/kBH3l3bMQFIkKOf
SlMVN9CMyIyKEPrt2e/KXQ/bnvkqQy0jFf7BqvLgxhf+yK7gpy8c0Dy0OhlSpGaKDl2dReh/ZWit
fKGEPLp5LNZLkuvtUNUovJUzZi5Ei4rja69hvTAou/eUSlYDsdlHz5wgwcgGaWmOxZOHI/QRpcwJ
rX9p7QmFnC/YFjhMj5xUKSYtc/jUm3n8aMoqf3QszoAOUm8iEKOmuallG55n6XFaid3oaPo13Uji
smxU6rS+0ez00RFYInN2QDTZKWsRx9M/EGnHEZNeK1O7WH+zYa3rEIINPmRE3qRcXkW9yxSjDdTJ
zdHdUl3bF+Qt03XYIKEJ5UceWjOekpKU+piD//OMPilzvIfYgzLbWek1rmzBp3ROhfTFlxT7JhPq
PCeHFyH6yi/gAsy9dZwMnxjXIbE3TWcQIWnPryqZGDobd0GNFCNMeo8GuiCCuUFXV7XlsDdtAxgy
IGEyq61zmotim2fxI7fF3nUwSNfMGLuNnXO4IYr6pndS+6Jd50Vo5KS0D7pVLGW+kTKgFV/kfDG0
OkjbZrCLs6Ve4bUqT+iNbZSTwS6Jy+mEXIxupWM92QrYz5pcr2JtemTpCSgV69kY4ZBJ0rVmqn2a
9AXtPviehNPaL5NhjUhGkJMX0MrDyPVvyKyT69orcarx+L0a2t9CPoseoLh5hxrO+AnpkXlJijyl
xTk46zlQbHM6Iduu9oHW6HZe40kmCtjphlVdtfF1CYFsFzLjuXFNPlwW5Nt0bgvqhFq1yDjQx//L
vPEvuH3/XpZ6FnJ5FJdQB5nlLYXjv9iiSWSf8rQL0iPRvJR1BkOvk5oDVmmXcdknxyypSDlLlWzZ
pvwbe/tPBmOqUs9iWMmkMnCJJlzojv96cTw4aNjmOj2KsVLvc6bKqzrNE7DSobz/9ef8yf69XMpe
ElIwSJouM9OfLpXiYfHA23Gp2mrKLe/IBE1riqtvv77OMmL9wVe8XMjxnZCGgxkIz/tpMCor0sxJ
XYuPXY3iB/zCEuU7Ep9Vpu0tidKY3PswQc88OcVrvfB2WVXi5MaIkqW4RhFZbj9+pf/uufr/d/0j
DNZL5s7/mhf6OdXvMLnSH4Chf/yrf3SPvN8CkzcEfgxPzeJ6+9MHtwRYCc9a6CignhjP/zmH939j
xm6BbeC/wLa1+TX+aCo5Fj44Gyml6zGND/7DOfzy1P5pYnfIyHJ9rPkWPRGM81jKf3yBLGEmsnMT
7/xhZUWIzo4noDXQxMZSiuHZxQP4zy/oL5aLv7ogUgQyvrCuk6O0vGb/slzQALFqBj3u2YaAvhE9
3Is5BJPp5QRExJMW17++3o8rxO8fkJMC3xfmwYBY8R+vxyxm1iGYq7NfJd4rCBAygrNMPGgXLtOv
L/XjSvhxKW419xqQD0Gvzk8fTYFiiDspnDMzWnzCfqYObjvDzyMoEsDOPIdPviSjWEXu+DeL0198
Sp4kl6chMKGF/YxChuPQT6ahnLPG2X0sA+RNK8MtKbH7+G+pG+JHPsXHB+UJFGjrsMSw5v/0QUem
L4VPXsl5qDwu5NcKI/mQmSA3+taH3VXaWZ2cMAJhXEZz2etnR1Q4f5GDE+FhleHfUHj+/eND/gs8
j/XS9zhC/LRkZiJhsolr6Yyfg48bLuEvwAX4n/+zay1JdctGsPDRfnqgYo5VecISTXjkQP/DMXA/
tsWI3NCqX379QC3f448vp2cCUoFP67Pl/HvPFeobYZmdc2ba9l1bRCN1FokUv77IX313LEI0qbkY
q9RPN9PsM8dvrdzhBEk6TRb0AGwCD6mamCVN0l9f7MNU+/NHwhwloFcsffOfkXZBZIt+Bj55xgkK
AdVGr3oWkaG9FT7v+iVopPvqLNy0D0TOlCAXjHsyPf/m1/j3J9hbUvYs5Ef8n38DlEeWsKKIOuGM
3saiR1QKtEVRGFzVFMxrs6HrsJUAPFGGzx3N9Y+X16018tK/hwj91R1wHLrq4XKnodT9uETJnGFV
IWte3iWWxjRNpJMLKsVhRLT99Qf/q0tBDQnAY7K1gJ798VJQxVSl/MY+p8hQ8KEsLFHinVnqA487
8euL/bjUs3w71PcmEVnsLFitf75YnbRVDpIfiQjgjpnmnqpfSjunyz8E8GTLidXh11cUPy7ByyXR
rfkmWzBPMz7yn7azmoYj7VM/PJkRkDOH9kTO5F8z2yO59T7VcCyAFs9QmYPMeiCbF4ssgtazT49/
2ASp1xyQOqnDxwrSOgw8eADA2uIzMeBwpKL6uy+JY+oPbzl8NA9ji8+DCGcLWL730+0vgzHDKkuF
pMmO2ZlzMu+q1DPo8mvZ0XovpjFG7ZwptLlVVk/eVvDD7pQyYNCSEczvGBURNzJyYbLS6W2/jsys
0QQlM++VBbY72Zg4TfGUiQGIhIhJ6ELRCWJ64YeBaGq/qoWa4zNqVRuNaPg4WPCe296vzpTY9gl9
LJPxRTp2yzgB0JVnW+ETjBCQ2aQQNeIgtMuP1n6iiKUJE1S9uUpRtMVdapPOWzZcI+Cb9nQy3TZN
YJqgXahkVx1N4GudVIsMzRH1y0SkybwnnjL06AYASEaMvsShKAGuQ+ZJ+1VmgLT8urTqUyHS6V5A
h75FYEefkflRnH4RE7EwCGxtb5nBBkP09IGyLFvpvcrU4mn/IHlMzLO/asJ12KHhcr0Wk7Te6zmy
Dn3jN/fKo2xyBx9/eBo7/Yr1F2U/bV52GDEJAZsa3aszBsGVExFNhVSJbzRKoycKRHDrtq2/Kt0S
aVbRJG1ni+8H9q9/r3U8P1k9tvk6dLhPhTeET2JU+qssMIOuPLtFx6PROxEYosKnDgXrwjfGKvg7
fr3IJvHwAfF2OmgAv++oJTv1robbisSvwD50IAiYbuHk+zzZToI+d1WUCBpOyXIwMTJ6G3FD2paZ
WVBlqskjv880Fn5zmQMrwxCbbKRtwuT2loyvKcvIceqrAAFNb0Y+1oRlvYQk3ei9dnpQZtZo8csA
d5DFVrXsix5kAxJ2zBh69gd/LDEKyCiTW8AviSrSM5j6OQswTRIiTWqHzbPcE478pE3MUfugJRAO
8sJ4W4uFfd62PpQavIgcOtrShdVT2/GMgiKf47VIgdz0VeO+Eg9HZ0Z/AFndSahPsT1bhxlWDz4O
2C9fyr4viT9Lp0veIAlr9EjkC7QREdBBMtUpzav+GNMj5Kfk4HSBHVTdxtSR95Dnc0ov1QtAE5Es
PF0zqjXPhZPg/8bhgMHI1QhvXDoTUzlPDxLTz5ZY9Lo+SZrgnIw8idbb1OVdW+sAhX7UFd8q8Cff
AwfIkMtY8Dr8IOVOI+PLdSdZmdZArYvtYNb0KulR1c9eLpXeaXfy3sfZFxu9QHpJKcdaT6ns497p
kJaJD55v1VXXYdaLAXGMTr7EtkFrqmprCPG4sBvwuGe6sz52cD14L3VKFvdU1vMXLx6qk+3Q5MTq
6MxfMF7KLeT+eU33mtsYRG6PNX4ov6B599tN2S+4H1P5++UwqgmXpzu5WTK0tlj6+1XP4QXhOE1G
FiZwyJUZ/Rd7Z7LktrF161c5cedQIJGJbnAnBMGuelYjlSaIskpC3/d4o/857ovdDyXZvyQ3ijP3
wI5zbFMkQSAz995rfevcp/Sni7Sujgmks91s9vPnICxHP9Ji7W6GSPYhTgcCrmes/+Syp5ukxvtj
p82L3ZFl7kAc3wZkqXu0t8Qup4WdNI52raZIZ/mXAWr7FLOA2Fo2uODOS2vmBfhzkHCEBAe1sJ4u
Oek6B0Ou+GeQleNGvUGhmaoHW0xd0dFZmdFYHKO1raP5xkqUrlIaKt5QtDtQB7RII/0TVJDyg5vF
eDJcMe1aDaMf2hCdXk+X37ErAayG5hRdWqqmWRPq/KJU78klAHVEXV1f3WZtx02tQTnrXt6onJqR
8Ei0K7Lcx8luJBd4YzhgGxI5FSQsVsOw0VmQysUFhw4rCiFZN7hPjd1Poe/0E6FMaRytTcSy1knb
tgOYTQY28udAqOkWgx8RiXPWHLrWZT92ejNAtGqoNSVo5SzpkFDafRp3LEGsxhzMqpLVdqKOatuE
I5w1LIIsMMWj30dw0tWEvOtgirR6ripuW6+0YZBtCJbMUCLVIee5iGaVkESb8cxHbZV/NMmWqr7M
1aA27WB3gZ/ZHX7dRI2fc2esQ89MNfO9awXusYnc9pCR2hVBmg3pYILxin5jRP6SVGBDTBWHoRfM
LB8fYFdAqaLjVsoDSibnemgSpmpZnPrRONLI1qwFc1hRPS7I52wmSWp8HMwmPzOM/YJ//cNkKHGT
rq4v1tUVy+o2va/6yngFCBu+LnE83oe9zS/HE5/4NfhNd6NCGxTGEMUpssqstU8Wdi78wWNWEXhl
sY5DKiBZ8NC5k36h6nK+Ap4vz9YyxajP8rRHdcCvQGw5/QRs2PjHfeRx2dXUNOpmiZfspgZofM5j
IsSaUrSf1KBlftkt8rfStYaLzqoQUZiBEVub1sGpmyIT24w9EvpNXmcsF7QfsWA56oSt/TfyHMf7
sQtT9Lm9foVbwvyYjlYaek0WueyVTNo39SzDa5exJEI7U540JA0WMsCwfTHisbrIbQJO6fX2F8LS
Nfi/GDObvWDJ22kcZkmaB9CDFhOF+LSLskI+WGlFhHIhl/sqjoJLfe7xf0Z6iS87HJ9xXdS9r7et
ik8gnibTc0odW7YTjE56bcHCr/Zu1LcHqlztMrGX8hFZuYGLKO1xOxmaraeHnpvnemSH/yKGur3q
MSKvWW/zRZG0OVJgsjTaDTN/eQTUVu/R8+HfqzhZaF442MNdSLQFyA0GRRX3ZdY8p1PHFGfOTLz/
Bsuo1GdMosA5ipFUQpzFXoYb+Kqz5wX3p1sLB8mvjQuN1fdzaVh9sGPGtOyY9aujUjXClsxaDm1v
x2coYPVjL+b2iemU8sHfp96STBgdceWQSRhFxJItib2VFSAMDyVK9KrnHftQp8+DF2hDnG0Vl+p2
wB65LzLYBZ6J3fUGT8f0qDejdmXGnSQCU9LSdjSJHraoCnNXt7Y5eiUUtXbfc+9+CbJoInNDdp9w
1tuvo9VZ8U6vwHUzEBI03JMyA+EQwAD8snRLHW8bwhH6A1LjL2Y0hbdtkkt2OXyEJzlOgL/Ksqi3
EcCEeYNUGdkPu/ONlo2JbzBL7rZuyJk9JGABdEhU2hG9Y9U5F2mPvEFTNqGj5Lz1pJUsyY2OK0NH
NVBkN4WbMRQrgOLcRZrkV8toIDGXq0YQEE9TxKBSfa1g/+2F/sqJJNEXfVeN/YkJdv15eHn9EQj2
9SXfGqFCqHe6XOtcOjUuzh/qoG8yOhrd/9v5NLAZwby3LUOZ9FmE+0fnU5r8K9OiNKAnalDDWv+N
nA753o+FFzHW9vo2iOpA1hp/6uhHnZqGoqnklR209tM8KvM4S6Gh/V0yfTtH5A9jFCxPzB1qwTpR
A2xY4EgAq8z2PWfdSzPQe+MDCTfpdYnjAmsCTAyIS1UNHalviP6Sgxo+dCkFTBfOyyaqACV77uAM
hNR0CUZECw3bvh9nce5lWz4XQzDcLDAmJxT4xUjc4NLYELkY3e5iWAkHu0mw8zUpWbc2Ivi95fIR
N1WUTKkXhnD/toQjElkyz7a1iybkZQf6WEu/JayEmOaege4GO3H6WjNZvWGpH3IUNvl0EwQlugIS
OPjueUUttGHxSe1jOTdqQcreT9Ue1yf/VrZmZZygeVPIsePPR3JdYIzkFKpo4/iAVEXBQrh0Wee5
vDOwdt+5KgnPS5ION3XG4SfBlruFXOuwV7cl/qixsQ+5S5noJapcQqTYHbpAh9PvVlMNWKQrmRqP
XVV19lIhONPLrj4Ewoz7fR4YmMj3TJzScGc3oL/1LWksTaF7KcX1tSRAoxAe0WvaUbWiJIi5CmsQ
KYlFg6BI/djJ6IG8b6tMtfI8pCypDcMm2mBmHAzTdVoPyiWYJIsblyEbQIVdhT4r3PSStjqHE2hU
wU0gZm03BGzHo2eynzOLqXsOM5etrg3RNkSnZ5cHnaZhQCY8TuptrdphvXHs5bAwL0b5NCUE/OId
G7Ph1HV9X+nXYs6TTgJFa9thXAjsHg12tA8hwx5jeZ5iTsbNazfWXY5Pk7iZLLh7e4r/XfB+veC5
0N7/mG38ecHrWfH+c3jJKwauzecfHJgrFfgPAbH9ZqqkP8+aZ7CGflv1bOMd7T4WMuI75bfJ0O8Y
RPMdTGtyByhGxJvA+I9FkPEPeXH857AVBSEduvxvFsEfO8wQ+bGA0nRySIvjU1C2/tgPxGw9Ifzk
BiQGC8HlYqEDtMKn7y7LX4x8fmw6fnsT2MxIiPmef2Lkd+WgVdDTlwP6oHoz2e1CzM5ge2jjOv+f
34rN4buO+de3YrDEeFYxgTHlT/3Nktz5OqHcP0xDTAwPR/0Lw8DKL8oKiyLI7kMOImQ/LabagGQq
f/H2f7qcGMz5EAxg6KRLpOI/Xk5KBsccLYPSohgfjNx+7yDk+edv+HO3kIkhAyYmVnQLidj8uVtI
12/u9UDUVFjjAyfxp9YVpdfTgd3oS/35n9+M1sDPFxRLPFNGU1FzrkkAayP9u3EdwcOohKANHhCj
1id0qIK0YVfLT6kZ5KcMkJx6SyUmL29NKJYgNCh6XBKa8rRh12s5gG5s5l8Qm8lUP/YjRhnaSIML
4OAtCbl9S0U2alERQY+FrMGKdIT+IH8zknEfDm2HFG3t/jSdbjzNrQtBeHb7fIu7Q15Hde9uQXlS
auvz9DQnQXMZ07kIN0whGlLeaOU/WOhz3sezTW2RN2gow9K8MTk5ny2qts2gIOQQZxUiZi3EJsyp
+9dAZSxAZr0b+mU5IjW6Aicx7GSef1F2di5j9QlQ2V2Hi9QblZOfKn36GKK/5C0Sy9eoIjc5RNBt
Wi1UFvWac1+Irdkm42dK2PpoJ9ENvVxtG7slKHcj7/2xHK3rCXYUsj0rOLGrPdmaCE5JFFNktLDt
4mEA8qy5DxND6e0skgTteB0+dBYUx95JPZ3iiYwrnHrTGAwHxMqBn5CKdFW0JuU5XIeA/JILE5F5
6o+N1s1eOM6hi5A6AQEY04p4qG2iMiKOX57hAGCuSM6DkVqJQOwKKlDrURW29j5Kh+amKIFc+g6A
84dSpMMFLd/+wDkSW2zTwNsm1yS6CPK6uSoz+mBGUac7NDbcInmNn6ssZy8ZC4FPtDd21C/6kypT
Z42+nsBBxEb/3Mc6AEdPn8UlYW3hQxzVBH7H9OsChGzbqLZW7Xe8BjURAH4ZBFFzVy1Fc5s37WUA
XvQZBVj3oKBDHQAxiCsxSeuQF9wL+IjiXd8V077I5XOUNiYUkRiKT2LLiVzX2L3T8S/vScttrpZQ
K2/XaHoDO+wVsu+q9twq03fNSKO8tMyQusqqaK5PZrxvXNVfoFZLN1Rp1i0BabsgkOD1g84W6ERD
hKZphG/NfD8N4UnlwXrSHO+qOX0EqBWiiEyI5wY9dYEUKCVPbKAx2uOUIuVO7A2Jgwx7ZHaYQfsc
mUvVFzPtNCjUoVne5DP7Bnc0AQ10jUP9Tgb1/NIiuFuj8orLIUy0iy60jL2cXMgYGTU03QCY0EgH
7W2t17xbmEp6Zy6KbCpDsjyCKiJmQXOCZyftCi9wQncfBsF4MRHIjX2qHz0LG8O+pTnMs4+HyVA6
Qtign7zcTN2NtLLxhHxYXK4+sF2QWO5TCR8LMExc0J6LXjDAv3cFfv6w6/RzjIn3YAzyI3TWS83J
wvu01PEo2lxpQEOnTlEQDkHabADAdttgHFLQMgTRWUtypbU1xCB83Fug569kw4EyJRJppn8QDscA
z6IvNP0OwNKuwzdIKwgpcokpeb+QSo+c06of4WvbePraUdtWdVPueiScL7QBAOxFleW3066uQvlg
mpXrFSLFeVDYQ3vba5XEuaY7xzgfJUCuCIHaEBl+FEFWAU9SLddBRlMJCFE1P5bCyS5ZkJajIBkQ
C6D53JSYoA3X0ZhdBKVHABiueD26DJ1iH7EBQDTQQSWEITz9LBfFdZs7x2wwHtMcHboRCNzWSPYU
jVAcvXALmE44V2GQfg5wu3tL3fp2b6iXXlcVFYEcbuje5e7GzHj2WBKsm3hOpksCZrKjlRvNARNb
ui3HZfxQTjREOA3xzjoyz9nLLB4gIE1T8sWlg/5eECnygCVd3UHZtxDfucITWZ7QZzEziS096nwL
TSTPiTW9UjJgxawLhnRt4aUoNp/MyIRZ6KLo9eomW6HMk6ImYPVAIELZtdjqMpPxWOO5XIabvHW0
A34pC4iM/ckWEu/r4PK714GZQJhx7IesncQeJjtDCUPN8LJmQhBSBY/HcqMDDhRanVNvotUwzRsr
Fukh0sLwo2P6BKTP+2yOuPxDND0KVq4tTi9nx0XKHiRpiZ6pCwTrWpca96q2fIuQg/cdnqKP02BF
11ZjLe/bQm6JWoUcnFRNc92LqgMyl3Dn4SA/gJdoNkCbtS2b55cibY1NgMhrh1ujPWa0wo9DIlkz
ajTJ1gX0GUqwrZG1/ddzxb/H/F8e85mDf3cq+stjfvmfq//3P1P8qfzxkP/2yt/bG7qkO6FI4nDX
OJof2hu6+46zKANpjm7EDH+n85LovJj62q7DAW2VeXGi/N08KN5JAyOOg9DEBk9OetbvnJlvZ24Q
NX8bWm/+dDRF/sTbmxzkTPomZFT/NGWuE5UxACuSywZCz/yiSsUuXTBoUL6OpaNggR7Zy+ZDjOM1
146lEQHd8yhFigPBH/oe8e/82qCiBqqkV6Y3JfOwXEyFZX/mQbW3MSlZzVIfCnaWlLlzmo2zukes
ujg9SWM9yNH2NcNtxS41A7Q2farVJHJv9Fjr7Luh7AcI65XVgV++lwWUbs8acb49Q/7P4nld5XEb
NlHJuOMUgyfwJsdmlxlyc2ayEi5mOjFbGYq6cu4jg44wTGtEdjoPOtgpTqRo7PP2gYa4JXwnUTLT
38c1w+Z+X1SDY9Cc13Nw8OTWpxAZ9PpTpLXNzq6r+dY0sgIswzwmvNSateVjVSAMv3q7sf59Bn/5
DFqCwuLvS23vpSmzuHj5z+vn7D8EfHTUMZ/fKEzH1//7fwx+MF7+7UG0zXfKxGwLz2+trt+etm8V
t6N4pNYyHFUVvR1Ul3+0HaEbASJCbYnOShq8jLrr9wdRvuM/Jb+dRAKWc9f8rypuqtCfSip6nwYd
R/qNhkOWlL22Jb8rqRhhY6/K2uSAsJ7Zt3BXw+HShkzDjaFxJ78bKsYgjm5H0EWhnyHoQ8YGg2+B
jeMZI0SvnVyQDPmlWYb1QctKAW2XKUSu0z5HdpDHpnM5B4RcogkX12y96tgpiIC4cziuQhGVxyEW
HEfGhN4Xzyoq9RwM4yUjEZqQrcPwTl+I9AC1jTyCM7pzKSLODJglxXXuriz0sggta9OX9Pf2Robw
w29TbX3JW1pMmsTzrVF3yBcI6oNaVq0RkV2L6iQElvqUx2I6N6vUJEjXYCBZTTYZLkaRlthzm9IB
GGcjz0DvCNk6X2UrEXMZDHYoXSpFEPkMJrZnlMZuv/kqpDCMEDmLkOJhXQtf7DVRpiy1/iCHSD6+
qY4KSRBSK3UmknDMxHW4ymM2qKiDp68R0wACmLjabgJhvwLo85o0MVfga2xyi3iJwzRz1Ek2/Gdq
EiRalab5Moe8jjM3H4DCnE87wq291SUx6kkQUST20oqWDd1avrVaw7mcVJKblOh8dzczyXru8ehc
Wwp8akEA67VMYf7g3BCbZoynqySIh6MsyQ4iWp7X2G+Rm1+nwfmUo9vgvuYKf/1BMz1EyQMVxX0y
+vUXpsJCRaEvbfuBSQpB1iPickFTmEobZQOOozstN/gKJWQ+SBQDA3gcf8gdPAJwuOQjMblgMt9y
eFjYNdOzNcLj9zQeQWFU69HzfWO1hMlk+aLBC2WOhCqTK6EPhfs0Z+O5W1oTaQFSFO9NJrMYbXJn
01tVeMgYQwM/Nh4KxQ24+qu5a3Nu9BR8brDDfc2fhDSHv9tRwGeL1puo02l1Rxye6DF0A3eD0bT8
sq7sbOm/pdAT59arK0KK1xDbECFYqBkIW4KB7W1DGlH3ihIfbozeoUKKxnqVpDCWXXORCA8Bhxuu
W1lS4f0ogDgySmXkBDKGW9TaiFVdWsKyUAcyLORRSwbG9/Mo+dzx0qOaySF4weqGuQ0onEbiJhA9
mU3TSvgq8N+xMa73yUwT/7lffyKGbvKYm9j+HNHyh3W1Hu9d0yBMW5EjOQ+D67/JpOBQBk9vt3Cs
EcA+r+LNcn3Yk/UmDaxhOo/QlntvXNPd3vLxwEzQmY/ICdoZlnIxH7tcuDV3ByFN5nDD9FiWLjIo
GtwB6yPRZ1W8h6nFxQPQzY+ts3CwP9bPDBebQ21WRPNYvSUeFLinJ41AKUy6bcLEL6nDHAkYcgNo
l6S9LTQTQM6aI0rhOOfr6KRAxe3ED1rDjeF50HVuME3ykLcpMHLIxwphgdHxrd90DfSpkKhFpXs5
lpl7udTAjDfdW7htCeAfCjX+TpC1dhvJ2+QtZ0xr2pn1NFzcrU5E3oHsJR1zfeJemvWkbeUYMe2Z
ylXnKqcmHHdLO/eRDwGfJ8xo8jWBXbJi5UY5RucZtcgVQDPXj2cExpJp5Tl1WZ4RAxEBn4uMPwc8
ojpClwG22uGG0+nVPXRm1XMFCaw4V9zoINDwKD+naJwOLtX+HsCV8fCWum5xagrAUyXNct+i3VeH
qWeJlAtfeEpXHZbmrhq9DCD6Q6CDvzyFpY04RBZ5huI6SFCo6ku879UqcxtGfqUsXoMYY2JffUFO
p6R2V9zgRMXxszZtZr7oEGEA1xZo2mrUrg+EUYy4JBuQ8pscgzPGuhZJ2ls484hBc5Ws1eI6xkf+
kOeUvnQPqhUe4653DgTlcj6ppOGPN6hiXsO0JHA2Mrm7scg+4ERAn4ItLEHh2jeHXqwoo7d7XhmK
FyGF4VMaqIeg2IIjvO7jgVg9NK18T33dRoZR1N3dAJFiwqHZsr69Ce2ySK73o7sKS6t61U7INVz2
65KWtCjEtpU9shmZgdP0x8RpYdgw3BkbvxKauFUWT1eWpRTJ/cjllRlqs/WJywdHPY1FN2Hrr80m
2r2trKRICwt7pVM/iRiM7tMYEtD+3hzXaMVMravUm79BRZ354q6500lf53ci6g0PT+0rTDX0LFW1
bgYYMtmcwUdgA8Xmdj0uJgtZxvmhR/mAnn8zRRAPIjg+0Xxg+ZH5uBVhzxFiE8LeFp6FBOgiL9oO
76cdTCGXJHazuyXJAP3Fme0gYdLCJ7ZSkgA7M+cnKlZZbtpPrLU8k6BDWWJKUiMNM/Fk3VivZZE/
laFoTswje2TJszNOnENk84B1BYzAuhERUpE9xHNYXbDHOLeisPWAZ3eQmOeJjqmF6K5NfdVxItH3
BieMHmO7NlEmFsHHujMIaCxrhmSu6TWd7ek2DIJx0+ci15DIdPOxjfqKqAuXpsMt5LfSAzj4Hprc
rqLvtdNQ195WyDOT3D4HzJT197OVVRr7BIC/4AjGLWdVTXjClWVtF8nEdlvpoMaADS6kkrQdaB+r
VokH6TA/CDBBETqViuQNlcpdWhiDS7DNsgO7NcJ2j1LQ+/Y4Iwgt6IntZgtq98Hltmy8ECLrxOWP
3ItOquXGmTr71CYu21w81StfCsh7PopHJQYsxTgHb+IldU62ETjbTCgOJZFT+qGDfWKjVxOZtand
XwA+169sGUJvbDVzeslUmTzOdv5IyludXWZ1q+7qlJwVrWtHx1PMj3fOIIcv7dy4v0UOMtB2RBK5
cJP5NbETW6eZGyIlEvegD/WwnaeOhAKnmggnUlA0GUUnV04TJfMV18t6TTqn2C09Qlq8frofxuOj
u8ZJpQA39nYwfkS47plxYv8W1tN8jsy52Aqg8zuZ2skKdG/uWvg0HH8KyzenfPqU9MYDGlQmM2Pb
XjlxtNwBJjERi/X5DpWd2gfuQPPZjZUf1u1D7fa06huLk5Hf5nV5RUofSxRwd4/0qsoPOTec+rwR
JwM6HZSYsj2mbq8uS4k9m4tW+ANd+HuSJUpItrXja4QhwGW2NIZDeXqr4KORzX7SllTcsAkA9lJg
jQlqtI5ZI+e7ENa6LGRxMKgK9866Q0gUa1hq3f4AGgdnKunDzy0TqC2NHvdqScy7PiZ7B22mfk6b
xLks56x7RCarXc55lUHcdGxeNyIC/q0bMnqxAUPdUzcVNU7RrvyQrJZO2A0gTLm/jfTBaALnYI9S
u9YBv3jsvDZudrXrbZj5SZnmx1G37RctzT9MWp2iryOfwhsaxKIa0VKkmdmjjqS96/d6kEae6aT0
sbM43C7MSAiuirrjUJivVRQq34D94olKz9bVShznpJEvQQNpeItUYPqgSsPndN1wEoz1Yjuneup3
jIsegpoVhZW/yX0a9fFGiw2bwfck98TFzNvWoG9ojiSEXEa9Rj+8kn3i9iwkTsO160z9TEZHJjAz
Zw0QSLtmOn6OAzHBqk9ylR3spR3CVxb/cBclRr0l2rgi32AgtSCMAir9MpTBvrMijYWpia2DAw7k
SaO35rDtBYYFkktE26bqqECi2qdxUV7FLc9FLLvxqULfcVyg6WxIwkh3YC8XH8IH/zex452FBOJx
DCeHW5zsTqWdYqZIAwTvPgfbhgstvERYfR0NXft+jTe6yBvnykoLwm84DdznvaF/IArHajaEdwTd
Ka3rmeATq+r1Y54SvXXSarEYxCLJxN3Rburr0U+ExskJor9EadC5I6dZhmgbhg2l8xzUyIEPQZKM
FXKpcQZkgtS/Wei3JtCaTA97D7DssNX0MSRjRu/lsxPl7LprhpiFitaRSCfGwMyBazb8c1rt2B30
N6H20CB79M2eMygyQs5rxdhyELEGxd4U11U2n3SxTOfZGNHE227m5fXIsZxpQPVVfPW3XSz5k2QH
bjT1vDKJXHfQEdLJ+ql2HpBA500dHSorZMOkPVquUIgR+cjEIi3b4r6C7a6Oc8kuup3oZaUnbAbD
uVcDbKhoQGqv66uenoEm27ToOFVrMWe6UC2cJuLVEpIFWPk3zVp6Fq6O1FkDBs5OaTcTqHfaE69f
z8g0+PF9vQn7i7mazlEQg74aEvwl67byEq+B1IiuHWwIhLVwIPuuCfIXg/U/W4UFfiH+IioR0ZSw
fxp3D24YI3tzMtKHBmic7jwh0cN7wRyqMV2oo3S8SHyb2voF7dB8rjuK7jqiKI3LqTnnyG1+8Yn+
6gdC5QUlTCFdYD/58QfSTKiOPRsgKQDkvIJjJrK2o7fy1NKrIF6E9GBqY4M0eEBn8lgNHJQLMMbZ
XqCrJCuwrdZighP6P3+wn4xB3DjEKZFJTusF99mfHIKMPrO46uLkEJSg+rd5Wcrp/aKWHmvivJDA
rnKXc2xZMASxNgRo/coc+he/FXpzsX6QFa2Nt/fHKzNGligXowsP5uSiHQqKNoy3vSsC41rQJQ0p
U4JqH8s4Ci+6KlgKeqFtcB0WnXhw9F5cMxqlHvmvLwvDNmnqFHxM+H++gQrZB2WUqPBQaBQNyCUR
jU8x4Xec5YMM+JbBmbnPySneakP4K3/j2+P6v25Ac70YvL21/kXxhibwx2tSzHYKkAW5lzlnFNGJ
qGemKS2U74QfJJpNEJNydORDagfaUayFW6GAGsG2qivjBqPgkBIOTYBsdOjW3ktV0+L+ssrlz2Mh
2aL/+XIZP8shWH9sPJ/YXgECWi49+R96d5HQ6ngebG0vI5M10CgXTElOv5Y6xcRywcLvXhIGN2j3
hbHQPJnyiHVgBmd3P7kWy1MoYaN55qKhokVv5nisTvx9IlEj9N/aQ9LAxLQZidGYLiFQEtldhnTA
vNiuhtAPByxby5zz7kQc07yx0plxmkNB8Pr2Zf/tRv+iG819uPoK/74bvX1Jib5960Xf9833nehv
L/3WiXatdwoH/2rLliYKmtXs+rviVUcMSwsaE+w3Mv8fnWhlvoMHwHiXHjF95xXO/53z31lb25bk
PtRXedFPE6B/mggZcn26vnv68GZi96UXLhCw4oQV683+XSPaxYTUBUGtXSjKkTtGR7m/qMY85tmS
+kBk2i0dGeOMRH3YO6VafDHMLjQpBzVjWo4PAJBzXNAMTqjGnQMoVvxxnEIKj3oUTYBVRMB8w3NY
ScachOwEqskoMCiU+/R2pNZHzbjmp6bYAIkDIMamVS4CmnUerGAMbmqVGfddAYC1qghmXWSYX6tx
aB8KSZYLUbNqO/dN9qpr4Mgc+Uh+xhdZdfWG5GvcQ3N3TtBY7OsR2DKZRX1+jpOlJxPSQTBhc0Kj
FMjT/UDWJcGWxXQ5j5Z9zEOg0EmyQBFsApeIkF56SVou1jbkchJTD8mFQzukrmGa0JVhdELtDtlv
Piycnny9InWuMmvzUm+cQ5YZ50pHniU7V1zlqbgoginfJhNH3hD3sZ9Gq1GkdoJdR1nqccOUPqD2
Bi1uSlIARz20GIR9FLCNFjypO9vU7FOeEFkSQPzf9Iqw3smA2n2YCkRpqE9ZxdNsua9NVPfjHD3B
BzUex9y0jhNi+udClICr25qu2CzL4BrguaH7Wclg3/VWlYx+MRQBzoyikSmzsBi2mPaJIQEepg0H
Lm3Z9VabcIAtynbxdLOk/tZo3XSbDk/cuZaFA5GamtgfnVpOWCaGetznlGYHdNhAsPMCHmPMVnkz
5UV31uyOtJE51vKoI2GslQMhuLF5ic+LhAKBDtnX0oVEL6xNebZJepVea2R0VhpHs2kKl31ZNUuD
zCiBMBAx0CgdJowb/qDWdjkqQ0wtTnZQdFbzXBqBeW6WasRN5rZlrFHwNmDAkvEuQKkN3owUwPAG
2TCZiDs3iPR+2RMD23RnFwH0bD0S3dTq99owW05IHZlkuUunKwfSssPH7yDK3aRWSazF1RhzMKxx
WAQFUoZMF+/p5Ux3IxDjHEtlQYlsxNj0vFQLJ+zFpht4Wo8kjhbjoD1FqYnywljsfN50Vj7BUUPH
uSnc+tVcwnrZlrURnIssAuHNSgJ3LaEQfQqQQufXWjIbwsvBUN4sw2gNu4y2BfE+dVQCzqcoPcE3
jQ5lkWkggmgveKPTQ2oOIhuFjdYAUCYQgJNrbcmPdaTgkoV5eFMTAH1jAbZf51SVZ0UCFBMfQL/C
1bhqJmrdn3CfHGJchLdW2xRPMDup3WxMS8sGCGNLWeqKBpFfAuvdoUnjVLY2wrrG37kJO7TzdOM6
NnaaSfzkCwE3iSm7mXbaqqPR2+6Msrq4rZ0q3NuAUiMxmDd4HMOHIKumiypDRrOptXD5CmT4d0v8
xZYI6GN1T/z9lnj7uSjaGYBgEb98vyF+e+Hvo1mFdpmhJ5woFA8O/+uPDdHR34EPF2xEloE84S14
5ncxtPGOf7TaPvBgolY2v3OEuO8of9gRsXjj4WCk+1/tiG/i2e92ROTQ+FPQVeuGQsKLLPrHHTHL
ZbvklT4fUD2k87Zfk5oJaxzltRFAel0HA5iy8xwB1G7srNrdsKQ1R+WUQt8tNfoJL8JEzSLadpm5
jWD4aJs2DXui7T5VQxfcjJY1X+Sz0LFq0XjdEE5uElGjtdBbxQzwkuzqiilIKzTfXmbahUYU0LWj
T4EpHkz6EyONhie3jq45pOq+rS3LY2CsKd2KIazfuEQH+kwca8ITGvYEvXZBrYpJt1+WRFrIrARH
/k0JCwgjcwXtmIUr2BLTfIhJOf2sCRF+GokuuZp4zQdzLpN+C3BXXUZ5FgDstFudhxnSMihMM6QH
pI3mLSVNdjGA/ruJy6i7GsZW24sgAYemB2Q/lt0w+RjxU8SVYTKwReEunMh92WgMDVGx5S4p1BW5
6kNmyken4TIjv6OB1YNHXZGvkPTwwR0Mow59w+XKq1iJE+zB/LbTpLXrrCW/A2hc3ia909yQpgtp
btDT4oRKoPISZwm8dIzArXIW6rw1VYXIklD38cmM0QaWMileBd1jdDrdZV+qDy04hXuBMM3ZO5wD
UF0xr8Pljc52T4qofJqy1Nihn3P2TD84vQzwJq+o0lDmSp3w2RJMt2kO7dm2SifxLSswT1Ib9S+t
ZhW+ysXZHm5X08u2HUmtUKF+q/qViNyWhlyLwv5ZMPh8ZA4z3QxtYgK2QVrcOp1n5qnGIBRAgSym
7ERJG1y6VVLcmXqnrhC3vY9HZW1p46Tb2epnSJFhcD/3Zu1bmpkfRh1uXSnwQ6dJcobNrd+A3bO3
AZPJY2iRwphIxyfRdfSiXi+3wVLmYKyHMjgkeEfZ/vP0C22XTyJwtV2pGNpuoi4TZ25yKBDTVB/b
RZBqn7nSF4jiQQkYamsV5l3J3eaB6LhAsBptcqe2YFu3HxY0C8SokoQZQfDYECnPp2wj0wt71Myi
FzFq80j7QBEbHitohGczq/Cwc8AmDrql56pFJEGJaWD00jA+H2ruG27bcTNZs7GvZtTPfRFx0NPB
NYDd603fERSK89iZGxJEAJzuLZXPoXh0gmyKdyjrRzCApliU1W8T6E6Rcx4t8kIrb9ZIa7w3jNQc
782WVpVin0wj8SQU94L//9k7s+W4kS3L/kr/AK4BjvmlHxCIkcHgIIqi9AJjUiLmyTE58PW1wKys
kqi8Uqf1S7dZpV2zm4NIBBAA/Pg5e6+t21l65UjdvWNAEyWflLWUxF8aWQFM0K/pjJBRPHP8Mb3g
QxCffGzVelAQYDpuZGQipoCYpNlPaGWr7DitaqygqJeMs2G+Z1V7Sed1/DCmqTV96JEtY1GNYy0z
CQYH6fM5z3u5VCH5NxU1W2J3YjM3RPAR5yMUb7YBm/Rn6BnxmpVqwGqEnlpye071zPI9LwbdeiNV
nL43zfDEC/KlvG1bmn0eH+besz4PdTX1L27uwxj/zDXyB0LVh74+pX1lMgWporyn9CPiIT+SNGVr
FQrcoY8eqnxwZhg7pnA2opci4sEy1Pafb17/z3h0D3XJ/34ZefBvf9FaOPxXMsL/I4lxFn7GXy3V
N3nxzOv/x2X6zx/6a99q/Qu9E4irv9ZblsH/2reuKkfHcXlpvmkS+U//uUy/SRnXth8dWvHfm1bT
JFEOIhodHtA7/Nw/kzHalAjfb1oNHVaODzKPrqdAyfMeICXH3KuUY7Qnq9dUaBJh3bOPw5jRe3d2
UiUgNHz8iCiNkgWJoXQGAs7ZlSA9dAQdSAWFiLEfC04a7eEDMMsc5rYAc+On2W0Py/PLKFP3s704
1SkxWNX6KRMsgHQH0WKk5Qk1PPLc3B/Dfsyqc9a0wBSqpKmvGYA2y57VnbjOZdzESyKaXckQ3v88
pjPB3J5OQCbNotl5GifFtHQWtsvYKU3OmaiRYproFwkoiuF6P49rEAq7WzJRalnjbWw6gJpn5iNJ
H++A/+jWBqImcAdGinTwpwswZyqvHTrppbnUBAfS8FaddDduNWdWdMBLYEq1JU5Yx8FToRX1ioAd
BKC3MB8Y5l48QVDDFEQF1xNE7FwObD8j29eBuY6ji5abakR/maaig/iaJ6nNOInRhs3Qpcpq3qvl
QEQzyW8Do7KAABkyOFXvg+MPEm+BzR3CLbaWTe4Apms2Mm5EQtGP+4SX21dmejMcoU0PdMQGeYrN
JnCFNcZ7katIXtyy1476hL1Dz7woAMtLnAL+nSDrkuqYaNq4j/Gmfsg1Z2Dg2+lwGNie3BnFZO8c
v5mf3SbD+IKiaTPncxKmNSPk0Svzs9RSc193Vkk8NdOxvBrZzbZVDZhsLIajNyqCYgjWLsuqDtFy
xTe28EHhJIUKHSvOQ6u3zSBz4vrQLQQayHIqP0WVBuM4j0ibXbSxuSky5yNBr/GdyUzzlkhX964A
Wv8ZI6yCK4/XRzaJuuN+qBEe1Okj2vXothD1/ClPGk1spmHA6s+4OCRc1b34fh49JsTIHVTiaDca
/ds+YP7p70ZXmufIiYq9hp5rCQ1X5vMjogjYL1HhfGwdo/qAOCan+IySmOltxkZ9gwrAVZuajvix
kogkAx+OAyHzVX+cwHzvpyKPH1mqzCt/cVmSjMaeHmjzYir2Ghll4ZDL4tWg9igCNtAsA4gTqi2p
pxCEUEffSnaaRznZDxlOk46NvBlYpnLPa6EDAhq2BWEcchhvkNKJK0Op+mBZdEr6bOa7xr0s75LC
qaiCFbHFkdv8MYnkk9GybPaF5534poFiNZiw564hVRGR4F0Ec+pESrJ8iA1zeRoQhRDGPSnxktVS
v9KWiiF125ruCWyAv7Oy5hv2tOgAwLLdJsDR+Abd7IOfe8MTgQTFJ9CY6Sdz6lN6La2Xf2qRTxNh
zBPmaL3cM6kRW9+d+l3aODASadSUXlrsmZ+Sl+VX9mlSZB0Dj0VYhnfC14gLoxmx2OihA4B16W0V
ZQq3TaPkhowjk7uYwVJie6oIUshKoaW187aeBpK7IqpXrksfuJgrNrGm03rqplOt+1VozrZ4tFzN
vOk1+TFd5Ies0dyvyq5JLsMrprO7n2gcbATV7wPObeuqRIx1poiEiZV1UQj66uhbnXs9T7Ll0Ri6
DwsRECFCqvrFGWhGNNNS35qRv/zRrnGUwPsLSvkSJkicxdbHOLHIoG0hyqzBJwT5wlq5Bhg3fO6J
261qNCEIQMkyzw1j2WRKngCCxc+dmaTfignFdze2ZzFE09Z2JhUm42A+sSVKD6bmMs5V0zSfhVrT
MkgHJhW+FxpPnJXgnEbitQOPojG4BQJ/l2cdjJqmNxjwrZqXEa4rBpqItmWQkC+mDiLp1X09rV35
PJ7MD2zYvD/yqWQYOKSrJslbRTx4zOZ7S4sY5zMqfx4Qq16BpmGkOPerpHZYRYmxUZF8O3gJTp4J
4Lq7Kp9mavqLi15gBotG3J5hMuFGNoATrPQY8TdAhc/rJu9CxFbOLWqTf6Krl5Y1796YnNVpH3Ub
filT3Ax/CLIDf8/MXZ21XqQb32u8F6uW9mutWV/TphVnA0tSv5lbGkiFD6GGsRwPuZZfg+Xwrn3a
e2eYK6RsZMtLomPPbfWiRteqPta6/ECbSt94hkxgwDNMSQcn2aVYX/c6qQN3rSHrreaIxNxY3dQd
Yi25FPkYkwWdRqGspIG+3rb2GRPnHc/7S7ZU3n0rMMgnANkeYhePvZHI5jQBEtpKuKjFNRksOOq7
aryuKz0+aJOCmuWUhFRYSHnuuHPLsNL96TZlEPu1Vcy0A9EYBWWP5T3GTmSd+IT49KYGibLdUBcX
uV3elpFm7wox10ej6smG6AjdmDs9PWsydgOnqup9P6ghtAbVfxag2sPCo082uvmXvjP+yNoGHAvL
43mcyngInG5Kbi2vLYOqq2GklwkFtqm6V8Mc8y0Yl+FDpjv29k1cVsdevqNJ4IWm1KIPkNe7CwTZ
fj/5ZsunSOUNnjzTIMDFl3jmRElTXCbacUL7k1rINKrpD6lbxRcSPoddDALna+kRJUc8AN+r531J
vOKbJDXgSN9u1VDleOFs/g7KuB/M4AIP+KH1o87IKUT4TdexT43z0mjZi595ZAjSQtz3oHQCq4uK
u6wviKYghWkHpKI9DhQk2wFb78Ek2GLnKiovbSK3gMb9eJWWNYlMhUIX0huaRk956TdAKcat6XbV
S29P6YbP/oC10tgMc+IcptFsAaVdL9bUHCqrzNc+hNjVhv3S6s3dMMBFq1Iy3q2Mzq7UIQ+a2pOR
grBLEkybKaG/gVPozjbX6wv42TtX7/Z+1+6XqRwCvcynUE+qew9f1gkBRLwD8+EFrY+i10krQRRo
cuqWIt7Rm7g2S02js6umfeEM/oEGJWoYs7zT8uoW9Uiy60s9DZYaybtTzHf+OBhhnubFvuvJcemX
pgqtuPZIyR7wmTFL4CXsmjdar4jA9jX3obdEeiDeG+WabXwDfK9t7RmfdIqwJ0BzbbOQ5QnrgTnc
TcLwX9JyRpSicfvVnXZwoJSA3h89FmPChEZ7IJrPb4ajKqWP0zzWgjhdvFNJZnWR2l9ALH3855up
/5tt0ve7pP/9/1N+nIuR61d7qfuk/vrtfx274rn6+kPb888f/KvtafwLws0bXRvOzA8IcNf4FzGw
YFJpePwYxA0GRxiYvlahC2ay73ZUFr/O+tOIQsX0Txqe6It+3E1ZHn+ZgFL5DHwu8/38v5XxIEuf
CAiNRzXI5qSmzOHdgATRR70l7KepHMdrIkIRoA3NUxHbawFOHk49kH9QLkkeNhTNPBVldVsM+iNI
nJiVrGgz2kKTF5KXZh4lMrSNNWvujqH2hK/AvTTFmAdCGbeZmuSzb5bXUE+uaY+hhm6isEe/ggi3
tCm/By9gS/Y66EN6KbmOmxZE1zp7agNd8xZEUII5mb5c1b5+6xidGfhyesaqqiCiyO1swbKRffra
EQUWlmY8bxH6XVxT7Sdm6tgCqlc/J7/FGO8jZRP2mA475NPXw7zcWtl8pcf8KRZOJLjpMy3ZmrEL
+Uu8W4rReMGW+dTO3Y6XYLGRZWJ+ilrrkEoPGYnOIKfuCFGtNGK2evMpH4tnF2nVTo+ne13m1+sV
6GkpUr4Ur9lKHuviPtuZBdlKSHyRYsYuz/w0PsTmdL9ufTcehI6jLPwX2qn+3kisA7JjUFmiPi4F
Ehpt6rgwur6x7PQkVrGxytWDQ9EyNdZTYuanWBXPss2ekYZd3MSkcnGsbmtxQpOVvtb9fGsxK9rN
Zr9r/QaZopWfFmwYgeoTFjxBLSpqLpRICGiJYFcG9FSTbZoDQxu0sUa/QnMr1tZrmZTPrIZ0mleT
Xk97abMeq7H4A5DQbqdOv+3FtB+S5crwsAxoo37VuIQ2j3nyamL829pGep3n6ooWvH3wANyxTeAM
a2t+XKKelad3CigKphbmHQcaUy+j824tZ0kcFFuZR2m1EcWzeih1O1RzBQgzkTjG6/S5Qg+2LYR6
8erlahRxSjdMphB/3KdU6X8wvLzxoQtsnMnYzWAAFxvBOpCnh4U8J3xBPTeqeYhLviNN94oNU27a
fGQX4nlIttPE9+mbhnnCyuRv1dKzpRQlqWCd/ljFxovPJiIoFWHSfVycqNUeWjk8WKp4LXVSo3SH
cOmhVA9mRPAJDMaGCoYxxOJoycYwUiq+9boblcNO0Hqq2yrboZ67NECHWbX4Oc6TFgDJf5PpPCHW
nVlNuB3pt10aCuUvWcSwAhTFHFKYjHcm3qCwUHFExUjZDtxuPLTuPJLaZI/HrnS8oxo1LNvJXGzb
pSmJ/21mEojgFZVJ222EVpgvvdF9mUfpnA0PJRp3TZ22VijZwWYhYGUzJIxxeo7cGis7+//C2WdW
Wz3mVfRYKnbupH51fhpgR9qoJLpYVf6FnROsUVVs2efO6ABSMrZnuaXyBe0pHYcCNsXAcfLqPgsc
t70UWnJbkTy5nTTrsdaoKZFmU44N9rOqZvlSVYKIZS1LtgXpaJ47Z0EDcXhXsiiHVInRrdHbeOwr
bv8lEy81BBmESSWx76O+cZQwdqbLAs2noK1MRDKILoY6ACO9G9A0w14Jbro5d59czSGDuZ2O0Shf
tUleWU7+u3TOn97ivmCgxvzrrcP2XhVJMIk1QI5iqzwyI0cv2uPxUJfUbq+XyHB+I4Kil/d9B441
g/4bC5qJiRilzHsCDR31oXJmbMExj3oI+YAQM/QPDoXvb470XrTHkRj3UcgiqyAC6T0YfXJdZWZR
Ux9Enz/7K05jfR1nxjRvTKiolPJoXXffLeB/o6n8iSC0HtMjgt30wL7y/5z9d6KY2Kz8xGNcT5Pb
TrZ2Nz7UigdbM63DpIE+XM8XV9yV7Hi7/frQP6lb384XuC8SbRIikSv+eGxkX9OSASQ9dGBqwoxN
4e0cOYhfOv0KaUt+0H31MnVq3OXTOJ6yseO59as1WIyMO9hNcbVcDTGSysW0Dz4uzU1GvLDwpqsJ
9mRAj7bZ0KYI2jq7rhyJ6Wa8V2X8qNsJQjJlXQZQaKSf1f7eJmTrc8zOYWN5vB5+faZ/cwuZFlNW
BLyGbosV//f9RRZF6pe1sKpDIrqdVeu3ur/clgvdg98c570cdb2ilgEoybXRUqG9+PFA/mR4iv/I
vepjgWUudTuzjdjqTHqZTPhZiDb3uo+N8q4Y51tUKOVdshpMrSV+bUfey2upkuUUEIZQV7HWYdac
hgfNdy6mHPeJx+veBpkMem9lKSuhnmJbzHs43g1Cyjm9GnTZ3Ve5elSSZZ9ELOvUpx7oX6fHjFel
r1FK7l2Vg+2Wyqv3Ssteo3p59OJht/SMbRTqKZSQB+w/6SYuISdjlb3KyY7biGG5Jb3VDHANGDuA
IV/kCiN2DWqsX1/I9a7/YTC+XkegY4zGCR7DI/3jdVzYjLQW3rzDMmGBopxQvNnotIIln8zDr49F
hf3TsWzEcXxb0Mns90JZKeYUq8JcYaoY78HwnMr6dy/Mtyfp3flgHBMW0wqDge/7QT8UIZIUdR20
gT82uy5VYgOykAAp8ZIu5rzvSVDOhXXwNXGZIj/ZulVxor36ifDIPzya9IEoRxl4RWYexoxFPPF5
OzVzec30/HVxJnPrRml+IN5tWbUrGJrw3p6L1NmOXvPRY1pNC8GLjwB1gajgtwsMw4Ty5LfNTkj0
cCTHiz3MxT7QRfpq0ysM2jS/HlUOeiueN56TUaAazANtkFwVg83NqPf3dSVIkTOX30Q5WH/zxPJd
IHgFbEeyjS1+vAEq0cDJmcvqYBRsFMakTDdpD0lRYDW5JnIW2BrlVljM3gWZGcl6ndQDJsA3fca9
HOV4k5xq2E3RMqFkMmr0BvrTlDVmiM+dBuvoXCK8fpshsi8JMgsajLyJGvT9oZvNj7qYXpZOD4ih
/oCon6qq5YSlpvZ5oj/OFGJBEyXNnrC3PRSf+9h2hiCjgx1YDS++zgHr7WvAMQlK8PfCXh79Ro5/
4hv+rTvhbx4S1oz1L8Qo7N7eXaMpbqFaTmN1mPCGUOLgSJj4OBZyiaiJf/ONQJT7+TlZ8X+81vDP
ez89k61lzszUh+ogRVdtDfI7QLJnp4iVyjf4fgBg0FMmgDgYBa8p9IJPjHtxolAADnXkBHUFSy0t
x3brI56AlkcTuZq9P7oc2Nbo3RR+iZvAp9pXVW3CHe5eymy5VwUKFnddjLnNYjN/Jp6VKnUSm2wh
WXKAJaVqsaFc3Y595u16vtK37eViKTNkYiQ2vsxPtMr5iWYad0009EGx9MlR4YV+2wRFlSJWuocF
UA3TQ9qzkfSQ0cAuYqtnL9OD7GN8TKta1BwfRG7cYqs9EdpH/9kdQowXMyOPAXUg/yYa1xuyGcad
Ycluuz5GnbIBb04PTrxuIKCL8zwReVO0VEt6lF0rWq4hjaVuKxnCt5nNI9ZH7ZmM3xdJvO6E1wf9
dnqdIknd+IpSHF36U5aMuK4tZ2PW9gEcwwmO12mBIxtInKE0p4sTm+J9GbGypOTaBB1PhzP111CV
vyTdVJ1yw6YxPYamkPNm3RgxdUn3E/ypK3KCLkVvPQmZ/m49dv7m8abWsRnk2YxwTf3dOlnMZtbi
nSwPnTu/VN143+mseyPbrMjmsV7rr7etdo2Gddf7VHpvz3yVkBUwdVPQZvwY6oAQNli29XM/9EZp
uiRqxpiAhVdtfTXMh8LoNDZohJsHsZVuAT/FL/AX/Gv8ctD1Y9ZFWlyI/HmXb5AkXoTGOybr58fR
pNzSpYngUE+HjYr7nMYnlXXMxpD1MDFrvpCYMtvNhocee38gBfYujy2pPxTX4zDcWzYW9rog6CKV
AAPbabkqkwk+Q0lOlqEhqK/nF6cj9VXiDHPZHaBpdi4jiwibzOHBdNTtWs337l/r6/8IC38jLFyd
J7wm/72w8PGbRCfVf99c+8+f+e/mGk4jxH+mbvypHPwvsYJromOwXB1d2J9yeY70l6YQlDTCQcFN
T4/tvcreZX+D9h7RAtWp5f6TFtu7YkbAPGVJgOzEU+XS6Fv/+3fbCQQ+w4JFj8YFsdzwLRMv4C41
g++uyd9sWtbH84dyxjEoc/HNeyw8XIl3j280jK0woT4ehqwCYTnqvhd4Kqq/VOjubksHp1WxtKu/
idSYPzWx/3bVW7+vnw7OUJLKgMvmcrF/PMXEKQCx5J5P4Ixfo06X3RSOyuC4JJDeZ4yznmO/bHwS
WVIz7JY5/aY05MdbRzpmWEiD0fAAt6Af2WeZrdaehrxObjovo3uSFaSbsslutl1M1MvQudF9CUkw
/PUF/NuTIDgOWQmvQG6kd1dQl1aD5GHxD5hNxVbBoN6VGiSHFKf3xxZJ1SYycqAiWkkjwtDBdUw+
XTv4O5iW+9QnwBAM/W3deR7AE7xUPiEnKAvy4qh4XWLHxhxZpsOarbLQo9BKfIe/Poef3uHcBJ4L
Wp2eLq+k95uqDjvmgL3Xh+BF4o9EC0nIrZz3LqaIXx/pp0JnPRKcJFC3EMVQ8v74jdvMr8rG4Egj
nnQ2ysAwesdrT7I32zvdZkX89fHePUQ0wdeCCv4sLjVusvdUX2F0VcUQluPFqbzjjdIFyxD/ziL4
N9fPAgxFPpFHA8B8b0bzJa+Lgox46incfx5XrTH99JB33sOvT+ctjvDd42oLlPouDx7It/cvhQzr
qj9xDx7YtuE0djtE7T73zDzzxc2lCSLNSJDFokTJ7+cRllNTOChMMiO6Twb2+KVtt3cSeiyj0RGO
W2OsQ+wRdcMhBhd5qotq3qfcmx/HGO0PYGfdoteWTch0rJiDqGblH3rMpTrhdJ8mZ0kPvz5J821P
+MNZothm04JOa4U++/Y7e1EkooKurlSHidFmUOLVPcKU6Y7aijesMWPTMqpfVSFBH64QRG7e7AAq
ctiNxopIbIAlNm/cRASFYetUaHNFnl5sf7a+uBOgRZwJKD4n8cGgrYhhF0/5RqJ5eRB67u8S0oGR
aAFuJLpZhNUKc0RFZWAT+MLrLD84PcDHeBCUaisEktUlIToiIpSD9OoDuoyZATLYSLhXxr4za++B
CXV2zDRcd5XRYlVBVPuS4NPalOiZj5A9QWnia2+DccVUom0tGO0xBW5GYdH3boaNMziQLXsDmVCO
qOuxh3tZrADMakVh2kiUvs5ooNhZAsqMUVDu7ciCnpk5DJiXvEEsu8I17cTUH3BolZ9ccshfG0Lr
VZDrPs56n5T5KJhqYBE1hJEnFzpN6K4YT3DjxTGbQXsure/ckCHlhb2Xrui/Mp1uQOG2f1TZyoOB
EKopKCgJzFBthYdqmESYcqbYXVx5Kktk5AUiPIQ9/toRri511EDMUUhCg3hFlBLnvUeIfl6vZ1gX
RMnjdkMLv6JNDXC7RM4StERK0xGmdEmAGihU7Y2KapT6cjEGDSXFvNo9dNaXTbaiVGl9e8dhscxn
iaTnFvxoVx17fUBu73Z4RK0dKjzuiBXROrSm+Vyv2NY8EZB+GuWRRyAq+ZHYwWFT54x7gVZkaJXB
v05wYJPEvBMRGGbebeOxh2ETzBqINppr4qsp+c6lYzR3syyu0whYOn78HIlaMYTDCqFNyh46oa6f
GgHVSY8tC7iEij9UWXwdxc6XZMXZJn2v30cr4jaTzqeZqlrghAon2WWkyzv+Yw+ZZmdKaZxdNUxI
9ADn1uMCQheUWDBk8Gr6FbDrYq7nFQV01yjf5uS1utKQMO5zdFGIk8H0aiuwt1nRvQm00w2IbMgX
ePtHbq5xckOWoRy7u+ewX5tSrMgxQGDZddqVvdT1uV9xwVLZ83PGjAaQRediPHojC+sia24W5Nu8
pjoDJ91sWCToqOJgrGBit+ZxcTSAxPirWrFgIBOItALQHfTS+yTaKD2rXuRoxU8ZPKyvjtvNT+Yo
p1PpeeMxH30YrnFjnZn8NwDG8oice308DgbPlzbn6GqKeY7NQM/czoCH5rtLGxqtA8NEj0sknov6
aI16tQP+mBz1HPWCVdRgZGd6AfAU0r3htNU5VTUITDJ0KPz5x6wa8gaMpWpPfoNu3qmHea85Xhe0
nZ4DLB7n17GXU32BX1mEUUNRsJB0FshaMAVFtBGmMSuHsUReIPSh2erjJLacsTy5Dka/CZpEiJ1h
xsand58Wf7JuBA/qZQZyPYR5BLECJUQ9fjMyUhT9Ql8OxO7Jl8SFdOHUqfsICbw6V7YLaEGnvijq
Jrkhgo3qZKTkq2vUmE6MIS1EwM6uc6AHu1Wwvu+L2GqfsszMSWhbpjDVqAs1u5n3RW6Yx8kCzN0g
THqs+644tinZhIuW6Icig0mTSU4S1vFy7RR1dFqYrR3m2WwuJjluJ7djgwrzDHGoY9o5beuq2fpy
5MzRpt74OqAiezABzxCBuLVsK75Z3CYiEcxa+BnhF92n2HHAk0uTTwLPT9+PY88paY4RBz0ywnjT
55m9xfNp3xi8GDYL+PN904uF8Eqn2PjuEJ2oVexNEzl+QB0pT6PD/WqYyfxKDTw+plAstmYt2lOG
jQlxom2JvaGX7R6Npn0Fx127nzkAPveClXeJXEhw9pzYX6BioMmhDd/f6y5ghYg+xL1EKhVKNzGe
dM++omGS7d2xrfdkZ9Lgol40r2ylI83ipWDgFbmgeLF2TdIqEB/o3sciS3a1GSVAtYYHAnCRdvZ9
yrx6srfgVG5lVPljkCfxuJfNOCd7Lr+bv0gkR8lZdmU7cjczoIIVg5qsL6UeSnoGuECiEsmTpWYo
4shvreSiJqHK5fi2vP/PhvW3G1bwZN9VQj/hgh9TGafvXHCm/fZDf+1Y7X+JlRPsrFERqwmODdVf
gFLE8q5rgRykF0Nl/T2g1AdrajM00XXSbakev3PBwS4FuEGjlHtaCGS5/2TH6ho/DU04PAFM/Eo+
BX7StRz/fs86wkgiYM9gzzpXsLjG2mNlg8+1VHN7TultK9Bdc+UB8SIFKPnIuy7eWCvjC3jFcDFr
B6/QSgCz3ciItpLhzG2yEsLkygqrK8hfAdvyYxv1DxGrMCHhQ/usm00uiRLjAn9Ew1w9ip6GS1NO
rDOj0ORXO6pgHCYU/tas7OdKR+e+UYKIerOh6gvW3cNj79Tat1yReMaCV6pvvsv2PDulnTVdSBbb
SnqaXqyyKx2rrLd3xqh6oGWH6CKItYEJWI8sh7d0rT1olk1feSGgadt4LOouhWvQlesw2xWmuhhS
FetY2/tS5IUnrjp2sFyWWogDE5gYZ4AxkN/pYF/H2lhvI29Chm60UOyjLv/DKpfqigUDh5G3WDS8
rfxJZrRybSOyKPN4JRaROT0KgaUayKhBhdmtHaymbG7R2+ruXq2IV50C7DOvbZZwBlwfsccS3Jqi
9CPhYGzdR1Krxx43voLqscgF1TbBojB+In+ddFFN9uKmTU0YKJrtGA+y9UDDN9ZKKy2m5rMVW96Z
XafxoCZzvcq87OIgWdl/fk57J3jj/hCtwmJaNDa/voesPLIqAqPsTBMJL2GOoC9NEtvKrcfuEa5m
4kO00GQLW/At69qQBfrat78l0JHvNWpoDwR0k/lzc1LyM7bJOP3cVOy9hY+Ee2P3JdRWywPjYw+O
d+5HazVWJTHknzfGrFfnIIpo3PqPFJQY06S3QpN8aRkPwrA5jXIY6a6SXrDscSkAWlxRfY2CqLa3
eo+0Vam65cqv0K6TqgvslSQTMD4ZdvAVEstFEa2ER9LnC/hFzZv5ABPC43iLzZGrW44RkFf2Ksxm
oxHpqj1LMws9cB9W6Lm1Iy7RuCIfux7d1LFvRrgecZ31XwE3odRFaI5lWq2/NqGaLfZFlsEaQYtI
kzhw3hiwhFjx65WznrxHb2EJIBJxBeWk+DdLS/PnDUqpqLbhWaJa/IydUttYGgC9IAJHdeulo3N+
O6LjDlCQRg3OJ7sp7s12ZM9FSgc00Enm5Paalk2OrjWJcdlTqFrPOnU40DkyMa4cnYjvVlCnBa2t
5CFOM9u6e0Nm5ia+8yN4G3rqkTOAHG0FApogNgtOa6byO8PocT5ZPUr/x7dP6RXs8g+EIabVBq4B
H9ZuHO4yDd/SxZcFOV1F3mEz6Zi3QQJmkrF86NFBsL0s1q8UWcF6TbJZ7y49YbLItKGkzrLmn/15
ZTX9yXfVajbfeb3iWNlIpnt3KnhDuRmkFavUjXm3Uq5el2VlvmaOtt5ThkAmjRjOK/f1ME4kiBul
GjZJkytYLnk/hb1PedIxCrzX3+LOs7n5jGQEloReD4bHfVqVcP0tvzn3HjuSxvZmkC5aOwadQC1E
jGUMTFYygEYrHF1l/uw/8mU6SbhamO8R7WCRL2TXfAbt3EU7NxMKybpvkqbmlbsFj/VGH+MVQtd3
L5mGDomWOdTcwi/UB8/Ryo0rJDe2kJPkZLgAZ4c+AWdX5rWJ4tWGWdZPsjBD26/QznPJRqKV2Oof
JqD1Ly05btg7q9ozt8QAIZMXXW4d4zizjma1Xt8ZAQ9ZtC5vkKGtRw5YTjeTYVtbTD2C3WTPaBSl
DPFAJS24o6lWF07hJQmk9zm+q4ymui/G2mHmmBdZTfJvIj769eISKyrnb5ZbmqcIcd8hGz3ja2G7
b5Nz5e4wRmXnVjrpNxPR9APin/kIDOstMZ0c9VT7iKJPPrK370JiafoafTyEWiT6iNugHJ8NNrP8
O1XtdK+ct1WsL9/AXOY8AbifrvC0uivry50tyNmR+RkzR4dXjMIRVZZrsFFF3lfaWKts8GTUjaqn
8EujxT3bcQtFRJbfGMgk1nbx2LIGam5hDPfKu9CEuod+KRQ2UgPyR+6NnXEuoD+1d+x+kyP9Xbql
jtotQB7Drs2bazQ5JB1rQ3RbjZK3yeyioNaa4d6oqicznhBA9X63xPuRPPZzk1e6+Bg1Zv04JYX8
UEzWbWKP7T0B8KCH4s5gl2q4HyoXmihmid67aRkNYxAv2NXEjG5jMSlS/ryHJRbOpwEuxr7GViL3
9lTVax4KDIbDKJW/zc3poBpCn4ZG3HZdXKPmbxLiPPREh+S74MSKyI66IwK+3irhAiLJpMFkzJQK
sVUP3LGY9EoP8dFOX6JGlcWG9Fs72+nlMJQHzHvEhGiGVUAeb+uNp/T+QVS59zkVIG5YCk3MzZk1
gLLVmuPomNzVIJq/KJb3K6xgw6UX+pdJeu11Q3e6D4xJNQ6euYjsPsJkwpGm5IeZ8fEVkdzGXW44
/euInejL7Md1+6x6vRjvUkdGgLvkkh/jIq82TSufxLxEd+S2RmHO1DWgFFTnscfaXuCdH6EOnobO
1G6k7J0tsFuCtoF6fmOGrM7tkmbbyJ7FHSDI8bOXOlEYl2QJ+Y1v39AbwLSQV0RUBjpkuYurRfk1
PGFRhfi1tTsrr+3QtYZpy+Vyg9Fy1KnpyuoLHWiLVNjmY0S4IJHk8rFnSdyCUbSxY+mfDREfsynr
ztpsW0/TFJvwbfJZkjfbGdtIS5KrLmYLZ9J8uB5cefAGWj65K5BA6Abba7f+D/bOa7lxKwnDrzLl
e6qQw4VdtRRHWRqlsda+QUEUjUDkDD79fiAFmaCSd8CLqa3lnUiqATTP6T6d/j9plIvaLRSe0CC+
cyFamDmJVBY4vwkA5ywVgYHHsDZo7ArEB8tX9KkTaCEVO4J0UkjE3nCDzcSkYh1IicIQFmGdI5vW
akYcS7uMhgs/AkZJAG1VSuQbw1E00IWz4i7O4OyeZhGtaeBQM+C+aoC+LBgnyZbqNCmd75qQgsHD
vB/zNw2IkSQ1jswiDO88n4Geqc/x40iC8phmvsCnVVVoJtOy0NR02uaue027JqiwstDeC1lWnbe5
LDwwio2BYvbvEgtUgfPK/M6sCM0buRCq4yQqYUYvJCU5l8NVeuuqYVBBD5/XMMNHHpmROhbPSsUv
bzxPI5CztFODyvkFQ5/td8DZqdWrYfm7W7okTEKyIarI9KPTVM73KjHTqZ43oCuluXymJWFz0ggO
Iw60sR2RbeR3KIC2AbI5pMnq0NBL+r7apauyE8KCOfgGkjM6nvGOkD0DuaSHwXFSM0uTmDx4xQja
neXH+lHepJZPgkWsTwxIAWaMgzC3aUEE1GQi0IdalE9BqQDConXyc7pzFRI0blueN5kSHwH518hH
/E9zqYeMHh3q2JsnPy21v0h11vQOa+rqxDWLYJ7oOrjYUKB+DbqjFZwdEORULbkjRQyhQ+r41bxJ
mnz1o8qDsNwoL+tElGYW4KqHAA1VsyVAd+dgo1VXK5gM5O/4N7q8IroUq0OAJsJrv/BkUMbV+Jbu
Wke7DRgkBUh2YmZTWhY4FkS18rikLdE5MhkNYgMJnAWXmriEoaC5c6qguYCqJ//alkuzOfRzw7rJ
OQZcSmASYHlb2fm3HlZMiq5kkreWYv7hACZyu7JoeSEV7h6ly7K9UHNVvUojNwW6MU0nszJWyzM5
DorzRkzbYyPymmtRLfJ7tw7P0jo9T4xVM0tNKYX3KM7nkNqSKynS7Az8G+s4c4zfOajVR6RkZgyA
KjekrAIop6rlEuANGv2CM6aiaWX2zBUTNLWSJf4htYLYp9lWW92WspA8NsswYAbJlIJqmoAqPpWj
EoXI1upiWWaTcN5WTX49MdvVtwnpfUYFEmi/H40iISHdRkt9mnmlYknHgJrIk1OroS/OlfXbWAwe
EhC13XO4tnXrQo4Eu6jN5LIBrWhK03ZangK7aHX9ti2kckvf1W9NmhJgaQHamZZ+QDoi6zpOGNlV
gVjK6IBTk/ph1WFCK3JmOPo1bXfpNd7vtNjgR29F8m+UWXfrUNSgVE3phiZofSVO36l7LTkskXgW
4hOVBCBBh+dzTCyBdXI22ZV3a6qdoO3SyfpC4NngEcCIk3arkUbGYT4NuFDgko4nTg1pjIhSzmr8
DB2Ye0cc4gDhqU1XGNxPKrqvr05tzzAZSFGYtjc7uqLt+D+ZtKIOmWIMhmci3Ws1zTcesIccJYLs
JGaAnnmBQuc8OKlDTvAf61jcbWsyqSQrkkCTMQCg5qtnr311AqxZxhi1mCAdJoBSudSXKdQQfk4E
RR2ch6+UljEDp0NKFLKoJAaIHD2gBN2In1TrdoudjMWolNXBGqCNQFF2fwuHfs8WcLXsRM8y5bSW
ST+onivdr1roScxM/LSMu1uHhKgJXAP6HmU67TgfdvX2rfRL4IIrpgp5fBIx33VRuMRrOd7YXk4K
YDgZvJmDMaQoV/T5lozWUES32kPwgtzw0ld9IOvXcLYkuJXsW5h1dC0TDZ6AjMmy3ysXHP9qGbOS
lFVkcVYPtfxJAFncJIsDS9KdpHUcLmkDoLBXlsQWia/adP/XxV0ON05OU6oIZvdhpNFI9CekTMxF
0mxOlO5YKuQQstNhyuMm7kNdpkoOI/sTdiL6y1hV0Z3MJCFDumnO96lgJ38IIbOmMNsB/NI5TIGo
mgzvzQrwm/zI9IkWjw0HypaWL2bflDgBcT9zRXp4ctGAKKRLgKzJCP6f3lzzJX2W3gSfizrt+/04
Dy1AP5Ez6MfZ/M9zdlPskC1VQHY1gR+QIOHv7CYtjHzEoIL8gmy53Y5DDowRBl3RMDqYpB70Ujig
oZK+Y4FBNXoAyJb+F6CXOxYc08LgHONutHgo4AbI3d7b2ltgW4ieaqX1VRk+OXkwc4PHLW284SK6
ovaW5X51gR3bmTVyECYNFzB8DcQL0BlN26uuPPPQfcZnfddJrA3B4Fp0enRIafQQwARCpnb4MC3F
twBmJ5FtH7RCd7AgMyJoLczG0jJV/8z9xjHmbmwZhUAxVsonK7y92nrRmSAL8LM8xRuoQyysS9/v
sZU5wjHzB+XCg7TaCy/KTMkJewQtWZ0G8PRa2b3hU7/CPcXWfZsWR77kqWd54TPHx1CBB6ahlUbF
ocSQ2NSQMyoUUqUxkQZMh2wSAQRh6i7vOMI4VUZFPKr0eMZNUIPztJa+jqiUzjIM//e2CcrzwEpL
YD85xdTgqHigkpzrYLnM1EZbXRki4Et/UqaEoGfihCR6Cilj9llV5G/KRE9W535hupO7miSQEn2V
KwesqqQrJRWNdazDVZsf/29ZjefqTlez+Lq2BjflImtvFzBvFC/Qsd2n17EXFffxj32p355vC3rm
bdvYoXkMckh3B44XR9s2hd25te9eJK3v9yMJgV3Qdv60+PUX2TxQ8dx650XXL6ocAZRkzx9PTDgZ
RYMaBxm29WtzwS0VvaeEj59vo82PvzN4AvsJgzrz8iLz5sW2Dkj+UOMZmOL1Lb1Wwo6ILSXoBxSZ
NLLz5kYJHLa2lSCKJuhMNOiIyqZxfXPBn0gJMpDKGOlxWhAPFMpjQDF31TNeO1pgKcjUIejSBFeq
e+F9uOBPpAVuvGt6G6UFyTgA8l/F+22UsKsFQzoA/1Im5nj+AhvmJ9MCKcbNT7PxkR+YhXd3hCIw
i8/UIgXZzW/Nit/eEYbJcL1BowKJ8M3rZ9MCxQ2NBTxqLSjSAYEdEYZMCaR77RhHODQ5vDELAD7/
+sUx5udaC5LCUWasFoQDaCDpz9Zhx+1eLK7BWpAO+ERmT/ztQv6pFv6B8XjxuIeuFzytfa23yN9y
ye99ofcyrz9/9jBrdlRc6eCLnevdXHvxEhL8Ntgwa9O39WFvCtfXef735wd8fenBtfqn6t888RaZ
TcMS9RIcdft8m1d2iMf+V2A/2kNcQuw1K/PvO/n1l8F9bv3+nwjOl3Yvp9MJQQqLZ7RcwMriaCjY
7LzVeMFLO8rtvJe0vmVilv7vN4O4F4PwkSoO7QAAh2ynP2Vz0hh718QOcWY/DTiyGaPGdIyXHEWL
eeHNy8EBielQduxY4bNFYNd2tugldcoGFGUPyu4PdV/iv76gnDJ8HIJjk1PawyqkyS/znoarcHNc
GKsZkHroZRpKxitwUB4r+QSNe14vZ728ZWBD+zd+fH2fPoFt2otZywXIew8m5BTglCj2hjtycxwZ
q4vT6AmckaGWu76w/ilGKCOud8SaBvmKsTd8/to2MUQt7kEwd1bOl20vaf37aWi5f+PHVXER06D8
Ss0Mfu9hbVzC4zWwHt3s2B7u+dKG8WoXWErgjD5eHZd2nttzt8wXRTFY09DAKPtQiTd3PccehvQE
m3vY4ZceviCHf6fXQrdKJOLXPWwYOP4ozEJongxsE61gwp6kx2W2K3ovN86I5I4NoXpimL2Ofnzj
XC0eM3vn9MQclLYX0ZU99Fsc6buM7FgDdbWov5zYYZLDVzPYmMg397B7OvlniyxftP29rtdgB5nd
vzFG4fWXy0XjzQdujKCvSwDsQzN/0OjQS3q+7y6eHC0a2kP3y6GdxXjK4eaUta7It58LbLi3emmb
+9c6iJCx4r+53lDjmwBztNgP0NZfoq8fC2u+ZQvAk/snX6tCIWLv3/jxJXj9CZnLyPv+DDRxpPi7
uHxnIXbsbHvwy5sLvF6Infg9xCP3aH+R54uB5ZKZVNqDZbxfNMOo8jm9OnaVfy9st1933UIE4kLa
g6//YPh/5CL5aEpjpOgHG78TOcVwa5JQVPawNR8WefHlzZsnX7eHxffg5fOY4amBWWHepJsBGbtI
Pigdf6jytzJNL9n51/mnvgDz1r8Nk2vdN+bBws5++w8AAAD//w==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3.xml"/><Relationship Id="rId1" Type="http://schemas.openxmlformats.org/officeDocument/2006/relationships/chart" Target="../charts/chart5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163286</xdr:colOff>
      <xdr:row>4</xdr:row>
      <xdr:rowOff>27214</xdr:rowOff>
    </xdr:from>
    <xdr:to>
      <xdr:col>5</xdr:col>
      <xdr:colOff>258536</xdr:colOff>
      <xdr:row>6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69ED430-E680-A201-7999-0A90A8E34B28}"/>
            </a:ext>
          </a:extLst>
        </xdr:cNvPr>
        <xdr:cNvSpPr txBox="1"/>
      </xdr:nvSpPr>
      <xdr:spPr>
        <a:xfrm>
          <a:off x="925286" y="789214"/>
          <a:ext cx="3143250" cy="54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800" b="1">
              <a:solidFill>
                <a:srgbClr val="002060"/>
              </a:solidFill>
              <a:latin typeface="Arial Black" panose="020B0A04020102020204" pitchFamily="34" charset="0"/>
            </a:rPr>
            <a:t>Configuración</a:t>
          </a:r>
        </a:p>
      </xdr:txBody>
    </xdr:sp>
    <xdr:clientData/>
  </xdr:twoCellAnchor>
  <xdr:twoCellAnchor editAs="oneCell">
    <xdr:from>
      <xdr:col>0</xdr:col>
      <xdr:colOff>598714</xdr:colOff>
      <xdr:row>28</xdr:row>
      <xdr:rowOff>157101</xdr:rowOff>
    </xdr:from>
    <xdr:to>
      <xdr:col>5</xdr:col>
      <xdr:colOff>610894</xdr:colOff>
      <xdr:row>36</xdr:row>
      <xdr:rowOff>173429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 1">
              <a:extLst>
                <a:ext uri="{FF2B5EF4-FFF2-40B4-BE49-F238E27FC236}">
                  <a16:creationId xmlns:a16="http://schemas.microsoft.com/office/drawing/2014/main" id="{2271AAC1-9853-46A6-A785-62AC7261F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714" y="5491101"/>
              <a:ext cx="3822180" cy="15403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318434</xdr:colOff>
      <xdr:row>16</xdr:row>
      <xdr:rowOff>57643</xdr:rowOff>
    </xdr:from>
    <xdr:to>
      <xdr:col>3</xdr:col>
      <xdr:colOff>248460</xdr:colOff>
      <xdr:row>21</xdr:row>
      <xdr:rowOff>113143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aymentMode 1">
              <a:extLst>
                <a:ext uri="{FF2B5EF4-FFF2-40B4-BE49-F238E27FC236}">
                  <a16:creationId xmlns:a16="http://schemas.microsoft.com/office/drawing/2014/main" id="{43A0D2AA-9963-4ED0-B139-6066487BBA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434" y="3105643"/>
              <a:ext cx="2216026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43569</xdr:colOff>
      <xdr:row>22</xdr:row>
      <xdr:rowOff>42061</xdr:rowOff>
    </xdr:from>
    <xdr:to>
      <xdr:col>4</xdr:col>
      <xdr:colOff>735595</xdr:colOff>
      <xdr:row>27</xdr:row>
      <xdr:rowOff>97561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tate 1">
              <a:extLst>
                <a:ext uri="{FF2B5EF4-FFF2-40B4-BE49-F238E27FC236}">
                  <a16:creationId xmlns:a16="http://schemas.microsoft.com/office/drawing/2014/main" id="{D0A9C746-6DBC-43DA-977B-30DA48FC63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7569" y="4233061"/>
              <a:ext cx="2216026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108857</xdr:colOff>
      <xdr:row>16</xdr:row>
      <xdr:rowOff>44407</xdr:rowOff>
    </xdr:from>
    <xdr:to>
      <xdr:col>5</xdr:col>
      <xdr:colOff>718457</xdr:colOff>
      <xdr:row>21</xdr:row>
      <xdr:rowOff>99907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y 1">
              <a:extLst>
                <a:ext uri="{FF2B5EF4-FFF2-40B4-BE49-F238E27FC236}">
                  <a16:creationId xmlns:a16="http://schemas.microsoft.com/office/drawing/2014/main" id="{7CF26685-B756-46FB-AB71-25EEE8219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6857" y="3092407"/>
              <a:ext cx="1371600" cy="100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579664</xdr:colOff>
      <xdr:row>7</xdr:row>
      <xdr:rowOff>42056</xdr:rowOff>
    </xdr:from>
    <xdr:to>
      <xdr:col>5</xdr:col>
      <xdr:colOff>549664</xdr:colOff>
      <xdr:row>15</xdr:row>
      <xdr:rowOff>80158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-Category 1">
              <a:extLst>
                <a:ext uri="{FF2B5EF4-FFF2-40B4-BE49-F238E27FC236}">
                  <a16:creationId xmlns:a16="http://schemas.microsoft.com/office/drawing/2014/main" id="{191403E2-3069-404D-BF68-9BD695D0ED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664" y="1375556"/>
              <a:ext cx="3780000" cy="1562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389160</xdr:colOff>
      <xdr:row>12</xdr:row>
      <xdr:rowOff>68035</xdr:rowOff>
    </xdr:from>
    <xdr:to>
      <xdr:col>22</xdr:col>
      <xdr:colOff>149679</xdr:colOff>
      <xdr:row>24</xdr:row>
      <xdr:rowOff>182334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CA99FE-6795-4E9D-B869-C318CF07A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625927</xdr:colOff>
      <xdr:row>26</xdr:row>
      <xdr:rowOff>0</xdr:rowOff>
    </xdr:from>
    <xdr:to>
      <xdr:col>22</xdr:col>
      <xdr:colOff>217715</xdr:colOff>
      <xdr:row>42</xdr:row>
      <xdr:rowOff>12000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9BE8CE8-41A2-4259-9C94-94CFC21DD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329046</xdr:colOff>
      <xdr:row>1</xdr:row>
      <xdr:rowOff>189263</xdr:rowOff>
    </xdr:from>
    <xdr:to>
      <xdr:col>28</xdr:col>
      <xdr:colOff>415638</xdr:colOff>
      <xdr:row>13</xdr:row>
      <xdr:rowOff>103909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F668CA5-2090-44D7-AC83-296E4AA2A8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22091" y="379763"/>
              <a:ext cx="4658592" cy="22006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342659</xdr:colOff>
      <xdr:row>14</xdr:row>
      <xdr:rowOff>16080</xdr:rowOff>
    </xdr:from>
    <xdr:to>
      <xdr:col>28</xdr:col>
      <xdr:colOff>415637</xdr:colOff>
      <xdr:row>25</xdr:row>
      <xdr:rowOff>51956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0AEAB88D-F011-4838-8969-C5715C7F6D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35704" y="2683080"/>
              <a:ext cx="4644978" cy="2131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371107</xdr:colOff>
      <xdr:row>25</xdr:row>
      <xdr:rowOff>175654</xdr:rowOff>
    </xdr:from>
    <xdr:to>
      <xdr:col>28</xdr:col>
      <xdr:colOff>467590</xdr:colOff>
      <xdr:row>38</xdr:row>
      <xdr:rowOff>173182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03A635F-6190-44C4-AA2B-1F2D262F0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394605</xdr:colOff>
      <xdr:row>26</xdr:row>
      <xdr:rowOff>2</xdr:rowOff>
    </xdr:from>
    <xdr:to>
      <xdr:col>14</xdr:col>
      <xdr:colOff>381000</xdr:colOff>
      <xdr:row>42</xdr:row>
      <xdr:rowOff>12002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FF42FA7-CE80-464D-8639-68343A2BB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394607</xdr:colOff>
      <xdr:row>2</xdr:row>
      <xdr:rowOff>27216</xdr:rowOff>
    </xdr:from>
    <xdr:to>
      <xdr:col>10</xdr:col>
      <xdr:colOff>721181</xdr:colOff>
      <xdr:row>6</xdr:row>
      <xdr:rowOff>68037</xdr:rowOff>
    </xdr:to>
    <xdr:sp macro="" textlink="TD!$A$127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383C73D-5D8E-5EBD-2001-697276D42F1E}"/>
            </a:ext>
          </a:extLst>
        </xdr:cNvPr>
        <xdr:cNvSpPr/>
      </xdr:nvSpPr>
      <xdr:spPr>
        <a:xfrm>
          <a:off x="5728607" y="408216"/>
          <a:ext cx="2612574" cy="802821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DCED0806-F1D9-460A-ABCB-F005D997063F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$6,182,639.00 </a:t>
          </a:fld>
          <a:endParaRPr lang="es-PE" sz="4800" b="1"/>
        </a:p>
      </xdr:txBody>
    </xdr:sp>
    <xdr:clientData/>
  </xdr:twoCellAnchor>
  <xdr:twoCellAnchor>
    <xdr:from>
      <xdr:col>7</xdr:col>
      <xdr:colOff>27216</xdr:colOff>
      <xdr:row>7</xdr:row>
      <xdr:rowOff>27213</xdr:rowOff>
    </xdr:from>
    <xdr:to>
      <xdr:col>11</xdr:col>
      <xdr:colOff>244930</xdr:colOff>
      <xdr:row>10</xdr:row>
      <xdr:rowOff>136070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EEDB802-134A-CABC-2103-2A7C8548C499}"/>
            </a:ext>
          </a:extLst>
        </xdr:cNvPr>
        <xdr:cNvSpPr txBox="1"/>
      </xdr:nvSpPr>
      <xdr:spPr>
        <a:xfrm>
          <a:off x="5361216" y="1360713"/>
          <a:ext cx="3265714" cy="680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latin typeface="Arial Black" panose="020B0A04020102020204" pitchFamily="34" charset="0"/>
            </a:rPr>
            <a:t>Ventas</a:t>
          </a:r>
          <a:r>
            <a:rPr lang="es-PE" sz="2000" b="1" baseline="0">
              <a:latin typeface="Arial Black" panose="020B0A04020102020204" pitchFamily="34" charset="0"/>
            </a:rPr>
            <a:t> Totales</a:t>
          </a:r>
          <a:endParaRPr lang="es-PE" sz="20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186418</xdr:colOff>
      <xdr:row>2</xdr:row>
      <xdr:rowOff>57152</xdr:rowOff>
    </xdr:from>
    <xdr:to>
      <xdr:col>15</xdr:col>
      <xdr:colOff>512992</xdr:colOff>
      <xdr:row>6</xdr:row>
      <xdr:rowOff>97973</xdr:rowOff>
    </xdr:to>
    <xdr:sp macro="" textlink="TD!$A$129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7025265C-AA4D-41CF-8A3F-45C791A4FC87}"/>
            </a:ext>
          </a:extLst>
        </xdr:cNvPr>
        <xdr:cNvSpPr/>
      </xdr:nvSpPr>
      <xdr:spPr>
        <a:xfrm>
          <a:off x="9670597" y="438152"/>
          <a:ext cx="2612574" cy="802821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4D475C81-FFF1-42A1-B9B9-34D7A12511AA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$1,610,697.00 </a:t>
          </a:fld>
          <a:endParaRPr lang="es-PE" sz="4800" b="1"/>
        </a:p>
      </xdr:txBody>
    </xdr:sp>
    <xdr:clientData/>
  </xdr:twoCellAnchor>
  <xdr:twoCellAnchor>
    <xdr:from>
      <xdr:col>11</xdr:col>
      <xdr:colOff>1013732</xdr:colOff>
      <xdr:row>7</xdr:row>
      <xdr:rowOff>43541</xdr:rowOff>
    </xdr:from>
    <xdr:to>
      <xdr:col>16</xdr:col>
      <xdr:colOff>129267</xdr:colOff>
      <xdr:row>10</xdr:row>
      <xdr:rowOff>152398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4C88137-9A08-4529-AB54-289AE3930107}"/>
            </a:ext>
          </a:extLst>
        </xdr:cNvPr>
        <xdr:cNvSpPr txBox="1"/>
      </xdr:nvSpPr>
      <xdr:spPr>
        <a:xfrm>
          <a:off x="9395732" y="1377041"/>
          <a:ext cx="3265714" cy="680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 baseline="0">
              <a:latin typeface="Arial Black" panose="020B0A04020102020204" pitchFamily="34" charset="0"/>
            </a:rPr>
            <a:t>Ganancia Totales</a:t>
          </a:r>
          <a:endParaRPr lang="es-PE" sz="20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17</xdr:col>
      <xdr:colOff>536121</xdr:colOff>
      <xdr:row>2</xdr:row>
      <xdr:rowOff>59873</xdr:rowOff>
    </xdr:from>
    <xdr:to>
      <xdr:col>21</xdr:col>
      <xdr:colOff>100695</xdr:colOff>
      <xdr:row>6</xdr:row>
      <xdr:rowOff>100694</xdr:rowOff>
    </xdr:to>
    <xdr:sp macro="" textlink="TD!$A$131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F7F00048-DEDD-4D3C-9C5A-D9BBEC2D1AAE}"/>
            </a:ext>
          </a:extLst>
        </xdr:cNvPr>
        <xdr:cNvSpPr/>
      </xdr:nvSpPr>
      <xdr:spPr>
        <a:xfrm>
          <a:off x="13830300" y="440873"/>
          <a:ext cx="2612574" cy="802821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817B5385-1B3C-42DC-93F0-867B83670CA1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12745</a:t>
          </a:fld>
          <a:endParaRPr lang="es-PE" sz="4800" b="1"/>
        </a:p>
      </xdr:txBody>
    </xdr:sp>
    <xdr:clientData/>
  </xdr:twoCellAnchor>
  <xdr:twoCellAnchor>
    <xdr:from>
      <xdr:col>16</xdr:col>
      <xdr:colOff>571500</xdr:colOff>
      <xdr:row>7</xdr:row>
      <xdr:rowOff>59870</xdr:rowOff>
    </xdr:from>
    <xdr:to>
      <xdr:col>22</xdr:col>
      <xdr:colOff>340178</xdr:colOff>
      <xdr:row>10</xdr:row>
      <xdr:rowOff>168727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2E6567BF-DB22-4510-9D8B-7F7E14A1A020}"/>
            </a:ext>
          </a:extLst>
        </xdr:cNvPr>
        <xdr:cNvSpPr txBox="1"/>
      </xdr:nvSpPr>
      <xdr:spPr>
        <a:xfrm>
          <a:off x="13103679" y="1393370"/>
          <a:ext cx="4340678" cy="680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 baseline="0">
              <a:latin typeface="Arial Black" panose="020B0A04020102020204" pitchFamily="34" charset="0"/>
            </a:rPr>
            <a:t>Productos Totales Vendidos</a:t>
          </a:r>
          <a:endParaRPr lang="es-PE" sz="2000" b="1"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33337</xdr:rowOff>
    </xdr:from>
    <xdr:to>
      <xdr:col>11</xdr:col>
      <xdr:colOff>514350</xdr:colOff>
      <xdr:row>15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F2CA5C-F7BB-60AE-63F5-3F2A35C1C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771525</xdr:colOff>
      <xdr:row>17</xdr:row>
      <xdr:rowOff>109537</xdr:rowOff>
    </xdr:from>
    <xdr:to>
      <xdr:col>13</xdr:col>
      <xdr:colOff>314325</xdr:colOff>
      <xdr:row>26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A313CCF-C18E-AD43-FC88-A94934CE72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0" y="3348037"/>
              <a:ext cx="4038600" cy="1766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19050</xdr:colOff>
      <xdr:row>27</xdr:row>
      <xdr:rowOff>171450</xdr:rowOff>
    </xdr:from>
    <xdr:to>
      <xdr:col>8</xdr:col>
      <xdr:colOff>200025</xdr:colOff>
      <xdr:row>38</xdr:row>
      <xdr:rowOff>180974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22B6C6F-A3B1-628D-04FE-20E4B45C6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314325</xdr:colOff>
      <xdr:row>81</xdr:row>
      <xdr:rowOff>185737</xdr:rowOff>
    </xdr:from>
    <xdr:to>
      <xdr:col>13</xdr:col>
      <xdr:colOff>390525</xdr:colOff>
      <xdr:row>96</xdr:row>
      <xdr:rowOff>71437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DADD9274-AAB4-9E3A-5D32-B99994F393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5550" y="15616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76200</xdr:colOff>
      <xdr:row>28</xdr:row>
      <xdr:rowOff>171450</xdr:rowOff>
    </xdr:from>
    <xdr:to>
      <xdr:col>22</xdr:col>
      <xdr:colOff>361950</xdr:colOff>
      <xdr:row>36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Order Date">
              <a:extLst>
                <a:ext uri="{FF2B5EF4-FFF2-40B4-BE49-F238E27FC236}">
                  <a16:creationId xmlns:a16="http://schemas.microsoft.com/office/drawing/2014/main" id="{711D06B6-E5E6-DFDB-1832-A08ECD06C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1625" y="55054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28575</xdr:colOff>
      <xdr:row>2</xdr:row>
      <xdr:rowOff>85725</xdr:rowOff>
    </xdr:from>
    <xdr:to>
      <xdr:col>12</xdr:col>
      <xdr:colOff>28575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aymentMode">
              <a:extLst>
                <a:ext uri="{FF2B5EF4-FFF2-40B4-BE49-F238E27FC236}">
                  <a16:creationId xmlns:a16="http://schemas.microsoft.com/office/drawing/2014/main" id="{BBF30D67-ADC6-656C-FAD1-499CB28BCE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4325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400050</xdr:colOff>
      <xdr:row>2</xdr:row>
      <xdr:rowOff>47625</xdr:rowOff>
    </xdr:from>
    <xdr:to>
      <xdr:col>15</xdr:col>
      <xdr:colOff>400050</xdr:colOff>
      <xdr:row>15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tate">
              <a:extLst>
                <a:ext uri="{FF2B5EF4-FFF2-40B4-BE49-F238E27FC236}">
                  <a16:creationId xmlns:a16="http://schemas.microsoft.com/office/drawing/2014/main" id="{F1FC34B7-9233-EBA3-F7D2-DA2FDEB60F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428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219075</xdr:colOff>
      <xdr:row>2</xdr:row>
      <xdr:rowOff>19050</xdr:rowOff>
    </xdr:from>
    <xdr:to>
      <xdr:col>19</xdr:col>
      <xdr:colOff>219075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y">
              <a:extLst>
                <a:ext uri="{FF2B5EF4-FFF2-40B4-BE49-F238E27FC236}">
                  <a16:creationId xmlns:a16="http://schemas.microsoft.com/office/drawing/2014/main" id="{B6A27A99-FCD0-E0FF-5F55-1BFEF3E63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2025" y="400050"/>
              <a:ext cx="182880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523875</xdr:colOff>
      <xdr:row>1</xdr:row>
      <xdr:rowOff>133350</xdr:rowOff>
    </xdr:from>
    <xdr:to>
      <xdr:col>22</xdr:col>
      <xdr:colOff>523875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b-Category">
              <a:extLst>
                <a:ext uri="{FF2B5EF4-FFF2-40B4-BE49-F238E27FC236}">
                  <a16:creationId xmlns:a16="http://schemas.microsoft.com/office/drawing/2014/main" id="{3E9491F9-7C19-6984-5EA1-76F5703DD7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5625" y="3238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438150</xdr:colOff>
      <xdr:row>97</xdr:row>
      <xdr:rowOff>180975</xdr:rowOff>
    </xdr:from>
    <xdr:to>
      <xdr:col>15</xdr:col>
      <xdr:colOff>133350</xdr:colOff>
      <xdr:row>112</xdr:row>
      <xdr:rowOff>66675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961F374-B4E7-4FD1-959D-8B6E9B3C6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438150</xdr:colOff>
      <xdr:row>113</xdr:row>
      <xdr:rowOff>33338</xdr:rowOff>
    </xdr:from>
    <xdr:to>
      <xdr:col>11</xdr:col>
      <xdr:colOff>476250</xdr:colOff>
      <xdr:row>123</xdr:row>
      <xdr:rowOff>171450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A4104AC-2ECF-4A15-9EDD-03EBE2D6F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nol" refreshedDate="46041.895618865739" createdVersion="8" refreshedVersion="8" minRefreshableVersion="3" recordCount="1194" xr:uid="{2CF862B6-6ABA-4759-9198-4B4E2BB22E3C}">
  <cacheSource type="worksheet">
    <worksheetSource name="T_SALES"/>
  </cacheSource>
  <cacheFields count="18">
    <cacheField name="Order ID" numFmtId="0">
      <sharedItems/>
    </cacheField>
    <cacheField name="Amount" numFmtId="164">
      <sharedItems containsSemiMixedTypes="0" containsString="0" containsNumber="1" containsInteger="1" minValue="508" maxValue="9992"/>
    </cacheField>
    <cacheField name="Profit" numFmtId="165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 count="648">
        <d v="2023-06-27T00:00:00"/>
        <d v="2024-12-27T00:00:00"/>
        <d v="2021-07-25T00:00:00"/>
        <d v="2024-05-11T00:00:00"/>
        <d v="2021-10-09T00:00:00"/>
        <d v="2022-11-18T00:00:00"/>
        <d v="2023-11-12T00:00:00"/>
        <d v="2020-03-23T00:00:00"/>
        <d v="2020-05-04T00:00:00"/>
        <d v="2023-11-09T00:00:00"/>
        <d v="2024-12-30T00:00:00"/>
        <d v="2025-02-11T00:00:00"/>
        <d v="2024-01-23T00:00:00"/>
        <d v="2020-11-28T00:00:00"/>
        <d v="2024-05-30T00:00:00"/>
        <d v="2022-01-23T00:00:00"/>
        <d v="2021-12-17T00:00:00"/>
        <d v="2023-02-03T00:00:00"/>
        <d v="2022-10-30T00:00:00"/>
        <d v="2022-01-15T00:00:00"/>
        <d v="2023-12-14T00:00:00"/>
        <d v="2023-07-03T00:00:00"/>
        <d v="2021-05-08T00:00:00"/>
        <d v="2022-10-07T00:00:00"/>
        <d v="2024-08-06T00:00:00"/>
        <d v="2022-01-05T00:00:00"/>
        <d v="2020-10-17T00:00:00"/>
        <d v="2023-08-21T00:00:00"/>
        <d v="2021-06-18T00:00:00"/>
        <d v="2023-05-27T00:00:00"/>
        <d v="2021-10-12T00:00:00"/>
        <d v="2022-09-19T00:00:00"/>
        <d v="2022-03-25T00:00:00"/>
        <d v="2022-02-26T00:00:00"/>
        <d v="2021-04-05T00:00:00"/>
        <d v="2020-11-16T00:00:00"/>
        <d v="2024-12-12T00:00:00"/>
        <d v="2023-04-06T00:00:00"/>
        <d v="2024-01-28T00:00:00"/>
        <d v="2022-01-16T00:00:00"/>
        <d v="2022-12-16T00:00:00"/>
        <d v="2023-07-13T00:00:00"/>
        <d v="2025-03-10T00:00:00"/>
        <d v="2024-09-24T00:00:00"/>
        <d v="2020-04-13T00:00:00"/>
        <d v="2022-06-27T00:00:00"/>
        <d v="2021-03-14T00:00:00"/>
        <d v="2022-02-23T00:00:00"/>
        <d v="2022-03-29T00:00:00"/>
        <d v="2022-11-20T00:00:00"/>
        <d v="2021-11-12T00:00:00"/>
        <d v="2021-08-17T00:00:00"/>
        <d v="2022-05-16T00:00:00"/>
        <d v="2023-07-16T00:00:00"/>
        <d v="2020-08-18T00:00:00"/>
        <d v="2022-04-19T00:00:00"/>
        <d v="2022-12-23T00:00:00"/>
        <d v="2024-12-07T00:00:00"/>
        <d v="2022-02-03T00:00:00"/>
        <d v="2021-12-12T00:00:00"/>
        <d v="2020-05-17T00:00:00"/>
        <d v="2022-12-05T00:00:00"/>
        <d v="2024-09-17T00:00:00"/>
        <d v="2023-05-08T00:00:00"/>
        <d v="2021-03-03T00:00:00"/>
        <d v="2021-03-18T00:00:00"/>
        <d v="2023-04-24T00:00:00"/>
        <d v="2022-04-15T00:00:00"/>
        <d v="2022-08-29T00:00:00"/>
        <d v="2024-09-04T00:00:00"/>
        <d v="2021-05-18T00:00:00"/>
        <d v="2024-07-02T00:00:00"/>
        <d v="2024-02-16T00:00:00"/>
        <d v="2021-11-26T00:00:00"/>
        <d v="2024-02-01T00:00:00"/>
        <d v="2021-09-09T00:00:00"/>
        <d v="2021-09-08T00:00:00"/>
        <d v="2024-07-09T00:00:00"/>
        <d v="2023-02-28T00:00:00"/>
        <d v="2022-08-08T00:00:00"/>
        <d v="2022-12-07T00:00:00"/>
        <d v="2024-04-29T00:00:00"/>
        <d v="2022-01-02T00:00:00"/>
        <d v="2022-06-10T00:00:00"/>
        <d v="2021-11-16T00:00:00"/>
        <d v="2022-08-17T00:00:00"/>
        <d v="2021-11-23T00:00:00"/>
        <d v="2023-03-04T00:00:00"/>
        <d v="2023-12-16T00:00:00"/>
        <d v="2024-05-19T00:00:00"/>
        <d v="2020-05-14T00:00:00"/>
        <d v="2021-08-29T00:00:00"/>
        <d v="2024-11-10T00:00:00"/>
        <d v="2021-12-05T00:00:00"/>
        <d v="2024-07-05T00:00:00"/>
        <d v="2024-06-25T00:00:00"/>
        <d v="2024-05-31T00:00:00"/>
        <d v="2020-10-20T00:00:00"/>
        <d v="2022-08-11T00:00:00"/>
        <d v="2021-10-17T00:00:00"/>
        <d v="2023-09-20T00:00:00"/>
        <d v="2021-01-19T00:00:00"/>
        <d v="2020-08-21T00:00:00"/>
        <d v="2023-04-17T00:00:00"/>
        <d v="2023-12-24T00:00:00"/>
        <d v="2022-03-20T00:00:00"/>
        <d v="2021-08-12T00:00:00"/>
        <d v="2020-12-21T00:00:00"/>
        <d v="2023-07-07T00:00:00"/>
        <d v="2023-08-13T00:00:00"/>
        <d v="2021-02-04T00:00:00"/>
        <d v="2022-09-16T00:00:00"/>
        <d v="2022-05-06T00:00:00"/>
        <d v="2021-05-28T00:00:00"/>
        <d v="2024-07-18T00:00:00"/>
        <d v="2024-12-06T00:00:00"/>
        <d v="2022-12-12T00:00:00"/>
        <d v="2022-10-20T00:00:00"/>
        <d v="2021-03-24T00:00:00"/>
        <d v="2025-01-06T00:00:00"/>
        <d v="2021-03-06T00:00:00"/>
        <d v="2020-06-17T00:00:00"/>
        <d v="2023-09-01T00:00:00"/>
        <d v="2023-06-08T00:00:00"/>
        <d v="2021-03-25T00:00:00"/>
        <d v="2021-01-03T00:00:00"/>
        <d v="2022-08-12T00:00:00"/>
        <d v="2022-03-28T00:00:00"/>
        <d v="2023-07-15T00:00:00"/>
        <d v="2022-09-22T00:00:00"/>
        <d v="2022-12-20T00:00:00"/>
        <d v="2023-01-29T00:00:00"/>
        <d v="2024-03-24T00:00:00"/>
        <d v="2025-02-19T00:00:00"/>
        <d v="2024-07-13T00:00:00"/>
        <d v="2023-04-28T00:00:00"/>
        <d v="2020-12-05T00:00:00"/>
        <d v="2024-05-14T00:00:00"/>
        <d v="2022-01-18T00:00:00"/>
        <d v="2023-09-18T00:00:00"/>
        <d v="2021-05-12T00:00:00"/>
        <d v="2023-09-17T00:00:00"/>
        <d v="2024-09-06T00:00:00"/>
        <d v="2022-06-18T00:00:00"/>
        <d v="2020-05-22T00:00:00"/>
        <d v="2024-10-17T00:00:00"/>
        <d v="2022-03-22T00:00:00"/>
        <d v="2024-03-17T00:00:00"/>
        <d v="2020-04-02T00:00:00"/>
        <d v="2024-03-13T00:00:00"/>
        <d v="2023-03-21T00:00:00"/>
        <d v="2024-03-02T00:00:00"/>
        <d v="2021-04-30T00:00:00"/>
        <d v="2021-09-15T00:00:00"/>
        <d v="2023-01-28T00:00:00"/>
        <d v="2021-07-08T00:00:00"/>
        <d v="2020-04-08T00:00:00"/>
        <d v="2022-08-23T00:00:00"/>
        <d v="2022-12-17T00:00:00"/>
        <d v="2022-06-08T00:00:00"/>
        <d v="2020-08-28T00:00:00"/>
        <d v="2020-09-26T00:00:00"/>
        <d v="2020-12-13T00:00:00"/>
        <d v="2020-11-19T00:00:00"/>
        <d v="2023-09-13T00:00:00"/>
        <d v="2020-03-31T00:00:00"/>
        <d v="2023-08-04T00:00:00"/>
        <d v="2022-04-11T00:00:00"/>
        <d v="2021-12-31T00:00:00"/>
        <d v="2020-08-16T00:00:00"/>
        <d v="2025-02-02T00:00:00"/>
        <d v="2022-02-24T00:00:00"/>
        <d v="2024-02-25T00:00:00"/>
        <d v="2021-06-15T00:00:00"/>
        <d v="2022-12-08T00:00:00"/>
        <d v="2023-12-09T00:00:00"/>
        <d v="2022-07-16T00:00:00"/>
        <d v="2024-05-05T00:00:00"/>
        <d v="2021-10-04T00:00:00"/>
        <d v="2021-11-20T00:00:00"/>
        <d v="2020-09-15T00:00:00"/>
        <d v="2023-01-17T00:00:00"/>
        <d v="2020-06-16T00:00:00"/>
        <d v="2024-05-01T00:00:00"/>
        <d v="2023-12-07T00:00:00"/>
        <d v="2024-02-02T00:00:00"/>
        <d v="2024-06-23T00:00:00"/>
        <d v="2024-06-07T00:00:00"/>
        <d v="2023-10-13T00:00:00"/>
        <d v="2022-10-08T00:00:00"/>
        <d v="2023-10-27T00:00:00"/>
        <d v="2021-02-09T00:00:00"/>
        <d v="2020-11-03T00:00:00"/>
        <d v="2022-05-30T00:00:00"/>
        <d v="2024-06-16T00:00:00"/>
        <d v="2022-07-15T00:00:00"/>
        <d v="2021-07-18T00:00:00"/>
        <d v="2021-10-02T00:00:00"/>
        <d v="2024-04-16T00:00:00"/>
        <d v="2020-07-09T00:00:00"/>
        <d v="2020-07-25T00:00:00"/>
        <d v="2024-01-24T00:00:00"/>
        <d v="2021-11-13T00:00:00"/>
        <d v="2023-10-07T00:00:00"/>
        <d v="2021-10-23T00:00:00"/>
        <d v="2022-07-18T00:00:00"/>
        <d v="2024-08-23T00:00:00"/>
        <d v="2020-10-28T00:00:00"/>
        <d v="2024-06-15T00:00:00"/>
        <d v="2024-12-19T00:00:00"/>
        <d v="2020-09-04T00:00:00"/>
        <d v="2022-04-16T00:00:00"/>
        <d v="2024-08-29T00:00:00"/>
        <d v="2022-01-14T00:00:00"/>
        <d v="2024-04-07T00:00:00"/>
        <d v="2022-04-24T00:00:00"/>
        <d v="2020-08-27T00:00:00"/>
        <d v="2023-03-01T00:00:00"/>
        <d v="2020-10-02T00:00:00"/>
        <d v="2020-06-23T00:00:00"/>
        <d v="2022-08-01T00:00:00"/>
        <d v="2020-07-16T00:00:00"/>
        <d v="2020-05-02T00:00:00"/>
        <d v="2024-01-10T00:00:00"/>
        <d v="2020-09-30T00:00:00"/>
        <d v="2021-01-30T00:00:00"/>
        <d v="2025-03-14T00:00:00"/>
        <d v="2021-10-26T00:00:00"/>
        <d v="2023-01-11T00:00:00"/>
        <d v="2021-10-31T00:00:00"/>
        <d v="2023-05-04T00:00:00"/>
        <d v="2024-08-09T00:00:00"/>
        <d v="2022-08-21T00:00:00"/>
        <d v="2022-06-19T00:00:00"/>
        <d v="2025-01-29T00:00:00"/>
        <d v="2023-06-15T00:00:00"/>
        <d v="2023-10-18T00:00:00"/>
        <d v="2022-06-13T00:00:00"/>
        <d v="2024-06-12T00:00:00"/>
        <d v="2021-02-18T00:00:00"/>
        <d v="2023-05-29T00:00:00"/>
        <d v="2021-06-04T00:00:00"/>
        <d v="2024-01-22T00:00:00"/>
        <d v="2022-12-27T00:00:00"/>
        <d v="2024-03-30T00:00:00"/>
        <d v="2020-04-04T00:00:00"/>
        <d v="2023-01-22T00:00:00"/>
        <d v="2022-04-12T00:00:00"/>
        <d v="2023-12-13T00:00:00"/>
        <d v="2023-05-24T00:00:00"/>
        <d v="2020-11-29T00:00:00"/>
        <d v="2020-08-19T00:00:00"/>
        <d v="2024-12-26T00:00:00"/>
        <d v="2021-12-03T00:00:00"/>
        <d v="2021-09-14T00:00:00"/>
        <d v="2021-09-30T00:00:00"/>
        <d v="2021-12-22T00:00:00"/>
        <d v="2022-05-18T00:00:00"/>
        <d v="2020-10-08T00:00:00"/>
        <d v="2022-08-20T00:00:00"/>
        <d v="2024-11-25T00:00:00"/>
        <d v="2025-02-20T00:00:00"/>
        <d v="2025-03-07T00:00:00"/>
        <d v="2020-11-21T00:00:00"/>
        <d v="2024-10-01T00:00:00"/>
        <d v="2024-07-01T00:00:00"/>
        <d v="2020-11-23T00:00:00"/>
        <d v="2023-03-18T00:00:00"/>
        <d v="2022-10-19T00:00:00"/>
        <d v="2023-08-31T00:00:00"/>
        <d v="2021-06-06T00:00:00"/>
        <d v="2022-12-21T00:00:00"/>
        <d v="2024-02-12T00:00:00"/>
        <d v="2021-04-04T00:00:00"/>
        <d v="2021-02-12T00:00:00"/>
        <d v="2024-01-19T00:00:00"/>
        <d v="2022-12-25T00:00:00"/>
        <d v="2022-10-06T00:00:00"/>
        <d v="2020-04-27T00:00:00"/>
        <d v="2024-05-13T00:00:00"/>
        <d v="2020-10-23T00:00:00"/>
        <d v="2021-06-11T00:00:00"/>
        <d v="2022-11-23T00:00:00"/>
        <d v="2022-10-31T00:00:00"/>
        <d v="2023-11-06T00:00:00"/>
        <d v="2023-06-26T00:00:00"/>
        <d v="2023-09-30T00:00:00"/>
        <d v="2020-09-12T00:00:00"/>
        <d v="2020-11-27T00:00:00"/>
        <d v="2022-08-25T00:00:00"/>
        <d v="2023-08-23T00:00:00"/>
        <d v="2023-10-11T00:00:00"/>
        <d v="2022-04-21T00:00:00"/>
        <d v="2023-09-14T00:00:00"/>
        <d v="2020-04-29T00:00:00"/>
        <d v="2020-12-15T00:00:00"/>
        <d v="2024-07-11T00:00:00"/>
        <d v="2024-09-21T00:00:00"/>
        <d v="2022-10-21T00:00:00"/>
        <d v="2020-10-21T00:00:00"/>
        <d v="2022-01-11T00:00:00"/>
        <d v="2021-02-17T00:00:00"/>
        <d v="2021-11-06T00:00:00"/>
        <d v="2022-08-30T00:00:00"/>
        <d v="2023-06-04T00:00:00"/>
        <d v="2022-05-13T00:00:00"/>
        <d v="2023-01-23T00:00:00"/>
        <d v="2025-03-08T00:00:00"/>
        <d v="2024-04-24T00:00:00"/>
        <d v="2021-12-24T00:00:00"/>
        <d v="2023-09-07T00:00:00"/>
        <d v="2021-08-10T00:00:00"/>
        <d v="2024-05-26T00:00:00"/>
        <d v="2022-02-19T00:00:00"/>
        <d v="2024-12-09T00:00:00"/>
        <d v="2023-06-01T00:00:00"/>
        <d v="2023-11-05T00:00:00"/>
        <d v="2020-06-21T00:00:00"/>
        <d v="2020-10-26T00:00:00"/>
        <d v="2022-06-06T00:00:00"/>
        <d v="2021-11-11T00:00:00"/>
        <d v="2021-07-31T00:00:00"/>
        <d v="2024-04-13T00:00:00"/>
        <d v="2024-03-23T00:00:00"/>
        <d v="2021-05-07T00:00:00"/>
        <d v="2021-08-09T00:00:00"/>
        <d v="2025-02-09T00:00:00"/>
        <d v="2024-04-23T00:00:00"/>
        <d v="2023-02-23T00:00:00"/>
        <d v="2024-06-06T00:00:00"/>
        <d v="2025-01-27T00:00:00"/>
        <d v="2023-04-07T00:00:00"/>
        <d v="2022-01-20T00:00:00"/>
        <d v="2022-05-10T00:00:00"/>
        <d v="2024-05-29T00:00:00"/>
        <d v="2022-01-04T00:00:00"/>
        <d v="2024-05-02T00:00:00"/>
        <d v="2021-12-28T00:00:00"/>
        <d v="2023-08-17T00:00:00"/>
        <d v="2021-11-29T00:00:00"/>
        <d v="2021-06-13T00:00:00"/>
        <d v="2022-07-04T00:00:00"/>
        <d v="2021-06-27T00:00:00"/>
        <d v="2023-12-04T00:00:00"/>
        <d v="2022-08-09T00:00:00"/>
        <d v="2023-10-20T00:00:00"/>
        <d v="2022-02-10T00:00:00"/>
        <d v="2023-10-05T00:00:00"/>
        <d v="2021-04-03T00:00:00"/>
        <d v="2021-05-03T00:00:00"/>
        <d v="2024-02-11T00:00:00"/>
        <d v="2025-02-04T00:00:00"/>
        <d v="2022-10-12T00:00:00"/>
        <d v="2022-02-06T00:00:00"/>
        <d v="2020-11-09T00:00:00"/>
        <d v="2023-05-03T00:00:00"/>
        <d v="2022-10-04T00:00:00"/>
        <d v="2024-08-21T00:00:00"/>
        <d v="2020-05-13T00:00:00"/>
        <d v="2021-01-21T00:00:00"/>
        <d v="2022-02-28T00:00:00"/>
        <d v="2024-04-25T00:00:00"/>
        <d v="2023-03-10T00:00:00"/>
        <d v="2023-07-10T00:00:00"/>
        <d v="2024-07-28T00:00:00"/>
        <d v="2023-07-30T00:00:00"/>
        <d v="2024-10-05T00:00:00"/>
        <d v="2024-02-20T00:00:00"/>
        <d v="2023-04-19T00:00:00"/>
        <d v="2023-10-29T00:00:00"/>
        <d v="2022-03-08T00:00:00"/>
        <d v="2024-07-27T00:00:00"/>
        <d v="2022-07-05T00:00:00"/>
        <d v="2024-07-04T00:00:00"/>
        <d v="2024-02-28T00:00:00"/>
        <d v="2025-01-03T00:00:00"/>
        <d v="2021-12-07T00:00:00"/>
        <d v="2021-12-14T00:00:00"/>
        <d v="2020-11-30T00:00:00"/>
        <d v="2021-12-29T00:00:00"/>
        <d v="2024-07-08T00:00:00"/>
        <d v="2021-02-10T00:00:00"/>
        <d v="2023-12-28T00:00:00"/>
        <d v="2022-08-10T00:00:00"/>
        <d v="2023-10-17T00:00:00"/>
        <d v="2024-05-24T00:00:00"/>
        <d v="2024-02-10T00:00:00"/>
        <d v="2021-02-06T00:00:00"/>
        <d v="2022-03-16T00:00:00"/>
        <d v="2020-05-24T00:00:00"/>
        <d v="2025-02-16T00:00:00"/>
        <d v="2024-09-08T00:00:00"/>
        <d v="2022-06-29T00:00:00"/>
        <d v="2022-11-03T00:00:00"/>
        <d v="2023-11-28T00:00:00"/>
        <d v="2020-04-25T00:00:00"/>
        <d v="2022-03-23T00:00:00"/>
        <d v="2020-06-24T00:00:00"/>
        <d v="2024-11-24T00:00:00"/>
        <d v="2020-11-06T00:00:00"/>
        <d v="2023-10-24T00:00:00"/>
        <d v="2023-07-18T00:00:00"/>
        <d v="2022-10-22T00:00:00"/>
        <d v="2023-07-17T00:00:00"/>
        <d v="2025-02-24T00:00:00"/>
        <d v="2021-03-07T00:00:00"/>
        <d v="2023-10-25T00:00:00"/>
        <d v="2023-04-02T00:00:00"/>
        <d v="2024-10-21T00:00:00"/>
        <d v="2021-07-09T00:00:00"/>
        <d v="2022-04-08T00:00:00"/>
        <d v="2022-04-30T00:00:00"/>
        <d v="2023-01-20T00:00:00"/>
        <d v="2024-11-17T00:00:00"/>
        <d v="2022-04-23T00:00:00"/>
        <d v="2025-02-18T00:00:00"/>
        <d v="2021-05-27T00:00:00"/>
        <d v="2022-01-17T00:00:00"/>
        <d v="2025-01-15T00:00:00"/>
        <d v="2021-02-14T00:00:00"/>
        <d v="2024-08-31T00:00:00"/>
        <d v="2022-12-26T00:00:00"/>
        <d v="2024-03-21T00:00:00"/>
        <d v="2022-07-17T00:00:00"/>
        <d v="2024-12-05T00:00:00"/>
        <d v="2023-11-02T00:00:00"/>
        <d v="2022-11-13T00:00:00"/>
        <d v="2022-12-28T00:00:00"/>
        <d v="2025-02-26T00:00:00"/>
        <d v="2022-11-12T00:00:00"/>
        <d v="2021-06-07T00:00:00"/>
        <d v="2024-04-10T00:00:00"/>
        <d v="2023-12-21T00:00:00"/>
        <d v="2024-11-21T00:00:00"/>
        <d v="2022-03-17T00:00:00"/>
        <d v="2023-05-14T00:00:00"/>
        <d v="2024-10-07T00:00:00"/>
        <d v="2020-09-08T00:00:00"/>
        <d v="2021-08-19T00:00:00"/>
        <d v="2020-05-23T00:00:00"/>
        <d v="2020-04-18T00:00:00"/>
        <d v="2022-06-04T00:00:00"/>
        <d v="2022-11-16T00:00:00"/>
        <d v="2020-08-10T00:00:00"/>
        <d v="2024-06-22T00:00:00"/>
        <d v="2020-07-13T00:00:00"/>
        <d v="2021-03-13T00:00:00"/>
        <d v="2023-04-01T00:00:00"/>
        <d v="2020-11-10T00:00:00"/>
        <d v="2022-09-03T00:00:00"/>
        <d v="2020-10-01T00:00:00"/>
        <d v="2022-05-27T00:00:00"/>
        <d v="2024-03-10T00:00:00"/>
        <d v="2022-08-28T00:00:00"/>
        <d v="2021-04-27T00:00:00"/>
        <d v="2021-08-21T00:00:00"/>
        <d v="2021-05-16T00:00:00"/>
        <d v="2022-02-15T00:00:00"/>
        <d v="2023-11-30T00:00:00"/>
        <d v="2023-01-12T00:00:00"/>
        <d v="2023-05-19T00:00:00"/>
        <d v="2024-02-19T00:00:00"/>
        <d v="2021-12-01T00:00:00"/>
        <d v="2023-01-18T00:00:00"/>
        <d v="2020-12-23T00:00:00"/>
        <d v="2021-02-28T00:00:00"/>
        <d v="2020-04-22T00:00:00"/>
        <d v="2021-08-13T00:00:00"/>
        <d v="2023-07-20T00:00:00"/>
        <d v="2023-03-14T00:00:00"/>
        <d v="2023-11-07T00:00:00"/>
        <d v="2024-10-31T00:00:00"/>
        <d v="2021-10-29T00:00:00"/>
        <d v="2023-12-27T00:00:00"/>
        <d v="2023-06-25T00:00:00"/>
        <d v="2020-09-01T00:00:00"/>
        <d v="2025-02-01T00:00:00"/>
        <d v="2023-07-22T00:00:00"/>
        <d v="2022-02-04T00:00:00"/>
        <d v="2023-09-27T00:00:00"/>
        <d v="2025-01-30T00:00:00"/>
        <d v="2021-03-28T00:00:00"/>
        <d v="2021-12-25T00:00:00"/>
        <d v="2024-11-22T00:00:00"/>
        <d v="2024-10-08T00:00:00"/>
        <d v="2020-12-16T00:00:00"/>
        <d v="2025-03-15T00:00:00"/>
        <d v="2020-09-21T00:00:00"/>
        <d v="2025-01-11T00:00:00"/>
        <d v="2021-10-20T00:00:00"/>
        <d v="2021-10-19T00:00:00"/>
        <d v="2024-07-07T00:00:00"/>
        <d v="2023-07-25T00:00:00"/>
        <d v="2020-04-16T00:00:00"/>
        <d v="2020-07-04T00:00:00"/>
        <d v="2023-11-25T00:00:00"/>
        <d v="2023-07-02T00:00:00"/>
        <d v="2020-08-24T00:00:00"/>
        <d v="2022-11-07T00:00:00"/>
        <d v="2024-03-27T00:00:00"/>
        <d v="2024-09-01T00:00:00"/>
        <d v="2022-02-22T00:00:00"/>
        <d v="2022-02-11T00:00:00"/>
        <d v="2023-07-05T00:00:00"/>
        <d v="2020-10-27T00:00:00"/>
        <d v="2023-01-26T00:00:00"/>
        <d v="2021-09-06T00:00:00"/>
        <d v="2024-07-30T00:00:00"/>
        <d v="2022-03-15T00:00:00"/>
        <d v="2024-03-15T00:00:00"/>
        <d v="2022-07-23T00:00:00"/>
        <d v="2024-09-13T00:00:00"/>
        <d v="2022-01-25T00:00:00"/>
        <d v="2021-04-19T00:00:00"/>
        <d v="2022-06-24T00:00:00"/>
        <d v="2024-06-08T00:00:00"/>
        <d v="2022-09-29T00:00:00"/>
        <d v="2023-05-10T00:00:00"/>
        <d v="2021-04-12T00:00:00"/>
        <d v="2023-11-04T00:00:00"/>
        <d v="2023-09-10T00:00:00"/>
        <d v="2024-01-05T00:00:00"/>
        <d v="2024-05-08T00:00:00"/>
        <d v="2020-09-10T00:00:00"/>
        <d v="2020-07-12T00:00:00"/>
        <d v="2023-02-17T00:00:00"/>
        <d v="2021-07-21T00:00:00"/>
        <d v="2020-12-31T00:00:00"/>
        <d v="2023-04-05T00:00:00"/>
        <d v="2024-12-29T00:00:00"/>
        <d v="2020-08-11T00:00:00"/>
        <d v="2024-03-04T00:00:00"/>
        <d v="2023-07-28T00:00:00"/>
        <d v="2021-11-27T00:00:00"/>
        <d v="2020-09-09T00:00:00"/>
        <d v="2021-06-02T00:00:00"/>
        <d v="2022-08-22T00:00:00"/>
        <d v="2021-03-12T00:00:00"/>
        <d v="2024-06-26T00:00:00"/>
        <d v="2023-12-08T00:00:00"/>
        <d v="2024-11-27T00:00:00"/>
        <d v="2022-01-10T00:00:00"/>
        <d v="2021-11-01T00:00:00"/>
        <d v="2023-10-28T00:00:00"/>
        <d v="2025-03-01T00:00:00"/>
        <d v="2024-08-01T00:00:00"/>
        <d v="2023-06-07T00:00:00"/>
        <d v="2021-01-04T00:00:00"/>
        <d v="2024-12-14T00:00:00"/>
        <d v="2022-07-25T00:00:00"/>
        <d v="2022-05-07T00:00:00"/>
        <d v="2022-09-12T00:00:00"/>
        <d v="2023-08-20T00:00:00"/>
        <d v="2020-12-27T00:00:00"/>
        <d v="2023-09-04T00:00:00"/>
        <d v="2022-01-08T00:00:00"/>
        <d v="2023-06-05T00:00:00"/>
        <d v="2021-04-01T00:00:00"/>
        <d v="2024-05-28T00:00:00"/>
        <d v="2023-03-09T00:00:00"/>
        <d v="2022-07-28T00:00:00"/>
        <d v="2021-06-17T00:00:00"/>
        <d v="2024-02-13T00:00:00"/>
        <d v="2021-08-06T00:00:00"/>
        <d v="2022-05-01T00:00:00"/>
        <d v="2024-03-11T00:00:00"/>
        <d v="2020-07-06T00:00:00"/>
        <d v="2020-12-17T00:00:00"/>
        <d v="2025-02-27T00:00:00"/>
        <d v="2021-06-05T00:00:00"/>
        <d v="2022-12-22T00:00:00"/>
        <d v="2025-01-25T00:00:00"/>
        <d v="2025-02-14T00:00:00"/>
        <d v="2023-01-06T00:00:00"/>
        <d v="2020-10-11T00:00:00"/>
        <d v="2024-03-12T00:00:00"/>
        <d v="2022-05-17T00:00:00"/>
        <d v="2021-08-24T00:00:00"/>
        <d v="2024-02-21T00:00:00"/>
        <d v="2022-05-15T00:00:00"/>
        <d v="2022-07-22T00:00:00"/>
        <d v="2021-12-13T00:00:00"/>
        <d v="2021-06-03T00:00:00"/>
        <d v="2023-02-02T00:00:00"/>
        <d v="2022-06-05T00:00:00"/>
        <d v="2020-05-11T00:00:00"/>
        <d v="2020-11-25T00:00:00"/>
        <d v="2023-08-12T00:00:00"/>
        <d v="2024-01-17T00:00:00"/>
        <d v="2021-11-24T00:00:00"/>
        <d v="2021-10-06T00:00:00"/>
        <d v="2022-05-23T00:00:00"/>
        <d v="2021-02-22T00:00:00"/>
        <d v="2020-06-07T00:00:00"/>
        <d v="2024-05-21T00:00:00"/>
        <d v="2020-08-05T00:00:00"/>
        <d v="2020-10-15T00:00:00"/>
        <d v="2021-05-15T00:00:00"/>
        <d v="2022-01-13T00:00:00"/>
        <d v="2023-11-18T00:00:00"/>
        <d v="2022-01-19T00:00:00"/>
        <d v="2024-08-07T00:00:00"/>
        <d v="2022-07-26T00:00:00"/>
        <d v="2024-01-13T00:00:00"/>
        <d v="2023-04-25T00:00:00"/>
        <d v="2021-07-05T00:00:00"/>
        <d v="2024-10-12T00:00:00"/>
        <d v="2024-02-07T00:00:00"/>
        <d v="2021-03-05T00:00:00"/>
        <d v="2021-08-02T00:00:00"/>
        <d v="2022-08-19T00:00:00"/>
        <d v="2024-09-19T00:00:00"/>
        <d v="2020-04-05T00:00:00"/>
        <d v="2023-03-16T00:00:00"/>
        <d v="2024-10-15T00:00:00"/>
        <d v="2022-06-09T00:00:00"/>
        <d v="2023-04-09T00:00:00"/>
        <d v="2023-11-24T00:00:00"/>
        <d v="2023-11-29T00:00:00"/>
        <d v="2024-05-20T00:00:00"/>
        <d v="2022-07-13T00:00:00"/>
        <d v="2020-04-19T00:00:00"/>
        <d v="2024-11-14T00:00:00"/>
        <d v="2021-03-21T00:00:00"/>
        <d v="2023-05-31T00:00:00"/>
        <d v="2025-01-14T00:00:00"/>
        <d v="2020-12-24T00:00:00"/>
        <d v="2021-10-05T00:00:00"/>
        <d v="2024-12-28T00:00:00"/>
        <d v="2022-05-14T00:00:00"/>
        <d v="2023-08-19T00:00:00"/>
        <d v="2023-07-14T00:00:00"/>
        <d v="2023-06-22T00:00:00"/>
        <d v="2021-05-25T00:00:00"/>
        <d v="2024-04-02T00:00:00"/>
        <d v="2022-12-03T00:00:00"/>
        <d v="2021-07-12T00:00:00"/>
        <d v="2020-03-22T00:00:00"/>
        <d v="2020-08-09T00:00:00"/>
        <d v="2022-02-18T00:00:00"/>
        <d v="2021-06-14T00:00:00"/>
        <d v="2021-03-01T00:00:00"/>
        <d v="2023-09-23T00:00:00"/>
        <d v="2024-07-31T00:00:00"/>
        <d v="2020-06-02T00:00:00"/>
        <d v="2022-12-15T00:00:00"/>
        <d v="2020-08-07T00:00:00"/>
        <d v="2024-10-26T00:00:00"/>
      </sharedItems>
    </cacheField>
    <cacheField name="CustomerName" numFmtId="0">
      <sharedItems count="802"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 count="18"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14">
      <sharedItems containsSemiMixedTypes="0" containsNonDate="0" containsDate="1" containsString="0" minDate="2020-03-01T00:00:00" maxDate="2025-03-02T00:00:00" count="61">
        <d v="2023-06-01T00:00:00"/>
        <d v="2024-12-01T00:00:00"/>
        <d v="2021-07-01T00:00:00"/>
        <d v="2024-05-01T00:00:00"/>
        <d v="2021-10-01T00:00:00"/>
        <d v="2022-11-01T00:00:00"/>
        <d v="2023-11-01T00:00:00"/>
        <d v="2020-03-01T00:00:00"/>
        <d v="2020-05-01T00:00:00"/>
        <d v="2025-02-01T00:00:00"/>
        <d v="2024-01-01T00:00:00"/>
        <d v="2020-11-01T00:00:00"/>
        <d v="2022-01-01T00:00:00"/>
        <d v="2021-12-01T00:00:00"/>
        <d v="2023-02-01T00:00:00"/>
        <d v="2022-10-01T00:00:00"/>
        <d v="2023-12-01T00:00:00"/>
        <d v="2023-07-01T00:00:00"/>
        <d v="2021-05-01T00:00:00"/>
        <d v="2024-08-01T00:00:00"/>
        <d v="2020-10-01T00:00:00"/>
        <d v="2023-08-01T00:00:00"/>
        <d v="2021-06-01T00:00:00"/>
        <d v="2023-05-01T00:00:00"/>
        <d v="2022-09-01T00:00:00"/>
        <d v="2022-03-01T00:00:00"/>
        <d v="2022-02-01T00:00:00"/>
        <d v="2021-04-01T00:00:00"/>
        <d v="2023-04-01T00:00:00"/>
        <d v="2022-12-01T00:00:00"/>
        <d v="2025-03-01T00:00:00"/>
        <d v="2024-09-01T00:00:00"/>
        <d v="2020-04-01T00:00:00"/>
        <d v="2022-06-01T00:00:00"/>
        <d v="2021-03-01T00:00:00"/>
        <d v="2021-11-01T00:00:00"/>
        <d v="2021-08-01T00:00:00"/>
        <d v="2022-05-01T00:00:00"/>
        <d v="2020-08-01T00:00:00"/>
        <d v="2022-04-01T00:00:00"/>
        <d v="2022-08-01T00:00:00"/>
        <d v="2024-07-01T00:00:00"/>
        <d v="2024-02-01T00:00:00"/>
        <d v="2021-09-01T00:00:00"/>
        <d v="2024-04-01T00:00:00"/>
        <d v="2023-03-01T00:00:00"/>
        <d v="2024-11-01T00:00:00"/>
        <d v="2024-06-01T00:00:00"/>
        <d v="2023-09-01T00:00:00"/>
        <d v="2021-01-01T00:00:00"/>
        <d v="2020-12-01T00:00:00"/>
        <d v="2021-02-01T00:00:00"/>
        <d v="2025-01-01T00:00:00"/>
        <d v="2020-06-01T00:00:00"/>
        <d v="2023-01-01T00:00:00"/>
        <d v="2024-03-01T00:00:00"/>
        <d v="2024-10-01T00:00:00"/>
        <d v="2020-09-01T00:00:00"/>
        <d v="2022-07-01T00:00:00"/>
        <d v="2023-10-01T00:00:00"/>
        <d v="2020-07-01T00:00:00"/>
      </sharedItems>
      <fieldGroup par="15"/>
    </cacheField>
    <cacheField name="Margen %" numFmtId="9">
      <sharedItems containsSemiMixedTypes="0" containsString="0" containsNumber="1" minValue="7.7901843676967024E-3" maxValue="0.5"/>
    </cacheField>
    <cacheField name="Meses (Year-Month)" numFmtId="0" databaseField="0">
      <fieldGroup base="11">
        <rangePr groupBy="months" startDate="2020-03-01T00:00:00" endDate="2025-03-02T00:00:00"/>
        <groupItems count="14">
          <s v="&lt;1/03/202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/03/2025"/>
        </groupItems>
      </fieldGroup>
    </cacheField>
    <cacheField name="Trimestres (Year-Month)" numFmtId="0" databaseField="0">
      <fieldGroup base="11">
        <rangePr groupBy="quarters" startDate="2020-03-01T00:00:00" endDate="2025-03-02T00:00:00"/>
        <groupItems count="6">
          <s v="&lt;1/03/2020"/>
          <s v="Trim.1"/>
          <s v="Trim.2"/>
          <s v="Trim.3"/>
          <s v="Trim.4"/>
          <s v="&gt;2/03/2025"/>
        </groupItems>
      </fieldGroup>
    </cacheField>
    <cacheField name="Años (Year-Month)" numFmtId="0" databaseField="0">
      <fieldGroup base="11">
        <rangePr groupBy="years" startDate="2020-03-01T00:00:00" endDate="2025-03-02T00:00:00"/>
        <groupItems count="8">
          <s v="&lt;1/03/2020"/>
          <s v="2020"/>
          <s v="2021"/>
          <s v="2022"/>
          <s v="2023"/>
          <s v="2024"/>
          <s v="2025"/>
          <s v="&gt;2/03/2025"/>
        </groupItems>
      </fieldGroup>
    </cacheField>
    <cacheField name="Margen de Beneficio" numFmtId="0" formula="Profit/Amount" databaseField="0"/>
    <cacheField name="Profit %" numFmtId="0" formula="Profit" databaseField="0"/>
  </cacheFields>
  <extLst>
    <ext xmlns:x14="http://schemas.microsoft.com/office/spreadsheetml/2009/9/main" uri="{725AE2AE-9491-48be-B2B4-4EB974FC3084}">
      <x14:pivotCacheDefinition pivotCacheId="82870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x v="0"/>
    <x v="0"/>
    <x v="0"/>
    <x v="0"/>
    <x v="0"/>
    <x v="0"/>
    <x v="0"/>
    <n v="0.13109191856878469"/>
  </r>
  <r>
    <s v="B-26776"/>
    <n v="9726"/>
    <n v="1275"/>
    <n v="5"/>
    <x v="0"/>
    <x v="0"/>
    <x v="0"/>
    <x v="1"/>
    <x v="1"/>
    <x v="1"/>
    <x v="1"/>
    <x v="1"/>
    <n v="0.13109191856878469"/>
  </r>
  <r>
    <s v="B-26776"/>
    <n v="9726"/>
    <n v="1275"/>
    <n v="5"/>
    <x v="0"/>
    <x v="0"/>
    <x v="0"/>
    <x v="2"/>
    <x v="2"/>
    <x v="2"/>
    <x v="2"/>
    <x v="2"/>
    <n v="0.13109191856878469"/>
  </r>
  <r>
    <s v="B-26776"/>
    <n v="4975"/>
    <n v="1330"/>
    <n v="14"/>
    <x v="0"/>
    <x v="1"/>
    <x v="0"/>
    <x v="0"/>
    <x v="0"/>
    <x v="0"/>
    <x v="0"/>
    <x v="0"/>
    <n v="0.26733668341708544"/>
  </r>
  <r>
    <s v="B-26776"/>
    <n v="4975"/>
    <n v="1330"/>
    <n v="14"/>
    <x v="0"/>
    <x v="1"/>
    <x v="0"/>
    <x v="1"/>
    <x v="1"/>
    <x v="1"/>
    <x v="1"/>
    <x v="1"/>
    <n v="0.26733668341708544"/>
  </r>
  <r>
    <s v="B-26776"/>
    <n v="4975"/>
    <n v="1330"/>
    <n v="14"/>
    <x v="0"/>
    <x v="1"/>
    <x v="0"/>
    <x v="2"/>
    <x v="2"/>
    <x v="2"/>
    <x v="2"/>
    <x v="2"/>
    <n v="0.26733668341708544"/>
  </r>
  <r>
    <s v="B-26942"/>
    <n v="1525"/>
    <n v="185"/>
    <n v="12"/>
    <x v="1"/>
    <x v="2"/>
    <x v="1"/>
    <x v="3"/>
    <x v="3"/>
    <x v="0"/>
    <x v="3"/>
    <x v="3"/>
    <n v="0.12131147540983607"/>
  </r>
  <r>
    <s v="B-26942"/>
    <n v="1525"/>
    <n v="185"/>
    <n v="12"/>
    <x v="1"/>
    <x v="2"/>
    <x v="1"/>
    <x v="4"/>
    <x v="4"/>
    <x v="0"/>
    <x v="0"/>
    <x v="4"/>
    <n v="0.12131147540983607"/>
  </r>
  <r>
    <s v="B-26640"/>
    <n v="883"/>
    <n v="117"/>
    <n v="10"/>
    <x v="0"/>
    <x v="3"/>
    <x v="2"/>
    <x v="5"/>
    <x v="5"/>
    <x v="3"/>
    <x v="4"/>
    <x v="5"/>
    <n v="0.13250283125707815"/>
  </r>
  <r>
    <s v="B-26640"/>
    <n v="8127"/>
    <n v="3551"/>
    <n v="16"/>
    <x v="2"/>
    <x v="4"/>
    <x v="3"/>
    <x v="5"/>
    <x v="5"/>
    <x v="3"/>
    <x v="4"/>
    <x v="5"/>
    <n v="0.43693859972929738"/>
  </r>
  <r>
    <s v="B-25890"/>
    <n v="2516"/>
    <n v="734"/>
    <n v="19"/>
    <x v="2"/>
    <x v="5"/>
    <x v="0"/>
    <x v="6"/>
    <x v="6"/>
    <x v="2"/>
    <x v="5"/>
    <x v="6"/>
    <n v="0.29173290937996821"/>
  </r>
  <r>
    <s v="B-25102"/>
    <n v="2975"/>
    <n v="462"/>
    <n v="14"/>
    <x v="1"/>
    <x v="2"/>
    <x v="3"/>
    <x v="7"/>
    <x v="7"/>
    <x v="2"/>
    <x v="5"/>
    <x v="7"/>
    <n v="0.15529411764705883"/>
  </r>
  <r>
    <s v="B-25426"/>
    <n v="6851"/>
    <n v="2812"/>
    <n v="1"/>
    <x v="1"/>
    <x v="6"/>
    <x v="1"/>
    <x v="8"/>
    <x v="8"/>
    <x v="0"/>
    <x v="3"/>
    <x v="8"/>
    <n v="0.41045102904685449"/>
  </r>
  <r>
    <s v="B-25426"/>
    <n v="7626"/>
    <n v="1046"/>
    <n v="15"/>
    <x v="2"/>
    <x v="7"/>
    <x v="3"/>
    <x v="8"/>
    <x v="8"/>
    <x v="0"/>
    <x v="3"/>
    <x v="8"/>
    <n v="0.13716233936532915"/>
  </r>
  <r>
    <s v="B-25426"/>
    <n v="1023"/>
    <n v="78"/>
    <n v="9"/>
    <x v="2"/>
    <x v="4"/>
    <x v="0"/>
    <x v="8"/>
    <x v="8"/>
    <x v="0"/>
    <x v="3"/>
    <x v="8"/>
    <n v="7.6246334310850442E-2"/>
  </r>
  <r>
    <s v="B-25238"/>
    <n v="7600"/>
    <n v="1098"/>
    <n v="10"/>
    <x v="1"/>
    <x v="2"/>
    <x v="0"/>
    <x v="9"/>
    <x v="9"/>
    <x v="1"/>
    <x v="6"/>
    <x v="6"/>
    <n v="0.14447368421052631"/>
  </r>
  <r>
    <s v="B-25238"/>
    <n v="7501"/>
    <n v="262"/>
    <n v="18"/>
    <x v="1"/>
    <x v="8"/>
    <x v="4"/>
    <x v="9"/>
    <x v="9"/>
    <x v="1"/>
    <x v="6"/>
    <x v="6"/>
    <n v="3.4928676176509799E-2"/>
  </r>
  <r>
    <s v="B-25051"/>
    <n v="725"/>
    <n v="133"/>
    <n v="6"/>
    <x v="1"/>
    <x v="8"/>
    <x v="3"/>
    <x v="10"/>
    <x v="10"/>
    <x v="2"/>
    <x v="7"/>
    <x v="1"/>
    <n v="0.18344827586206897"/>
  </r>
  <r>
    <s v="B-25051"/>
    <n v="7201"/>
    <n v="2685"/>
    <n v="2"/>
    <x v="2"/>
    <x v="4"/>
    <x v="3"/>
    <x v="10"/>
    <x v="10"/>
    <x v="2"/>
    <x v="7"/>
    <x v="1"/>
    <n v="0.37286487987779476"/>
  </r>
  <r>
    <s v="B-26510"/>
    <n v="1629"/>
    <n v="265"/>
    <n v="1"/>
    <x v="1"/>
    <x v="8"/>
    <x v="0"/>
    <x v="11"/>
    <x v="11"/>
    <x v="4"/>
    <x v="8"/>
    <x v="9"/>
    <n v="0.16267648864333947"/>
  </r>
  <r>
    <s v="B-26510"/>
    <n v="1629"/>
    <n v="265"/>
    <n v="1"/>
    <x v="1"/>
    <x v="8"/>
    <x v="0"/>
    <x v="12"/>
    <x v="12"/>
    <x v="3"/>
    <x v="9"/>
    <x v="10"/>
    <n v="0.16267648864333947"/>
  </r>
  <r>
    <s v="B-25104"/>
    <n v="8971"/>
    <n v="2971"/>
    <n v="19"/>
    <x v="1"/>
    <x v="9"/>
    <x v="1"/>
    <x v="13"/>
    <x v="13"/>
    <x v="3"/>
    <x v="9"/>
    <x v="11"/>
    <n v="0.33117824099877385"/>
  </r>
  <r>
    <s v="B-25104"/>
    <n v="2939"/>
    <n v="894"/>
    <n v="20"/>
    <x v="1"/>
    <x v="9"/>
    <x v="4"/>
    <x v="13"/>
    <x v="13"/>
    <x v="3"/>
    <x v="9"/>
    <x v="11"/>
    <n v="0.30418509697175911"/>
  </r>
  <r>
    <s v="B-25553"/>
    <n v="9380"/>
    <n v="414"/>
    <n v="11"/>
    <x v="0"/>
    <x v="10"/>
    <x v="0"/>
    <x v="14"/>
    <x v="14"/>
    <x v="2"/>
    <x v="7"/>
    <x v="3"/>
    <n v="4.4136460554371003E-2"/>
  </r>
  <r>
    <s v="B-25553"/>
    <n v="8558"/>
    <n v="1644"/>
    <n v="18"/>
    <x v="1"/>
    <x v="9"/>
    <x v="3"/>
    <x v="14"/>
    <x v="14"/>
    <x v="2"/>
    <x v="7"/>
    <x v="3"/>
    <n v="0.19210095816779621"/>
  </r>
  <r>
    <s v="B-25553"/>
    <n v="4080"/>
    <n v="72"/>
    <n v="17"/>
    <x v="1"/>
    <x v="8"/>
    <x v="4"/>
    <x v="14"/>
    <x v="14"/>
    <x v="2"/>
    <x v="7"/>
    <x v="3"/>
    <n v="1.7647058823529412E-2"/>
  </r>
  <r>
    <s v="B-26703"/>
    <n v="4206"/>
    <n v="1821"/>
    <n v="17"/>
    <x v="0"/>
    <x v="0"/>
    <x v="2"/>
    <x v="15"/>
    <x v="15"/>
    <x v="4"/>
    <x v="10"/>
    <x v="12"/>
    <n v="0.43295292439372324"/>
  </r>
  <r>
    <s v="B-26232"/>
    <n v="5219"/>
    <n v="1180"/>
    <n v="20"/>
    <x v="1"/>
    <x v="9"/>
    <x v="4"/>
    <x v="16"/>
    <x v="16"/>
    <x v="2"/>
    <x v="5"/>
    <x v="13"/>
    <n v="0.22609695343935621"/>
  </r>
  <r>
    <s v="B-26232"/>
    <n v="5219"/>
    <n v="1180"/>
    <n v="20"/>
    <x v="1"/>
    <x v="9"/>
    <x v="4"/>
    <x v="17"/>
    <x v="17"/>
    <x v="3"/>
    <x v="11"/>
    <x v="14"/>
    <n v="0.22609695343935621"/>
  </r>
  <r>
    <s v="B-25394"/>
    <n v="3686"/>
    <n v="760"/>
    <n v="20"/>
    <x v="1"/>
    <x v="2"/>
    <x v="1"/>
    <x v="18"/>
    <x v="18"/>
    <x v="3"/>
    <x v="11"/>
    <x v="15"/>
    <n v="0.20618556701030927"/>
  </r>
  <r>
    <s v="B-25394"/>
    <n v="3686"/>
    <n v="760"/>
    <n v="20"/>
    <x v="1"/>
    <x v="2"/>
    <x v="1"/>
    <x v="19"/>
    <x v="19"/>
    <x v="5"/>
    <x v="12"/>
    <x v="12"/>
    <n v="0.20618556701030927"/>
  </r>
  <r>
    <s v="B-26157"/>
    <n v="6045"/>
    <n v="1606"/>
    <n v="4"/>
    <x v="1"/>
    <x v="8"/>
    <x v="4"/>
    <x v="20"/>
    <x v="20"/>
    <x v="0"/>
    <x v="3"/>
    <x v="16"/>
    <n v="0.26567411083540116"/>
  </r>
  <r>
    <s v="B-26157"/>
    <n v="9337"/>
    <n v="554"/>
    <n v="11"/>
    <x v="1"/>
    <x v="2"/>
    <x v="4"/>
    <x v="20"/>
    <x v="20"/>
    <x v="0"/>
    <x v="3"/>
    <x v="16"/>
    <n v="5.9333833136981901E-2"/>
  </r>
  <r>
    <s v="B-25555"/>
    <n v="4051"/>
    <n v="1848"/>
    <n v="12"/>
    <x v="0"/>
    <x v="10"/>
    <x v="3"/>
    <x v="21"/>
    <x v="21"/>
    <x v="3"/>
    <x v="9"/>
    <x v="17"/>
    <n v="0.45618365835596147"/>
  </r>
  <r>
    <s v="B-25555"/>
    <n v="4051"/>
    <n v="1848"/>
    <n v="12"/>
    <x v="0"/>
    <x v="10"/>
    <x v="3"/>
    <x v="22"/>
    <x v="22"/>
    <x v="5"/>
    <x v="13"/>
    <x v="18"/>
    <n v="0.45618365835596147"/>
  </r>
  <r>
    <s v="B-25555"/>
    <n v="5011"/>
    <n v="866"/>
    <n v="11"/>
    <x v="2"/>
    <x v="11"/>
    <x v="3"/>
    <x v="21"/>
    <x v="21"/>
    <x v="3"/>
    <x v="9"/>
    <x v="17"/>
    <n v="0.17281979644781481"/>
  </r>
  <r>
    <s v="B-25555"/>
    <n v="5011"/>
    <n v="866"/>
    <n v="11"/>
    <x v="2"/>
    <x v="11"/>
    <x v="3"/>
    <x v="22"/>
    <x v="22"/>
    <x v="5"/>
    <x v="13"/>
    <x v="18"/>
    <n v="0.17281979644781481"/>
  </r>
  <r>
    <s v="B-26139"/>
    <n v="3958"/>
    <n v="630"/>
    <n v="15"/>
    <x v="2"/>
    <x v="7"/>
    <x v="2"/>
    <x v="23"/>
    <x v="23"/>
    <x v="0"/>
    <x v="3"/>
    <x v="15"/>
    <n v="0.15917129863567459"/>
  </r>
  <r>
    <s v="B-26139"/>
    <n v="3132"/>
    <n v="963"/>
    <n v="1"/>
    <x v="2"/>
    <x v="4"/>
    <x v="1"/>
    <x v="23"/>
    <x v="23"/>
    <x v="0"/>
    <x v="3"/>
    <x v="15"/>
    <n v="0.30747126436781608"/>
  </r>
  <r>
    <s v="B-25032"/>
    <n v="7784"/>
    <n v="2937"/>
    <n v="12"/>
    <x v="1"/>
    <x v="6"/>
    <x v="0"/>
    <x v="24"/>
    <x v="24"/>
    <x v="3"/>
    <x v="11"/>
    <x v="19"/>
    <n v="0.37731243576567319"/>
  </r>
  <r>
    <s v="B-25032"/>
    <n v="5591"/>
    <n v="1696"/>
    <n v="3"/>
    <x v="1"/>
    <x v="2"/>
    <x v="4"/>
    <x v="24"/>
    <x v="24"/>
    <x v="3"/>
    <x v="11"/>
    <x v="19"/>
    <n v="0.30334466106242175"/>
  </r>
  <r>
    <s v="B-25032"/>
    <n v="5122"/>
    <n v="2413"/>
    <n v="12"/>
    <x v="0"/>
    <x v="0"/>
    <x v="4"/>
    <x v="24"/>
    <x v="24"/>
    <x v="3"/>
    <x v="11"/>
    <x v="19"/>
    <n v="0.47110503709488483"/>
  </r>
  <r>
    <s v="B-25730"/>
    <n v="8293"/>
    <n v="2632"/>
    <n v="8"/>
    <x v="1"/>
    <x v="9"/>
    <x v="4"/>
    <x v="25"/>
    <x v="25"/>
    <x v="5"/>
    <x v="14"/>
    <x v="12"/>
    <n v="0.31737610032557578"/>
  </r>
  <r>
    <s v="B-25730"/>
    <n v="8293"/>
    <n v="2632"/>
    <n v="8"/>
    <x v="1"/>
    <x v="9"/>
    <x v="4"/>
    <x v="26"/>
    <x v="26"/>
    <x v="2"/>
    <x v="7"/>
    <x v="20"/>
    <n v="0.31737610032557578"/>
  </r>
  <r>
    <s v="B-25730"/>
    <n v="8293"/>
    <n v="2632"/>
    <n v="8"/>
    <x v="1"/>
    <x v="9"/>
    <x v="4"/>
    <x v="27"/>
    <x v="27"/>
    <x v="3"/>
    <x v="4"/>
    <x v="21"/>
    <n v="0.31737610032557578"/>
  </r>
  <r>
    <s v="B-25730"/>
    <n v="2863"/>
    <n v="205"/>
    <n v="17"/>
    <x v="0"/>
    <x v="10"/>
    <x v="0"/>
    <x v="25"/>
    <x v="25"/>
    <x v="5"/>
    <x v="14"/>
    <x v="12"/>
    <n v="7.1603213412504363E-2"/>
  </r>
  <r>
    <s v="B-25730"/>
    <n v="2863"/>
    <n v="205"/>
    <n v="17"/>
    <x v="0"/>
    <x v="10"/>
    <x v="0"/>
    <x v="26"/>
    <x v="26"/>
    <x v="2"/>
    <x v="7"/>
    <x v="20"/>
    <n v="7.1603213412504363E-2"/>
  </r>
  <r>
    <s v="B-25730"/>
    <n v="2863"/>
    <n v="205"/>
    <n v="17"/>
    <x v="0"/>
    <x v="10"/>
    <x v="0"/>
    <x v="27"/>
    <x v="27"/>
    <x v="3"/>
    <x v="4"/>
    <x v="21"/>
    <n v="7.1603213412504363E-2"/>
  </r>
  <r>
    <s v="B-26470"/>
    <n v="3090"/>
    <n v="573"/>
    <n v="6"/>
    <x v="2"/>
    <x v="4"/>
    <x v="2"/>
    <x v="1"/>
    <x v="28"/>
    <x v="3"/>
    <x v="9"/>
    <x v="1"/>
    <n v="0.18543689320388348"/>
  </r>
  <r>
    <s v="B-26470"/>
    <n v="3090"/>
    <n v="573"/>
    <n v="6"/>
    <x v="2"/>
    <x v="4"/>
    <x v="2"/>
    <x v="28"/>
    <x v="29"/>
    <x v="5"/>
    <x v="13"/>
    <x v="22"/>
    <n v="0.18543689320388348"/>
  </r>
  <r>
    <s v="B-26470"/>
    <n v="3090"/>
    <n v="573"/>
    <n v="6"/>
    <x v="2"/>
    <x v="4"/>
    <x v="2"/>
    <x v="29"/>
    <x v="30"/>
    <x v="4"/>
    <x v="10"/>
    <x v="23"/>
    <n v="0.18543689320388348"/>
  </r>
  <r>
    <s v="B-26470"/>
    <n v="3090"/>
    <n v="573"/>
    <n v="6"/>
    <x v="2"/>
    <x v="4"/>
    <x v="2"/>
    <x v="30"/>
    <x v="31"/>
    <x v="4"/>
    <x v="8"/>
    <x v="4"/>
    <n v="0.18543689320388348"/>
  </r>
  <r>
    <s v="B-26470"/>
    <n v="9683"/>
    <n v="1014"/>
    <n v="5"/>
    <x v="0"/>
    <x v="1"/>
    <x v="0"/>
    <x v="1"/>
    <x v="28"/>
    <x v="3"/>
    <x v="9"/>
    <x v="1"/>
    <n v="0.10471961169059175"/>
  </r>
  <r>
    <s v="B-26470"/>
    <n v="9683"/>
    <n v="1014"/>
    <n v="5"/>
    <x v="0"/>
    <x v="1"/>
    <x v="0"/>
    <x v="28"/>
    <x v="29"/>
    <x v="5"/>
    <x v="13"/>
    <x v="22"/>
    <n v="0.10471961169059175"/>
  </r>
  <r>
    <s v="B-26470"/>
    <n v="9683"/>
    <n v="1014"/>
    <n v="5"/>
    <x v="0"/>
    <x v="1"/>
    <x v="0"/>
    <x v="29"/>
    <x v="30"/>
    <x v="4"/>
    <x v="10"/>
    <x v="23"/>
    <n v="0.10471961169059175"/>
  </r>
  <r>
    <s v="B-26470"/>
    <n v="9683"/>
    <n v="1014"/>
    <n v="5"/>
    <x v="0"/>
    <x v="1"/>
    <x v="0"/>
    <x v="30"/>
    <x v="31"/>
    <x v="4"/>
    <x v="8"/>
    <x v="4"/>
    <n v="0.10471961169059175"/>
  </r>
  <r>
    <s v="B-25988"/>
    <n v="2463"/>
    <n v="648"/>
    <n v="18"/>
    <x v="2"/>
    <x v="4"/>
    <x v="2"/>
    <x v="31"/>
    <x v="32"/>
    <x v="5"/>
    <x v="13"/>
    <x v="24"/>
    <n v="0.26309378806333739"/>
  </r>
  <r>
    <s v="B-25568"/>
    <n v="7811"/>
    <n v="1538"/>
    <n v="12"/>
    <x v="2"/>
    <x v="7"/>
    <x v="4"/>
    <x v="32"/>
    <x v="33"/>
    <x v="0"/>
    <x v="0"/>
    <x v="25"/>
    <n v="0.19690180514658814"/>
  </r>
  <r>
    <s v="B-26730"/>
    <n v="6139"/>
    <n v="451"/>
    <n v="10"/>
    <x v="2"/>
    <x v="4"/>
    <x v="1"/>
    <x v="33"/>
    <x v="34"/>
    <x v="0"/>
    <x v="3"/>
    <x v="26"/>
    <n v="7.3464733669978827E-2"/>
  </r>
  <r>
    <s v="B-26730"/>
    <n v="6139"/>
    <n v="451"/>
    <n v="10"/>
    <x v="2"/>
    <x v="4"/>
    <x v="1"/>
    <x v="34"/>
    <x v="17"/>
    <x v="4"/>
    <x v="15"/>
    <x v="27"/>
    <n v="7.3464733669978827E-2"/>
  </r>
  <r>
    <s v="B-26730"/>
    <n v="8636"/>
    <n v="3192"/>
    <n v="3"/>
    <x v="2"/>
    <x v="5"/>
    <x v="4"/>
    <x v="33"/>
    <x v="34"/>
    <x v="0"/>
    <x v="3"/>
    <x v="26"/>
    <n v="0.36961556276053731"/>
  </r>
  <r>
    <s v="B-26730"/>
    <n v="8636"/>
    <n v="3192"/>
    <n v="3"/>
    <x v="2"/>
    <x v="5"/>
    <x v="4"/>
    <x v="34"/>
    <x v="17"/>
    <x v="4"/>
    <x v="15"/>
    <x v="27"/>
    <n v="0.36961556276053731"/>
  </r>
  <r>
    <s v="B-26730"/>
    <n v="4439"/>
    <n v="1712"/>
    <n v="19"/>
    <x v="2"/>
    <x v="7"/>
    <x v="3"/>
    <x v="33"/>
    <x v="34"/>
    <x v="0"/>
    <x v="3"/>
    <x v="26"/>
    <n v="0.3856724487497184"/>
  </r>
  <r>
    <s v="B-26730"/>
    <n v="4439"/>
    <n v="1712"/>
    <n v="19"/>
    <x v="2"/>
    <x v="7"/>
    <x v="3"/>
    <x v="34"/>
    <x v="17"/>
    <x v="4"/>
    <x v="15"/>
    <x v="27"/>
    <n v="0.3856724487497184"/>
  </r>
  <r>
    <s v="B-25372"/>
    <n v="1016"/>
    <n v="172"/>
    <n v="20"/>
    <x v="2"/>
    <x v="4"/>
    <x v="1"/>
    <x v="35"/>
    <x v="35"/>
    <x v="2"/>
    <x v="2"/>
    <x v="11"/>
    <n v="0.16929133858267717"/>
  </r>
  <r>
    <s v="B-25372"/>
    <n v="5768"/>
    <n v="2059"/>
    <n v="14"/>
    <x v="2"/>
    <x v="4"/>
    <x v="0"/>
    <x v="35"/>
    <x v="35"/>
    <x v="2"/>
    <x v="2"/>
    <x v="11"/>
    <n v="0.35696948682385576"/>
  </r>
  <r>
    <s v="B-25372"/>
    <n v="1217"/>
    <n v="151"/>
    <n v="3"/>
    <x v="2"/>
    <x v="4"/>
    <x v="3"/>
    <x v="35"/>
    <x v="35"/>
    <x v="2"/>
    <x v="2"/>
    <x v="11"/>
    <n v="0.12407559572719803"/>
  </r>
  <r>
    <s v="B-26026"/>
    <n v="953"/>
    <n v="93"/>
    <n v="2"/>
    <x v="1"/>
    <x v="8"/>
    <x v="1"/>
    <x v="36"/>
    <x v="36"/>
    <x v="5"/>
    <x v="14"/>
    <x v="1"/>
    <n v="9.7586568730325285E-2"/>
  </r>
  <r>
    <s v="B-26026"/>
    <n v="953"/>
    <n v="93"/>
    <n v="2"/>
    <x v="1"/>
    <x v="8"/>
    <x v="1"/>
    <x v="37"/>
    <x v="37"/>
    <x v="3"/>
    <x v="4"/>
    <x v="28"/>
    <n v="9.7586568730325285E-2"/>
  </r>
  <r>
    <s v="B-26026"/>
    <n v="7355"/>
    <n v="1034"/>
    <n v="3"/>
    <x v="2"/>
    <x v="7"/>
    <x v="4"/>
    <x v="36"/>
    <x v="36"/>
    <x v="5"/>
    <x v="14"/>
    <x v="1"/>
    <n v="0.14058463630183549"/>
  </r>
  <r>
    <s v="B-26026"/>
    <n v="7355"/>
    <n v="1034"/>
    <n v="3"/>
    <x v="2"/>
    <x v="7"/>
    <x v="4"/>
    <x v="37"/>
    <x v="37"/>
    <x v="3"/>
    <x v="4"/>
    <x v="28"/>
    <n v="0.14058463630183549"/>
  </r>
  <r>
    <s v="B-26026"/>
    <n v="1843"/>
    <n v="248"/>
    <n v="3"/>
    <x v="0"/>
    <x v="10"/>
    <x v="3"/>
    <x v="36"/>
    <x v="36"/>
    <x v="5"/>
    <x v="14"/>
    <x v="1"/>
    <n v="0.13456321215409658"/>
  </r>
  <r>
    <s v="B-26026"/>
    <n v="1843"/>
    <n v="248"/>
    <n v="3"/>
    <x v="0"/>
    <x v="10"/>
    <x v="3"/>
    <x v="37"/>
    <x v="37"/>
    <x v="3"/>
    <x v="4"/>
    <x v="28"/>
    <n v="0.13456321215409658"/>
  </r>
  <r>
    <s v="B-26026"/>
    <n v="1603"/>
    <n v="361"/>
    <n v="10"/>
    <x v="1"/>
    <x v="2"/>
    <x v="1"/>
    <x v="36"/>
    <x v="36"/>
    <x v="5"/>
    <x v="14"/>
    <x v="1"/>
    <n v="0.22520274485339989"/>
  </r>
  <r>
    <s v="B-26026"/>
    <n v="1603"/>
    <n v="361"/>
    <n v="10"/>
    <x v="1"/>
    <x v="2"/>
    <x v="1"/>
    <x v="37"/>
    <x v="37"/>
    <x v="3"/>
    <x v="4"/>
    <x v="28"/>
    <n v="0.22520274485339989"/>
  </r>
  <r>
    <s v="B-25295"/>
    <n v="2025"/>
    <n v="528"/>
    <n v="1"/>
    <x v="1"/>
    <x v="2"/>
    <x v="3"/>
    <x v="38"/>
    <x v="38"/>
    <x v="0"/>
    <x v="0"/>
    <x v="10"/>
    <n v="0.26074074074074072"/>
  </r>
  <r>
    <s v="B-25295"/>
    <n v="6800"/>
    <n v="167"/>
    <n v="16"/>
    <x v="1"/>
    <x v="9"/>
    <x v="2"/>
    <x v="38"/>
    <x v="38"/>
    <x v="0"/>
    <x v="0"/>
    <x v="10"/>
    <n v="2.4558823529411765E-2"/>
  </r>
  <r>
    <s v="B-26121"/>
    <n v="1126"/>
    <n v="55"/>
    <n v="1"/>
    <x v="2"/>
    <x v="11"/>
    <x v="0"/>
    <x v="39"/>
    <x v="39"/>
    <x v="0"/>
    <x v="16"/>
    <x v="12"/>
    <n v="4.8845470692717587E-2"/>
  </r>
  <r>
    <s v="B-26121"/>
    <n v="1126"/>
    <n v="55"/>
    <n v="1"/>
    <x v="2"/>
    <x v="11"/>
    <x v="0"/>
    <x v="40"/>
    <x v="40"/>
    <x v="2"/>
    <x v="2"/>
    <x v="29"/>
    <n v="4.8845470692717587E-2"/>
  </r>
  <r>
    <s v="B-25560"/>
    <n v="7533"/>
    <n v="3508"/>
    <n v="12"/>
    <x v="2"/>
    <x v="4"/>
    <x v="0"/>
    <x v="41"/>
    <x v="41"/>
    <x v="3"/>
    <x v="9"/>
    <x v="17"/>
    <n v="0.46568432231514667"/>
  </r>
  <r>
    <s v="B-25560"/>
    <n v="4734"/>
    <n v="1178"/>
    <n v="16"/>
    <x v="1"/>
    <x v="9"/>
    <x v="3"/>
    <x v="41"/>
    <x v="41"/>
    <x v="3"/>
    <x v="9"/>
    <x v="17"/>
    <n v="0.24883819180397126"/>
  </r>
  <r>
    <s v="B-25560"/>
    <n v="4074"/>
    <n v="1175"/>
    <n v="6"/>
    <x v="0"/>
    <x v="0"/>
    <x v="1"/>
    <x v="41"/>
    <x v="41"/>
    <x v="3"/>
    <x v="9"/>
    <x v="17"/>
    <n v="0.28841433480608736"/>
  </r>
  <r>
    <s v="B-25560"/>
    <n v="2334"/>
    <n v="484"/>
    <n v="3"/>
    <x v="2"/>
    <x v="7"/>
    <x v="3"/>
    <x v="41"/>
    <x v="41"/>
    <x v="3"/>
    <x v="9"/>
    <x v="17"/>
    <n v="0.207369323050557"/>
  </r>
  <r>
    <s v="B-26076"/>
    <n v="2750"/>
    <n v="1239"/>
    <n v="11"/>
    <x v="0"/>
    <x v="10"/>
    <x v="1"/>
    <x v="42"/>
    <x v="42"/>
    <x v="2"/>
    <x v="2"/>
    <x v="30"/>
    <n v="0.45054545454545453"/>
  </r>
  <r>
    <s v="B-26076"/>
    <n v="2750"/>
    <n v="1239"/>
    <n v="11"/>
    <x v="0"/>
    <x v="10"/>
    <x v="1"/>
    <x v="43"/>
    <x v="43"/>
    <x v="5"/>
    <x v="14"/>
    <x v="31"/>
    <n v="0.45054545454545453"/>
  </r>
  <r>
    <s v="B-26076"/>
    <n v="8639"/>
    <n v="3104"/>
    <n v="19"/>
    <x v="1"/>
    <x v="2"/>
    <x v="2"/>
    <x v="42"/>
    <x v="42"/>
    <x v="2"/>
    <x v="2"/>
    <x v="30"/>
    <n v="0.35930084500520892"/>
  </r>
  <r>
    <s v="B-26076"/>
    <n v="8639"/>
    <n v="3104"/>
    <n v="19"/>
    <x v="1"/>
    <x v="2"/>
    <x v="2"/>
    <x v="43"/>
    <x v="43"/>
    <x v="5"/>
    <x v="14"/>
    <x v="31"/>
    <n v="0.35930084500520892"/>
  </r>
  <r>
    <s v="B-25872"/>
    <n v="3808"/>
    <n v="1192"/>
    <n v="4"/>
    <x v="1"/>
    <x v="6"/>
    <x v="0"/>
    <x v="44"/>
    <x v="44"/>
    <x v="2"/>
    <x v="5"/>
    <x v="32"/>
    <n v="0.31302521008403361"/>
  </r>
  <r>
    <s v="B-25872"/>
    <n v="2588"/>
    <n v="705"/>
    <n v="16"/>
    <x v="1"/>
    <x v="2"/>
    <x v="3"/>
    <x v="44"/>
    <x v="44"/>
    <x v="2"/>
    <x v="5"/>
    <x v="32"/>
    <n v="0.27241112828438951"/>
  </r>
  <r>
    <s v="B-26185"/>
    <n v="1591"/>
    <n v="727"/>
    <n v="5"/>
    <x v="0"/>
    <x v="0"/>
    <x v="3"/>
    <x v="45"/>
    <x v="45"/>
    <x v="1"/>
    <x v="6"/>
    <x v="33"/>
    <n v="0.4569453174104337"/>
  </r>
  <r>
    <s v="B-26185"/>
    <n v="1591"/>
    <n v="727"/>
    <n v="5"/>
    <x v="0"/>
    <x v="0"/>
    <x v="3"/>
    <x v="46"/>
    <x v="46"/>
    <x v="0"/>
    <x v="16"/>
    <x v="34"/>
    <n v="0.4569453174104337"/>
  </r>
  <r>
    <s v="B-26185"/>
    <n v="1591"/>
    <n v="727"/>
    <n v="5"/>
    <x v="0"/>
    <x v="0"/>
    <x v="3"/>
    <x v="47"/>
    <x v="47"/>
    <x v="5"/>
    <x v="13"/>
    <x v="26"/>
    <n v="0.4569453174104337"/>
  </r>
  <r>
    <s v="B-26259"/>
    <n v="1757"/>
    <n v="622"/>
    <n v="10"/>
    <x v="2"/>
    <x v="5"/>
    <x v="0"/>
    <x v="48"/>
    <x v="48"/>
    <x v="5"/>
    <x v="14"/>
    <x v="25"/>
    <n v="0.35401252134319866"/>
  </r>
  <r>
    <s v="B-26259"/>
    <n v="1757"/>
    <n v="622"/>
    <n v="10"/>
    <x v="2"/>
    <x v="5"/>
    <x v="0"/>
    <x v="49"/>
    <x v="49"/>
    <x v="1"/>
    <x v="17"/>
    <x v="5"/>
    <n v="0.35401252134319866"/>
  </r>
  <r>
    <s v="B-25142"/>
    <n v="6940"/>
    <n v="253"/>
    <n v="15"/>
    <x v="2"/>
    <x v="11"/>
    <x v="1"/>
    <x v="50"/>
    <x v="50"/>
    <x v="0"/>
    <x v="3"/>
    <x v="35"/>
    <n v="3.6455331412103748E-2"/>
  </r>
  <r>
    <s v="B-25142"/>
    <n v="5105"/>
    <n v="465"/>
    <n v="5"/>
    <x v="0"/>
    <x v="1"/>
    <x v="0"/>
    <x v="50"/>
    <x v="50"/>
    <x v="0"/>
    <x v="3"/>
    <x v="35"/>
    <n v="9.1087169441723806E-2"/>
  </r>
  <r>
    <s v="B-25326"/>
    <n v="5578"/>
    <n v="277"/>
    <n v="16"/>
    <x v="2"/>
    <x v="4"/>
    <x v="4"/>
    <x v="51"/>
    <x v="51"/>
    <x v="0"/>
    <x v="0"/>
    <x v="36"/>
    <n v="4.9659376120473289E-2"/>
  </r>
  <r>
    <s v="B-25326"/>
    <n v="5578"/>
    <n v="277"/>
    <n v="16"/>
    <x v="2"/>
    <x v="4"/>
    <x v="4"/>
    <x v="52"/>
    <x v="52"/>
    <x v="5"/>
    <x v="12"/>
    <x v="37"/>
    <n v="4.9659376120473289E-2"/>
  </r>
  <r>
    <s v="B-26795"/>
    <n v="5224"/>
    <n v="1958"/>
    <n v="16"/>
    <x v="2"/>
    <x v="5"/>
    <x v="3"/>
    <x v="53"/>
    <x v="53"/>
    <x v="4"/>
    <x v="15"/>
    <x v="17"/>
    <n v="0.37480857580398164"/>
  </r>
  <r>
    <s v="B-26795"/>
    <n v="5002"/>
    <n v="1801"/>
    <n v="11"/>
    <x v="1"/>
    <x v="6"/>
    <x v="3"/>
    <x v="53"/>
    <x v="53"/>
    <x v="4"/>
    <x v="15"/>
    <x v="17"/>
    <n v="0.36005597760895641"/>
  </r>
  <r>
    <s v="B-26795"/>
    <n v="7380"/>
    <n v="1673"/>
    <n v="18"/>
    <x v="1"/>
    <x v="6"/>
    <x v="4"/>
    <x v="53"/>
    <x v="53"/>
    <x v="4"/>
    <x v="15"/>
    <x v="17"/>
    <n v="0.22669376693766938"/>
  </r>
  <r>
    <s v="B-25660"/>
    <n v="7595"/>
    <n v="2873"/>
    <n v="4"/>
    <x v="2"/>
    <x v="5"/>
    <x v="1"/>
    <x v="54"/>
    <x v="54"/>
    <x v="3"/>
    <x v="4"/>
    <x v="38"/>
    <n v="0.378275181040158"/>
  </r>
  <r>
    <s v="B-25660"/>
    <n v="7595"/>
    <n v="2873"/>
    <n v="4"/>
    <x v="2"/>
    <x v="5"/>
    <x v="1"/>
    <x v="55"/>
    <x v="55"/>
    <x v="2"/>
    <x v="7"/>
    <x v="39"/>
    <n v="0.378275181040158"/>
  </r>
  <r>
    <s v="B-25410"/>
    <n v="1954"/>
    <n v="294"/>
    <n v="7"/>
    <x v="2"/>
    <x v="7"/>
    <x v="1"/>
    <x v="56"/>
    <x v="56"/>
    <x v="4"/>
    <x v="10"/>
    <x v="29"/>
    <n v="0.15046059365404299"/>
  </r>
  <r>
    <s v="B-25690"/>
    <n v="523"/>
    <n v="95"/>
    <n v="20"/>
    <x v="0"/>
    <x v="1"/>
    <x v="2"/>
    <x v="57"/>
    <x v="57"/>
    <x v="4"/>
    <x v="8"/>
    <x v="1"/>
    <n v="0.18164435946462715"/>
  </r>
  <r>
    <s v="B-26464"/>
    <n v="5704"/>
    <n v="714"/>
    <n v="13"/>
    <x v="0"/>
    <x v="3"/>
    <x v="2"/>
    <x v="58"/>
    <x v="58"/>
    <x v="4"/>
    <x v="10"/>
    <x v="26"/>
    <n v="0.12517531556802244"/>
  </r>
  <r>
    <s v="B-26464"/>
    <n v="5704"/>
    <n v="714"/>
    <n v="13"/>
    <x v="0"/>
    <x v="3"/>
    <x v="2"/>
    <x v="59"/>
    <x v="59"/>
    <x v="3"/>
    <x v="9"/>
    <x v="13"/>
    <n v="0.12517531556802244"/>
  </r>
  <r>
    <s v="B-26464"/>
    <n v="8797"/>
    <n v="1010"/>
    <n v="8"/>
    <x v="2"/>
    <x v="4"/>
    <x v="0"/>
    <x v="58"/>
    <x v="58"/>
    <x v="4"/>
    <x v="10"/>
    <x v="26"/>
    <n v="0.11481186768216438"/>
  </r>
  <r>
    <s v="B-26464"/>
    <n v="8797"/>
    <n v="1010"/>
    <n v="8"/>
    <x v="2"/>
    <x v="4"/>
    <x v="0"/>
    <x v="59"/>
    <x v="59"/>
    <x v="3"/>
    <x v="9"/>
    <x v="13"/>
    <n v="0.11481186768216438"/>
  </r>
  <r>
    <s v="B-26464"/>
    <n v="9236"/>
    <n v="2899"/>
    <n v="5"/>
    <x v="0"/>
    <x v="3"/>
    <x v="1"/>
    <x v="58"/>
    <x v="58"/>
    <x v="4"/>
    <x v="10"/>
    <x v="26"/>
    <n v="0.31388046773495021"/>
  </r>
  <r>
    <s v="B-26464"/>
    <n v="9236"/>
    <n v="2899"/>
    <n v="5"/>
    <x v="0"/>
    <x v="3"/>
    <x v="1"/>
    <x v="59"/>
    <x v="59"/>
    <x v="3"/>
    <x v="9"/>
    <x v="13"/>
    <n v="0.31388046773495021"/>
  </r>
  <r>
    <s v="B-26454"/>
    <n v="9109"/>
    <n v="586"/>
    <n v="17"/>
    <x v="2"/>
    <x v="7"/>
    <x v="2"/>
    <x v="60"/>
    <x v="60"/>
    <x v="0"/>
    <x v="0"/>
    <x v="8"/>
    <n v="6.4331979361071462E-2"/>
  </r>
  <r>
    <s v="B-26742"/>
    <n v="4358"/>
    <n v="526"/>
    <n v="19"/>
    <x v="0"/>
    <x v="10"/>
    <x v="3"/>
    <x v="61"/>
    <x v="61"/>
    <x v="4"/>
    <x v="8"/>
    <x v="29"/>
    <n v="0.12069756769160166"/>
  </r>
  <r>
    <s v="B-26742"/>
    <n v="4358"/>
    <n v="526"/>
    <n v="19"/>
    <x v="0"/>
    <x v="10"/>
    <x v="3"/>
    <x v="62"/>
    <x v="62"/>
    <x v="3"/>
    <x v="11"/>
    <x v="31"/>
    <n v="0.12069756769160166"/>
  </r>
  <r>
    <s v="B-26742"/>
    <n v="6459"/>
    <n v="825"/>
    <n v="8"/>
    <x v="0"/>
    <x v="10"/>
    <x v="3"/>
    <x v="61"/>
    <x v="61"/>
    <x v="4"/>
    <x v="8"/>
    <x v="29"/>
    <n v="0.12772875058058522"/>
  </r>
  <r>
    <s v="B-26742"/>
    <n v="6459"/>
    <n v="825"/>
    <n v="8"/>
    <x v="0"/>
    <x v="10"/>
    <x v="3"/>
    <x v="62"/>
    <x v="62"/>
    <x v="3"/>
    <x v="11"/>
    <x v="31"/>
    <n v="0.12772875058058522"/>
  </r>
  <r>
    <s v="B-25510"/>
    <n v="2478"/>
    <n v="92"/>
    <n v="12"/>
    <x v="2"/>
    <x v="11"/>
    <x v="4"/>
    <x v="63"/>
    <x v="63"/>
    <x v="3"/>
    <x v="11"/>
    <x v="23"/>
    <n v="3.7126715092816787E-2"/>
  </r>
  <r>
    <s v="B-25510"/>
    <n v="2478"/>
    <n v="92"/>
    <n v="12"/>
    <x v="2"/>
    <x v="11"/>
    <x v="4"/>
    <x v="64"/>
    <x v="64"/>
    <x v="2"/>
    <x v="5"/>
    <x v="34"/>
    <n v="3.7126715092816787E-2"/>
  </r>
  <r>
    <s v="B-25510"/>
    <n v="2478"/>
    <n v="92"/>
    <n v="12"/>
    <x v="2"/>
    <x v="11"/>
    <x v="4"/>
    <x v="65"/>
    <x v="65"/>
    <x v="3"/>
    <x v="11"/>
    <x v="34"/>
    <n v="3.7126715092816787E-2"/>
  </r>
  <r>
    <s v="B-25510"/>
    <n v="2478"/>
    <n v="92"/>
    <n v="12"/>
    <x v="2"/>
    <x v="11"/>
    <x v="4"/>
    <x v="66"/>
    <x v="66"/>
    <x v="5"/>
    <x v="14"/>
    <x v="28"/>
    <n v="3.7126715092816787E-2"/>
  </r>
  <r>
    <s v="B-25936"/>
    <n v="9992"/>
    <n v="3696"/>
    <n v="20"/>
    <x v="1"/>
    <x v="2"/>
    <x v="1"/>
    <x v="4"/>
    <x v="67"/>
    <x v="2"/>
    <x v="7"/>
    <x v="4"/>
    <n v="0.36989591673338673"/>
  </r>
  <r>
    <s v="B-25936"/>
    <n v="9992"/>
    <n v="3696"/>
    <n v="20"/>
    <x v="1"/>
    <x v="2"/>
    <x v="1"/>
    <x v="67"/>
    <x v="68"/>
    <x v="4"/>
    <x v="10"/>
    <x v="39"/>
    <n v="0.36989591673338673"/>
  </r>
  <r>
    <s v="B-25936"/>
    <n v="9992"/>
    <n v="3696"/>
    <n v="20"/>
    <x v="1"/>
    <x v="2"/>
    <x v="1"/>
    <x v="68"/>
    <x v="69"/>
    <x v="2"/>
    <x v="7"/>
    <x v="40"/>
    <n v="0.36989591673338673"/>
  </r>
  <r>
    <s v="B-25936"/>
    <n v="9619"/>
    <n v="3420"/>
    <n v="7"/>
    <x v="1"/>
    <x v="9"/>
    <x v="0"/>
    <x v="4"/>
    <x v="67"/>
    <x v="2"/>
    <x v="7"/>
    <x v="4"/>
    <n v="0.35554631458571578"/>
  </r>
  <r>
    <s v="B-25936"/>
    <n v="9619"/>
    <n v="3420"/>
    <n v="7"/>
    <x v="1"/>
    <x v="9"/>
    <x v="0"/>
    <x v="67"/>
    <x v="68"/>
    <x v="4"/>
    <x v="10"/>
    <x v="39"/>
    <n v="0.35554631458571578"/>
  </r>
  <r>
    <s v="B-25936"/>
    <n v="9619"/>
    <n v="3420"/>
    <n v="7"/>
    <x v="1"/>
    <x v="9"/>
    <x v="0"/>
    <x v="68"/>
    <x v="69"/>
    <x v="2"/>
    <x v="7"/>
    <x v="40"/>
    <n v="0.35554631458571578"/>
  </r>
  <r>
    <s v="B-25884"/>
    <n v="9538"/>
    <n v="3158"/>
    <n v="20"/>
    <x v="0"/>
    <x v="1"/>
    <x v="3"/>
    <x v="69"/>
    <x v="70"/>
    <x v="3"/>
    <x v="11"/>
    <x v="31"/>
    <n v="0.33109666596770809"/>
  </r>
  <r>
    <s v="B-25884"/>
    <n v="9538"/>
    <n v="3158"/>
    <n v="20"/>
    <x v="0"/>
    <x v="1"/>
    <x v="3"/>
    <x v="70"/>
    <x v="71"/>
    <x v="5"/>
    <x v="14"/>
    <x v="18"/>
    <n v="0.33109666596770809"/>
  </r>
  <r>
    <s v="B-25884"/>
    <n v="9035"/>
    <n v="1227"/>
    <n v="14"/>
    <x v="2"/>
    <x v="5"/>
    <x v="2"/>
    <x v="69"/>
    <x v="70"/>
    <x v="3"/>
    <x v="11"/>
    <x v="31"/>
    <n v="0.13580520199225235"/>
  </r>
  <r>
    <s v="B-25884"/>
    <n v="9035"/>
    <n v="1227"/>
    <n v="14"/>
    <x v="2"/>
    <x v="5"/>
    <x v="2"/>
    <x v="70"/>
    <x v="71"/>
    <x v="5"/>
    <x v="14"/>
    <x v="18"/>
    <n v="0.13580520199225235"/>
  </r>
  <r>
    <s v="B-26287"/>
    <n v="2684"/>
    <n v="670"/>
    <n v="2"/>
    <x v="1"/>
    <x v="8"/>
    <x v="4"/>
    <x v="71"/>
    <x v="72"/>
    <x v="0"/>
    <x v="16"/>
    <x v="41"/>
    <n v="0.24962742175856931"/>
  </r>
  <r>
    <s v="B-26287"/>
    <n v="822"/>
    <n v="147"/>
    <n v="5"/>
    <x v="2"/>
    <x v="7"/>
    <x v="3"/>
    <x v="71"/>
    <x v="72"/>
    <x v="0"/>
    <x v="16"/>
    <x v="41"/>
    <n v="0.17883211678832117"/>
  </r>
  <r>
    <s v="B-26287"/>
    <n v="9730"/>
    <n v="2341"/>
    <n v="2"/>
    <x v="2"/>
    <x v="5"/>
    <x v="2"/>
    <x v="71"/>
    <x v="72"/>
    <x v="0"/>
    <x v="16"/>
    <x v="41"/>
    <n v="0.24059609455292907"/>
  </r>
  <r>
    <s v="B-26287"/>
    <n v="2483"/>
    <n v="236"/>
    <n v="2"/>
    <x v="0"/>
    <x v="0"/>
    <x v="4"/>
    <x v="71"/>
    <x v="72"/>
    <x v="0"/>
    <x v="16"/>
    <x v="41"/>
    <n v="9.50463149416029E-2"/>
  </r>
  <r>
    <s v="B-26564"/>
    <n v="1297"/>
    <n v="600"/>
    <n v="7"/>
    <x v="1"/>
    <x v="9"/>
    <x v="3"/>
    <x v="72"/>
    <x v="73"/>
    <x v="0"/>
    <x v="3"/>
    <x v="42"/>
    <n v="0.4626060138781804"/>
  </r>
  <r>
    <s v="B-26564"/>
    <n v="7909"/>
    <n v="1942"/>
    <n v="19"/>
    <x v="0"/>
    <x v="10"/>
    <x v="4"/>
    <x v="72"/>
    <x v="73"/>
    <x v="0"/>
    <x v="3"/>
    <x v="42"/>
    <n v="0.24554305221899103"/>
  </r>
  <r>
    <s v="B-26293"/>
    <n v="9768"/>
    <n v="4518"/>
    <n v="8"/>
    <x v="2"/>
    <x v="4"/>
    <x v="3"/>
    <x v="73"/>
    <x v="74"/>
    <x v="4"/>
    <x v="8"/>
    <x v="35"/>
    <n v="0.46253071253071254"/>
  </r>
  <r>
    <s v="B-26293"/>
    <n v="4968"/>
    <n v="934"/>
    <n v="5"/>
    <x v="2"/>
    <x v="7"/>
    <x v="1"/>
    <x v="73"/>
    <x v="74"/>
    <x v="4"/>
    <x v="8"/>
    <x v="35"/>
    <n v="0.18800322061191627"/>
  </r>
  <r>
    <s v="B-26293"/>
    <n v="1731"/>
    <n v="149"/>
    <n v="4"/>
    <x v="0"/>
    <x v="3"/>
    <x v="2"/>
    <x v="73"/>
    <x v="74"/>
    <x v="4"/>
    <x v="8"/>
    <x v="35"/>
    <n v="8.6077411900635475E-2"/>
  </r>
  <r>
    <s v="B-25915"/>
    <n v="3433"/>
    <n v="1169"/>
    <n v="10"/>
    <x v="1"/>
    <x v="9"/>
    <x v="4"/>
    <x v="74"/>
    <x v="75"/>
    <x v="3"/>
    <x v="11"/>
    <x v="42"/>
    <n v="0.34051849694145064"/>
  </r>
  <r>
    <s v="B-25915"/>
    <n v="3433"/>
    <n v="1169"/>
    <n v="10"/>
    <x v="1"/>
    <x v="9"/>
    <x v="4"/>
    <x v="75"/>
    <x v="76"/>
    <x v="1"/>
    <x v="6"/>
    <x v="43"/>
    <n v="0.34051849694145064"/>
  </r>
  <r>
    <s v="B-25915"/>
    <n v="3433"/>
    <n v="1169"/>
    <n v="10"/>
    <x v="1"/>
    <x v="9"/>
    <x v="4"/>
    <x v="76"/>
    <x v="77"/>
    <x v="3"/>
    <x v="9"/>
    <x v="43"/>
    <n v="0.34051849694145064"/>
  </r>
  <r>
    <s v="B-25915"/>
    <n v="3887"/>
    <n v="1490"/>
    <n v="1"/>
    <x v="1"/>
    <x v="9"/>
    <x v="1"/>
    <x v="74"/>
    <x v="75"/>
    <x v="3"/>
    <x v="11"/>
    <x v="42"/>
    <n v="0.3833290455364034"/>
  </r>
  <r>
    <s v="B-25915"/>
    <n v="3887"/>
    <n v="1490"/>
    <n v="1"/>
    <x v="1"/>
    <x v="9"/>
    <x v="1"/>
    <x v="75"/>
    <x v="76"/>
    <x v="1"/>
    <x v="6"/>
    <x v="43"/>
    <n v="0.3833290455364034"/>
  </r>
  <r>
    <s v="B-25915"/>
    <n v="3887"/>
    <n v="1490"/>
    <n v="1"/>
    <x v="1"/>
    <x v="9"/>
    <x v="1"/>
    <x v="76"/>
    <x v="77"/>
    <x v="3"/>
    <x v="9"/>
    <x v="43"/>
    <n v="0.3833290455364034"/>
  </r>
  <r>
    <s v="B-26496"/>
    <n v="1801"/>
    <n v="641"/>
    <n v="20"/>
    <x v="1"/>
    <x v="6"/>
    <x v="3"/>
    <x v="77"/>
    <x v="78"/>
    <x v="3"/>
    <x v="4"/>
    <x v="41"/>
    <n v="0.35591338145474738"/>
  </r>
  <r>
    <s v="B-26496"/>
    <n v="5301"/>
    <n v="817"/>
    <n v="10"/>
    <x v="2"/>
    <x v="4"/>
    <x v="1"/>
    <x v="77"/>
    <x v="78"/>
    <x v="3"/>
    <x v="4"/>
    <x v="41"/>
    <n v="0.15412186379928317"/>
  </r>
  <r>
    <s v="B-26496"/>
    <n v="1166"/>
    <n v="520"/>
    <n v="12"/>
    <x v="1"/>
    <x v="8"/>
    <x v="1"/>
    <x v="77"/>
    <x v="78"/>
    <x v="3"/>
    <x v="4"/>
    <x v="41"/>
    <n v="0.44596912521440824"/>
  </r>
  <r>
    <s v="B-26496"/>
    <n v="3196"/>
    <n v="1411"/>
    <n v="15"/>
    <x v="1"/>
    <x v="8"/>
    <x v="1"/>
    <x v="77"/>
    <x v="78"/>
    <x v="3"/>
    <x v="4"/>
    <x v="41"/>
    <n v="0.44148936170212766"/>
  </r>
  <r>
    <s v="B-25856"/>
    <n v="3428"/>
    <n v="350"/>
    <n v="1"/>
    <x v="2"/>
    <x v="5"/>
    <x v="3"/>
    <x v="78"/>
    <x v="79"/>
    <x v="1"/>
    <x v="6"/>
    <x v="14"/>
    <n v="0.10210035005834306"/>
  </r>
  <r>
    <s v="B-25856"/>
    <n v="7223"/>
    <n v="2433"/>
    <n v="12"/>
    <x v="1"/>
    <x v="9"/>
    <x v="3"/>
    <x v="78"/>
    <x v="79"/>
    <x v="1"/>
    <x v="6"/>
    <x v="14"/>
    <n v="0.33684064793022289"/>
  </r>
  <r>
    <s v="B-25856"/>
    <n v="3731"/>
    <n v="647"/>
    <n v="1"/>
    <x v="1"/>
    <x v="2"/>
    <x v="3"/>
    <x v="78"/>
    <x v="79"/>
    <x v="1"/>
    <x v="6"/>
    <x v="14"/>
    <n v="0.17341195389975878"/>
  </r>
  <r>
    <s v="B-26899"/>
    <n v="8903"/>
    <n v="4401"/>
    <n v="18"/>
    <x v="1"/>
    <x v="2"/>
    <x v="3"/>
    <x v="79"/>
    <x v="80"/>
    <x v="5"/>
    <x v="12"/>
    <x v="40"/>
    <n v="0.49432775468943052"/>
  </r>
  <r>
    <s v="B-25916"/>
    <n v="6009"/>
    <n v="2107"/>
    <n v="7"/>
    <x v="0"/>
    <x v="10"/>
    <x v="0"/>
    <x v="80"/>
    <x v="81"/>
    <x v="1"/>
    <x v="1"/>
    <x v="29"/>
    <n v="0.35064070560825428"/>
  </r>
  <r>
    <s v="B-25916"/>
    <n v="6009"/>
    <n v="2107"/>
    <n v="7"/>
    <x v="0"/>
    <x v="10"/>
    <x v="0"/>
    <x v="81"/>
    <x v="82"/>
    <x v="4"/>
    <x v="10"/>
    <x v="44"/>
    <n v="0.35064070560825428"/>
  </r>
  <r>
    <s v="B-25916"/>
    <n v="2858"/>
    <n v="230"/>
    <n v="3"/>
    <x v="2"/>
    <x v="4"/>
    <x v="3"/>
    <x v="80"/>
    <x v="81"/>
    <x v="1"/>
    <x v="1"/>
    <x v="29"/>
    <n v="8.0475857242827145E-2"/>
  </r>
  <r>
    <s v="B-25916"/>
    <n v="2858"/>
    <n v="230"/>
    <n v="3"/>
    <x v="2"/>
    <x v="4"/>
    <x v="3"/>
    <x v="81"/>
    <x v="82"/>
    <x v="4"/>
    <x v="10"/>
    <x v="44"/>
    <n v="8.0475857242827145E-2"/>
  </r>
  <r>
    <s v="B-25916"/>
    <n v="8175"/>
    <n v="525"/>
    <n v="7"/>
    <x v="2"/>
    <x v="7"/>
    <x v="3"/>
    <x v="80"/>
    <x v="81"/>
    <x v="1"/>
    <x v="1"/>
    <x v="29"/>
    <n v="6.4220183486238536E-2"/>
  </r>
  <r>
    <s v="B-25916"/>
    <n v="8175"/>
    <n v="525"/>
    <n v="7"/>
    <x v="2"/>
    <x v="7"/>
    <x v="3"/>
    <x v="81"/>
    <x v="82"/>
    <x v="4"/>
    <x v="10"/>
    <x v="44"/>
    <n v="6.4220183486238536E-2"/>
  </r>
  <r>
    <s v="B-25916"/>
    <n v="5846"/>
    <n v="586"/>
    <n v="18"/>
    <x v="2"/>
    <x v="7"/>
    <x v="0"/>
    <x v="80"/>
    <x v="81"/>
    <x v="1"/>
    <x v="1"/>
    <x v="29"/>
    <n v="0.10023947998631542"/>
  </r>
  <r>
    <s v="B-25916"/>
    <n v="5846"/>
    <n v="586"/>
    <n v="18"/>
    <x v="2"/>
    <x v="7"/>
    <x v="0"/>
    <x v="81"/>
    <x v="82"/>
    <x v="4"/>
    <x v="10"/>
    <x v="44"/>
    <n v="0.10023947998631542"/>
  </r>
  <r>
    <s v="B-26428"/>
    <n v="706"/>
    <n v="197"/>
    <n v="11"/>
    <x v="0"/>
    <x v="3"/>
    <x v="3"/>
    <x v="82"/>
    <x v="83"/>
    <x v="4"/>
    <x v="10"/>
    <x v="12"/>
    <n v="0.27903682719546741"/>
  </r>
  <r>
    <s v="B-26332"/>
    <n v="9835"/>
    <n v="2571"/>
    <n v="16"/>
    <x v="2"/>
    <x v="4"/>
    <x v="4"/>
    <x v="83"/>
    <x v="84"/>
    <x v="4"/>
    <x v="8"/>
    <x v="33"/>
    <n v="0.26141331977630911"/>
  </r>
  <r>
    <s v="B-26332"/>
    <n v="9835"/>
    <n v="2571"/>
    <n v="16"/>
    <x v="2"/>
    <x v="4"/>
    <x v="4"/>
    <x v="84"/>
    <x v="85"/>
    <x v="0"/>
    <x v="3"/>
    <x v="35"/>
    <n v="0.26141331977630911"/>
  </r>
  <r>
    <s v="B-26332"/>
    <n v="9835"/>
    <n v="2571"/>
    <n v="16"/>
    <x v="2"/>
    <x v="4"/>
    <x v="4"/>
    <x v="85"/>
    <x v="86"/>
    <x v="3"/>
    <x v="4"/>
    <x v="40"/>
    <n v="0.26141331977630911"/>
  </r>
  <r>
    <s v="B-26332"/>
    <n v="9691"/>
    <n v="3056"/>
    <n v="13"/>
    <x v="1"/>
    <x v="6"/>
    <x v="3"/>
    <x v="83"/>
    <x v="84"/>
    <x v="4"/>
    <x v="8"/>
    <x v="33"/>
    <n v="0.31534413373232895"/>
  </r>
  <r>
    <s v="B-26332"/>
    <n v="9691"/>
    <n v="3056"/>
    <n v="13"/>
    <x v="1"/>
    <x v="6"/>
    <x v="3"/>
    <x v="84"/>
    <x v="85"/>
    <x v="0"/>
    <x v="3"/>
    <x v="35"/>
    <n v="0.31534413373232895"/>
  </r>
  <r>
    <s v="B-26332"/>
    <n v="9691"/>
    <n v="3056"/>
    <n v="13"/>
    <x v="1"/>
    <x v="6"/>
    <x v="3"/>
    <x v="85"/>
    <x v="86"/>
    <x v="3"/>
    <x v="4"/>
    <x v="40"/>
    <n v="0.31534413373232895"/>
  </r>
  <r>
    <s v="B-26332"/>
    <n v="7826"/>
    <n v="1221"/>
    <n v="14"/>
    <x v="2"/>
    <x v="11"/>
    <x v="0"/>
    <x v="83"/>
    <x v="84"/>
    <x v="4"/>
    <x v="8"/>
    <x v="33"/>
    <n v="0.15601840020444671"/>
  </r>
  <r>
    <s v="B-26332"/>
    <n v="7826"/>
    <n v="1221"/>
    <n v="14"/>
    <x v="2"/>
    <x v="11"/>
    <x v="0"/>
    <x v="84"/>
    <x v="85"/>
    <x v="0"/>
    <x v="3"/>
    <x v="35"/>
    <n v="0.15601840020444671"/>
  </r>
  <r>
    <s v="B-26332"/>
    <n v="7826"/>
    <n v="1221"/>
    <n v="14"/>
    <x v="2"/>
    <x v="11"/>
    <x v="0"/>
    <x v="85"/>
    <x v="86"/>
    <x v="3"/>
    <x v="4"/>
    <x v="40"/>
    <n v="0.15601840020444671"/>
  </r>
  <r>
    <s v="B-25303"/>
    <n v="770"/>
    <n v="241"/>
    <n v="11"/>
    <x v="2"/>
    <x v="7"/>
    <x v="4"/>
    <x v="86"/>
    <x v="87"/>
    <x v="4"/>
    <x v="10"/>
    <x v="35"/>
    <n v="0.31298701298701298"/>
  </r>
  <r>
    <s v="B-25303"/>
    <n v="770"/>
    <n v="241"/>
    <n v="11"/>
    <x v="2"/>
    <x v="7"/>
    <x v="4"/>
    <x v="87"/>
    <x v="88"/>
    <x v="5"/>
    <x v="13"/>
    <x v="45"/>
    <n v="0.31298701298701298"/>
  </r>
  <r>
    <s v="B-26507"/>
    <n v="9895"/>
    <n v="1598"/>
    <n v="20"/>
    <x v="2"/>
    <x v="11"/>
    <x v="4"/>
    <x v="88"/>
    <x v="89"/>
    <x v="2"/>
    <x v="7"/>
    <x v="16"/>
    <n v="0.16149570490146539"/>
  </r>
  <r>
    <s v="B-25983"/>
    <n v="6517"/>
    <n v="1581"/>
    <n v="10"/>
    <x v="1"/>
    <x v="8"/>
    <x v="1"/>
    <x v="89"/>
    <x v="90"/>
    <x v="0"/>
    <x v="0"/>
    <x v="3"/>
    <n v="0.24259628663495472"/>
  </r>
  <r>
    <s v="B-25983"/>
    <n v="6517"/>
    <n v="1581"/>
    <n v="10"/>
    <x v="1"/>
    <x v="8"/>
    <x v="1"/>
    <x v="90"/>
    <x v="91"/>
    <x v="0"/>
    <x v="16"/>
    <x v="8"/>
    <n v="0.24259628663495472"/>
  </r>
  <r>
    <s v="B-25983"/>
    <n v="1166"/>
    <n v="349"/>
    <n v="11"/>
    <x v="2"/>
    <x v="4"/>
    <x v="3"/>
    <x v="89"/>
    <x v="90"/>
    <x v="0"/>
    <x v="0"/>
    <x v="3"/>
    <n v="0.29931389365351629"/>
  </r>
  <r>
    <s v="B-25983"/>
    <n v="1166"/>
    <n v="349"/>
    <n v="11"/>
    <x v="2"/>
    <x v="4"/>
    <x v="3"/>
    <x v="90"/>
    <x v="91"/>
    <x v="0"/>
    <x v="16"/>
    <x v="8"/>
    <n v="0.29931389365351629"/>
  </r>
  <r>
    <s v="B-25156"/>
    <n v="9820"/>
    <n v="793"/>
    <n v="16"/>
    <x v="2"/>
    <x v="5"/>
    <x v="3"/>
    <x v="91"/>
    <x v="92"/>
    <x v="2"/>
    <x v="2"/>
    <x v="36"/>
    <n v="8.0753564154786156E-2"/>
  </r>
  <r>
    <s v="B-26759"/>
    <n v="8563"/>
    <n v="2624"/>
    <n v="8"/>
    <x v="1"/>
    <x v="9"/>
    <x v="4"/>
    <x v="92"/>
    <x v="93"/>
    <x v="4"/>
    <x v="8"/>
    <x v="46"/>
    <n v="0.30643466074973724"/>
  </r>
  <r>
    <s v="B-26759"/>
    <n v="4441"/>
    <n v="281"/>
    <n v="20"/>
    <x v="0"/>
    <x v="1"/>
    <x v="4"/>
    <x v="92"/>
    <x v="93"/>
    <x v="4"/>
    <x v="8"/>
    <x v="46"/>
    <n v="6.3274037378968695E-2"/>
  </r>
  <r>
    <s v="B-26244"/>
    <n v="7340"/>
    <n v="2271"/>
    <n v="8"/>
    <x v="1"/>
    <x v="8"/>
    <x v="2"/>
    <x v="93"/>
    <x v="94"/>
    <x v="0"/>
    <x v="3"/>
    <x v="13"/>
    <n v="0.30940054495912805"/>
  </r>
  <r>
    <s v="B-26244"/>
    <n v="5442"/>
    <n v="1610"/>
    <n v="1"/>
    <x v="0"/>
    <x v="10"/>
    <x v="2"/>
    <x v="93"/>
    <x v="94"/>
    <x v="0"/>
    <x v="3"/>
    <x v="13"/>
    <n v="0.29584711503123851"/>
  </r>
  <r>
    <s v="B-26365"/>
    <n v="1895"/>
    <n v="391"/>
    <n v="14"/>
    <x v="2"/>
    <x v="4"/>
    <x v="0"/>
    <x v="94"/>
    <x v="95"/>
    <x v="0"/>
    <x v="16"/>
    <x v="41"/>
    <n v="0.20633245382585752"/>
  </r>
  <r>
    <s v="B-26365"/>
    <n v="5323"/>
    <n v="322"/>
    <n v="13"/>
    <x v="1"/>
    <x v="9"/>
    <x v="4"/>
    <x v="94"/>
    <x v="95"/>
    <x v="0"/>
    <x v="16"/>
    <x v="41"/>
    <n v="6.0492203644561336E-2"/>
  </r>
  <r>
    <s v="B-26212"/>
    <n v="8850"/>
    <n v="279"/>
    <n v="13"/>
    <x v="1"/>
    <x v="6"/>
    <x v="1"/>
    <x v="95"/>
    <x v="96"/>
    <x v="0"/>
    <x v="0"/>
    <x v="47"/>
    <n v="3.1525423728813562E-2"/>
  </r>
  <r>
    <s v="B-26212"/>
    <n v="8667"/>
    <n v="1266"/>
    <n v="6"/>
    <x v="1"/>
    <x v="8"/>
    <x v="1"/>
    <x v="95"/>
    <x v="96"/>
    <x v="0"/>
    <x v="0"/>
    <x v="47"/>
    <n v="0.14607130494980963"/>
  </r>
  <r>
    <s v="B-25042"/>
    <n v="6903"/>
    <n v="105"/>
    <n v="1"/>
    <x v="2"/>
    <x v="4"/>
    <x v="4"/>
    <x v="96"/>
    <x v="97"/>
    <x v="1"/>
    <x v="1"/>
    <x v="3"/>
    <n v="1.5210777922642329E-2"/>
  </r>
  <r>
    <s v="B-25042"/>
    <n v="8793"/>
    <n v="3010"/>
    <n v="7"/>
    <x v="1"/>
    <x v="2"/>
    <x v="4"/>
    <x v="96"/>
    <x v="97"/>
    <x v="1"/>
    <x v="1"/>
    <x v="3"/>
    <n v="0.34231775275787557"/>
  </r>
  <r>
    <s v="B-25901"/>
    <n v="9883"/>
    <n v="4812"/>
    <n v="16"/>
    <x v="1"/>
    <x v="8"/>
    <x v="0"/>
    <x v="97"/>
    <x v="98"/>
    <x v="2"/>
    <x v="2"/>
    <x v="20"/>
    <n v="0.48689669128807045"/>
  </r>
  <r>
    <s v="B-25901"/>
    <n v="9883"/>
    <n v="4812"/>
    <n v="16"/>
    <x v="1"/>
    <x v="8"/>
    <x v="0"/>
    <x v="98"/>
    <x v="99"/>
    <x v="0"/>
    <x v="3"/>
    <x v="40"/>
    <n v="0.48689669128807045"/>
  </r>
  <r>
    <s v="B-25901"/>
    <n v="9883"/>
    <n v="4812"/>
    <n v="16"/>
    <x v="1"/>
    <x v="8"/>
    <x v="0"/>
    <x v="99"/>
    <x v="100"/>
    <x v="1"/>
    <x v="6"/>
    <x v="4"/>
    <n v="0.48689669128807045"/>
  </r>
  <r>
    <s v="B-25901"/>
    <n v="5210"/>
    <n v="1185"/>
    <n v="7"/>
    <x v="1"/>
    <x v="8"/>
    <x v="0"/>
    <x v="97"/>
    <x v="98"/>
    <x v="2"/>
    <x v="2"/>
    <x v="20"/>
    <n v="0.22744721689059502"/>
  </r>
  <r>
    <s v="B-25901"/>
    <n v="5210"/>
    <n v="1185"/>
    <n v="7"/>
    <x v="1"/>
    <x v="8"/>
    <x v="0"/>
    <x v="98"/>
    <x v="99"/>
    <x v="0"/>
    <x v="3"/>
    <x v="40"/>
    <n v="0.22744721689059502"/>
  </r>
  <r>
    <s v="B-25901"/>
    <n v="5210"/>
    <n v="1185"/>
    <n v="7"/>
    <x v="1"/>
    <x v="8"/>
    <x v="0"/>
    <x v="99"/>
    <x v="100"/>
    <x v="1"/>
    <x v="6"/>
    <x v="4"/>
    <n v="0.22744721689059502"/>
  </r>
  <r>
    <s v="B-26747"/>
    <n v="3574"/>
    <n v="851"/>
    <n v="4"/>
    <x v="0"/>
    <x v="1"/>
    <x v="3"/>
    <x v="47"/>
    <x v="101"/>
    <x v="3"/>
    <x v="4"/>
    <x v="26"/>
    <n v="0.23810856183547846"/>
  </r>
  <r>
    <s v="B-26747"/>
    <n v="576"/>
    <n v="76"/>
    <n v="13"/>
    <x v="2"/>
    <x v="7"/>
    <x v="0"/>
    <x v="47"/>
    <x v="101"/>
    <x v="3"/>
    <x v="4"/>
    <x v="26"/>
    <n v="0.13194444444444445"/>
  </r>
  <r>
    <s v="B-26698"/>
    <n v="1860"/>
    <n v="457"/>
    <n v="13"/>
    <x v="0"/>
    <x v="1"/>
    <x v="2"/>
    <x v="100"/>
    <x v="102"/>
    <x v="5"/>
    <x v="14"/>
    <x v="48"/>
    <n v="0.24569892473118279"/>
  </r>
  <r>
    <s v="B-25841"/>
    <n v="782"/>
    <n v="374"/>
    <n v="8"/>
    <x v="1"/>
    <x v="2"/>
    <x v="2"/>
    <x v="101"/>
    <x v="103"/>
    <x v="1"/>
    <x v="17"/>
    <x v="49"/>
    <n v="0.47826086956521741"/>
  </r>
  <r>
    <s v="B-25841"/>
    <n v="4371"/>
    <n v="1852"/>
    <n v="1"/>
    <x v="0"/>
    <x v="3"/>
    <x v="0"/>
    <x v="101"/>
    <x v="103"/>
    <x v="1"/>
    <x v="17"/>
    <x v="49"/>
    <n v="0.42370167009837567"/>
  </r>
  <r>
    <s v="B-26032"/>
    <n v="8346"/>
    <n v="1176"/>
    <n v="1"/>
    <x v="0"/>
    <x v="10"/>
    <x v="4"/>
    <x v="102"/>
    <x v="104"/>
    <x v="4"/>
    <x v="15"/>
    <x v="38"/>
    <n v="0.14090582314881381"/>
  </r>
  <r>
    <s v="B-26032"/>
    <n v="8346"/>
    <n v="1176"/>
    <n v="1"/>
    <x v="0"/>
    <x v="10"/>
    <x v="4"/>
    <x v="103"/>
    <x v="105"/>
    <x v="1"/>
    <x v="1"/>
    <x v="28"/>
    <n v="0.14090582314881381"/>
  </r>
  <r>
    <s v="B-26032"/>
    <n v="8346"/>
    <n v="1176"/>
    <n v="1"/>
    <x v="0"/>
    <x v="10"/>
    <x v="4"/>
    <x v="104"/>
    <x v="106"/>
    <x v="3"/>
    <x v="11"/>
    <x v="16"/>
    <n v="0.14090582314881381"/>
  </r>
  <r>
    <s v="B-26032"/>
    <n v="6218"/>
    <n v="1125"/>
    <n v="5"/>
    <x v="2"/>
    <x v="4"/>
    <x v="1"/>
    <x v="102"/>
    <x v="104"/>
    <x v="4"/>
    <x v="15"/>
    <x v="38"/>
    <n v="0.18092634287552267"/>
  </r>
  <r>
    <s v="B-26032"/>
    <n v="6218"/>
    <n v="1125"/>
    <n v="5"/>
    <x v="2"/>
    <x v="4"/>
    <x v="1"/>
    <x v="103"/>
    <x v="105"/>
    <x v="1"/>
    <x v="1"/>
    <x v="28"/>
    <n v="0.18092634287552267"/>
  </r>
  <r>
    <s v="B-26032"/>
    <n v="6218"/>
    <n v="1125"/>
    <n v="5"/>
    <x v="2"/>
    <x v="4"/>
    <x v="1"/>
    <x v="104"/>
    <x v="106"/>
    <x v="3"/>
    <x v="11"/>
    <x v="16"/>
    <n v="0.18092634287552267"/>
  </r>
  <r>
    <s v="B-26032"/>
    <n v="5167"/>
    <n v="253"/>
    <n v="14"/>
    <x v="0"/>
    <x v="1"/>
    <x v="3"/>
    <x v="102"/>
    <x v="104"/>
    <x v="4"/>
    <x v="15"/>
    <x v="38"/>
    <n v="4.8964582930133539E-2"/>
  </r>
  <r>
    <s v="B-26032"/>
    <n v="5167"/>
    <n v="253"/>
    <n v="14"/>
    <x v="0"/>
    <x v="1"/>
    <x v="3"/>
    <x v="103"/>
    <x v="105"/>
    <x v="1"/>
    <x v="1"/>
    <x v="28"/>
    <n v="4.8964582930133539E-2"/>
  </r>
  <r>
    <s v="B-26032"/>
    <n v="5167"/>
    <n v="253"/>
    <n v="14"/>
    <x v="0"/>
    <x v="1"/>
    <x v="3"/>
    <x v="104"/>
    <x v="106"/>
    <x v="3"/>
    <x v="11"/>
    <x v="16"/>
    <n v="4.8964582930133539E-2"/>
  </r>
  <r>
    <s v="B-26032"/>
    <n v="2799"/>
    <n v="1239"/>
    <n v="5"/>
    <x v="2"/>
    <x v="7"/>
    <x v="1"/>
    <x v="102"/>
    <x v="104"/>
    <x v="4"/>
    <x v="15"/>
    <x v="38"/>
    <n v="0.44265809217577706"/>
  </r>
  <r>
    <s v="B-26032"/>
    <n v="2799"/>
    <n v="1239"/>
    <n v="5"/>
    <x v="2"/>
    <x v="7"/>
    <x v="1"/>
    <x v="103"/>
    <x v="105"/>
    <x v="1"/>
    <x v="1"/>
    <x v="28"/>
    <n v="0.44265809217577706"/>
  </r>
  <r>
    <s v="B-26032"/>
    <n v="2799"/>
    <n v="1239"/>
    <n v="5"/>
    <x v="2"/>
    <x v="7"/>
    <x v="1"/>
    <x v="104"/>
    <x v="106"/>
    <x v="3"/>
    <x v="11"/>
    <x v="16"/>
    <n v="0.44265809217577706"/>
  </r>
  <r>
    <s v="B-25171"/>
    <n v="3234"/>
    <n v="1029"/>
    <n v="20"/>
    <x v="1"/>
    <x v="6"/>
    <x v="3"/>
    <x v="105"/>
    <x v="107"/>
    <x v="0"/>
    <x v="0"/>
    <x v="25"/>
    <n v="0.31818181818181818"/>
  </r>
  <r>
    <s v="B-26939"/>
    <n v="4920"/>
    <n v="775"/>
    <n v="12"/>
    <x v="2"/>
    <x v="4"/>
    <x v="1"/>
    <x v="106"/>
    <x v="108"/>
    <x v="1"/>
    <x v="6"/>
    <x v="36"/>
    <n v="0.15752032520325204"/>
  </r>
  <r>
    <s v="B-26939"/>
    <n v="9078"/>
    <n v="2213"/>
    <n v="15"/>
    <x v="2"/>
    <x v="11"/>
    <x v="2"/>
    <x v="106"/>
    <x v="108"/>
    <x v="1"/>
    <x v="6"/>
    <x v="36"/>
    <n v="0.24377616215025336"/>
  </r>
  <r>
    <s v="B-26347"/>
    <n v="8586"/>
    <n v="3826"/>
    <n v="7"/>
    <x v="2"/>
    <x v="11"/>
    <x v="0"/>
    <x v="107"/>
    <x v="109"/>
    <x v="0"/>
    <x v="0"/>
    <x v="50"/>
    <n v="0.44560913114372236"/>
  </r>
  <r>
    <s v="B-26347"/>
    <n v="8586"/>
    <n v="3826"/>
    <n v="7"/>
    <x v="2"/>
    <x v="11"/>
    <x v="0"/>
    <x v="108"/>
    <x v="110"/>
    <x v="0"/>
    <x v="16"/>
    <x v="17"/>
    <n v="0.44560913114372236"/>
  </r>
  <r>
    <s v="B-25388"/>
    <n v="5047"/>
    <n v="2211"/>
    <n v="13"/>
    <x v="2"/>
    <x v="7"/>
    <x v="2"/>
    <x v="109"/>
    <x v="111"/>
    <x v="3"/>
    <x v="11"/>
    <x v="21"/>
    <n v="0.43808202892807607"/>
  </r>
  <r>
    <s v="B-25388"/>
    <n v="5047"/>
    <n v="2211"/>
    <n v="13"/>
    <x v="2"/>
    <x v="7"/>
    <x v="2"/>
    <x v="110"/>
    <x v="112"/>
    <x v="1"/>
    <x v="1"/>
    <x v="51"/>
    <n v="0.43808202892807607"/>
  </r>
  <r>
    <s v="B-25388"/>
    <n v="5047"/>
    <n v="2211"/>
    <n v="13"/>
    <x v="2"/>
    <x v="7"/>
    <x v="2"/>
    <x v="111"/>
    <x v="113"/>
    <x v="1"/>
    <x v="17"/>
    <x v="24"/>
    <n v="0.43808202892807607"/>
  </r>
  <r>
    <s v="B-25388"/>
    <n v="5047"/>
    <n v="2211"/>
    <n v="13"/>
    <x v="2"/>
    <x v="7"/>
    <x v="2"/>
    <x v="112"/>
    <x v="114"/>
    <x v="2"/>
    <x v="2"/>
    <x v="37"/>
    <n v="0.43808202892807607"/>
  </r>
  <r>
    <s v="B-26419"/>
    <n v="3657"/>
    <n v="163"/>
    <n v="1"/>
    <x v="2"/>
    <x v="7"/>
    <x v="0"/>
    <x v="113"/>
    <x v="115"/>
    <x v="3"/>
    <x v="11"/>
    <x v="18"/>
    <n v="4.457205359584359E-2"/>
  </r>
  <r>
    <s v="B-25157"/>
    <n v="6471"/>
    <n v="2842"/>
    <n v="18"/>
    <x v="0"/>
    <x v="0"/>
    <x v="0"/>
    <x v="114"/>
    <x v="116"/>
    <x v="1"/>
    <x v="17"/>
    <x v="41"/>
    <n v="0.43919023334878687"/>
  </r>
  <r>
    <s v="B-25342"/>
    <n v="949"/>
    <n v="301"/>
    <n v="9"/>
    <x v="1"/>
    <x v="9"/>
    <x v="0"/>
    <x v="115"/>
    <x v="117"/>
    <x v="5"/>
    <x v="14"/>
    <x v="1"/>
    <n v="0.3171759747102213"/>
  </r>
  <r>
    <s v="B-25342"/>
    <n v="6823"/>
    <n v="771"/>
    <n v="6"/>
    <x v="1"/>
    <x v="9"/>
    <x v="2"/>
    <x v="115"/>
    <x v="117"/>
    <x v="5"/>
    <x v="14"/>
    <x v="1"/>
    <n v="0.11300014656309541"/>
  </r>
  <r>
    <s v="B-25342"/>
    <n v="4364"/>
    <n v="831"/>
    <n v="2"/>
    <x v="2"/>
    <x v="4"/>
    <x v="2"/>
    <x v="115"/>
    <x v="117"/>
    <x v="5"/>
    <x v="14"/>
    <x v="1"/>
    <n v="0.19042163153070576"/>
  </r>
  <r>
    <s v="B-26165"/>
    <n v="6671"/>
    <n v="2797"/>
    <n v="10"/>
    <x v="0"/>
    <x v="10"/>
    <x v="0"/>
    <x v="116"/>
    <x v="118"/>
    <x v="1"/>
    <x v="17"/>
    <x v="29"/>
    <n v="0.41927746964473095"/>
  </r>
  <r>
    <s v="B-26571"/>
    <n v="7472"/>
    <n v="1037"/>
    <n v="3"/>
    <x v="1"/>
    <x v="8"/>
    <x v="4"/>
    <x v="117"/>
    <x v="119"/>
    <x v="1"/>
    <x v="6"/>
    <x v="15"/>
    <n v="0.1387847965738758"/>
  </r>
  <r>
    <s v="B-26571"/>
    <n v="9548"/>
    <n v="1806"/>
    <n v="9"/>
    <x v="0"/>
    <x v="1"/>
    <x v="4"/>
    <x v="117"/>
    <x v="119"/>
    <x v="1"/>
    <x v="6"/>
    <x v="15"/>
    <n v="0.18914956011730205"/>
  </r>
  <r>
    <s v="B-25400"/>
    <n v="7759"/>
    <n v="3741"/>
    <n v="17"/>
    <x v="0"/>
    <x v="1"/>
    <x v="0"/>
    <x v="118"/>
    <x v="120"/>
    <x v="0"/>
    <x v="0"/>
    <x v="34"/>
    <n v="0.48214976156721229"/>
  </r>
  <r>
    <s v="B-25400"/>
    <n v="7759"/>
    <n v="3741"/>
    <n v="17"/>
    <x v="0"/>
    <x v="1"/>
    <x v="0"/>
    <x v="119"/>
    <x v="121"/>
    <x v="4"/>
    <x v="8"/>
    <x v="52"/>
    <n v="0.48214976156721229"/>
  </r>
  <r>
    <s v="B-25400"/>
    <n v="7521"/>
    <n v="3457"/>
    <n v="16"/>
    <x v="1"/>
    <x v="6"/>
    <x v="1"/>
    <x v="118"/>
    <x v="120"/>
    <x v="0"/>
    <x v="0"/>
    <x v="34"/>
    <n v="0.45964632362717722"/>
  </r>
  <r>
    <s v="B-25400"/>
    <n v="7521"/>
    <n v="3457"/>
    <n v="16"/>
    <x v="1"/>
    <x v="6"/>
    <x v="1"/>
    <x v="119"/>
    <x v="121"/>
    <x v="4"/>
    <x v="8"/>
    <x v="52"/>
    <n v="0.45964632362717722"/>
  </r>
  <r>
    <s v="B-25885"/>
    <n v="9704"/>
    <n v="4339"/>
    <n v="12"/>
    <x v="1"/>
    <x v="2"/>
    <x v="4"/>
    <x v="120"/>
    <x v="122"/>
    <x v="4"/>
    <x v="15"/>
    <x v="34"/>
    <n v="0.44713520197856554"/>
  </r>
  <r>
    <s v="B-25885"/>
    <n v="4948"/>
    <n v="2356"/>
    <n v="18"/>
    <x v="0"/>
    <x v="1"/>
    <x v="1"/>
    <x v="120"/>
    <x v="122"/>
    <x v="4"/>
    <x v="15"/>
    <x v="34"/>
    <n v="0.4761519805982215"/>
  </r>
  <r>
    <s v="B-25885"/>
    <n v="6435"/>
    <n v="334"/>
    <n v="10"/>
    <x v="0"/>
    <x v="0"/>
    <x v="1"/>
    <x v="120"/>
    <x v="122"/>
    <x v="4"/>
    <x v="15"/>
    <x v="34"/>
    <n v="5.1903651903651905E-2"/>
  </r>
  <r>
    <s v="B-25004"/>
    <n v="9965"/>
    <n v="3033"/>
    <n v="16"/>
    <x v="1"/>
    <x v="6"/>
    <x v="4"/>
    <x v="121"/>
    <x v="123"/>
    <x v="3"/>
    <x v="11"/>
    <x v="53"/>
    <n v="0.30436527847466133"/>
  </r>
  <r>
    <s v="B-25004"/>
    <n v="9965"/>
    <n v="3033"/>
    <n v="16"/>
    <x v="1"/>
    <x v="6"/>
    <x v="4"/>
    <x v="122"/>
    <x v="124"/>
    <x v="2"/>
    <x v="2"/>
    <x v="48"/>
    <n v="0.30436527847466133"/>
  </r>
  <r>
    <s v="B-26213"/>
    <n v="1523"/>
    <n v="234"/>
    <n v="3"/>
    <x v="2"/>
    <x v="7"/>
    <x v="0"/>
    <x v="123"/>
    <x v="125"/>
    <x v="2"/>
    <x v="7"/>
    <x v="0"/>
    <n v="0.15364412344057782"/>
  </r>
  <r>
    <s v="B-26213"/>
    <n v="9073"/>
    <n v="424"/>
    <n v="7"/>
    <x v="0"/>
    <x v="0"/>
    <x v="1"/>
    <x v="123"/>
    <x v="125"/>
    <x v="2"/>
    <x v="7"/>
    <x v="0"/>
    <n v="4.6732062162460043E-2"/>
  </r>
  <r>
    <s v="B-25025"/>
    <n v="6447"/>
    <n v="3079"/>
    <n v="20"/>
    <x v="0"/>
    <x v="3"/>
    <x v="4"/>
    <x v="124"/>
    <x v="126"/>
    <x v="2"/>
    <x v="7"/>
    <x v="34"/>
    <n v="0.47758647432914536"/>
  </r>
  <r>
    <s v="B-25025"/>
    <n v="8947"/>
    <n v="2807"/>
    <n v="6"/>
    <x v="0"/>
    <x v="0"/>
    <x v="3"/>
    <x v="124"/>
    <x v="126"/>
    <x v="2"/>
    <x v="7"/>
    <x v="34"/>
    <n v="0.31373644797138706"/>
  </r>
  <r>
    <s v="B-26804"/>
    <n v="914"/>
    <n v="400"/>
    <n v="8"/>
    <x v="1"/>
    <x v="2"/>
    <x v="1"/>
    <x v="125"/>
    <x v="127"/>
    <x v="3"/>
    <x v="4"/>
    <x v="49"/>
    <n v="0.43763676148796499"/>
  </r>
  <r>
    <s v="B-26804"/>
    <n v="1548"/>
    <n v="666"/>
    <n v="3"/>
    <x v="1"/>
    <x v="8"/>
    <x v="3"/>
    <x v="125"/>
    <x v="127"/>
    <x v="3"/>
    <x v="4"/>
    <x v="49"/>
    <n v="0.43023255813953487"/>
  </r>
  <r>
    <s v="B-26797"/>
    <n v="2759"/>
    <n v="1149"/>
    <n v="6"/>
    <x v="2"/>
    <x v="4"/>
    <x v="3"/>
    <x v="1"/>
    <x v="128"/>
    <x v="2"/>
    <x v="5"/>
    <x v="1"/>
    <n v="0.41645523740485685"/>
  </r>
  <r>
    <s v="B-26556"/>
    <n v="1341"/>
    <n v="615"/>
    <n v="4"/>
    <x v="0"/>
    <x v="3"/>
    <x v="0"/>
    <x v="126"/>
    <x v="129"/>
    <x v="0"/>
    <x v="3"/>
    <x v="40"/>
    <n v="0.45861297539149887"/>
  </r>
  <r>
    <s v="B-25861"/>
    <n v="9851"/>
    <n v="2669"/>
    <n v="19"/>
    <x v="0"/>
    <x v="0"/>
    <x v="1"/>
    <x v="127"/>
    <x v="130"/>
    <x v="5"/>
    <x v="14"/>
    <x v="25"/>
    <n v="0.27093696071464823"/>
  </r>
  <r>
    <s v="B-25861"/>
    <n v="9851"/>
    <n v="2669"/>
    <n v="19"/>
    <x v="0"/>
    <x v="0"/>
    <x v="1"/>
    <x v="128"/>
    <x v="131"/>
    <x v="2"/>
    <x v="2"/>
    <x v="17"/>
    <n v="0.27093696071464823"/>
  </r>
  <r>
    <s v="B-25861"/>
    <n v="9851"/>
    <n v="2669"/>
    <n v="19"/>
    <x v="0"/>
    <x v="0"/>
    <x v="1"/>
    <x v="129"/>
    <x v="132"/>
    <x v="0"/>
    <x v="3"/>
    <x v="24"/>
    <n v="0.27093696071464823"/>
  </r>
  <r>
    <s v="B-25861"/>
    <n v="9989"/>
    <n v="3930"/>
    <n v="14"/>
    <x v="2"/>
    <x v="4"/>
    <x v="1"/>
    <x v="127"/>
    <x v="130"/>
    <x v="5"/>
    <x v="14"/>
    <x v="25"/>
    <n v="0.39343277605365901"/>
  </r>
  <r>
    <s v="B-25861"/>
    <n v="9989"/>
    <n v="3930"/>
    <n v="14"/>
    <x v="2"/>
    <x v="4"/>
    <x v="1"/>
    <x v="128"/>
    <x v="131"/>
    <x v="2"/>
    <x v="2"/>
    <x v="17"/>
    <n v="0.39343277605365901"/>
  </r>
  <r>
    <s v="B-25861"/>
    <n v="9989"/>
    <n v="3930"/>
    <n v="14"/>
    <x v="2"/>
    <x v="4"/>
    <x v="1"/>
    <x v="129"/>
    <x v="132"/>
    <x v="0"/>
    <x v="3"/>
    <x v="24"/>
    <n v="0.39343277605365901"/>
  </r>
  <r>
    <s v="B-25112"/>
    <n v="7421"/>
    <n v="958"/>
    <n v="10"/>
    <x v="2"/>
    <x v="4"/>
    <x v="4"/>
    <x v="130"/>
    <x v="133"/>
    <x v="4"/>
    <x v="15"/>
    <x v="29"/>
    <n v="0.12909311413556124"/>
  </r>
  <r>
    <s v="B-25112"/>
    <n v="7421"/>
    <n v="958"/>
    <n v="10"/>
    <x v="2"/>
    <x v="4"/>
    <x v="4"/>
    <x v="39"/>
    <x v="134"/>
    <x v="4"/>
    <x v="15"/>
    <x v="12"/>
    <n v="0.12909311413556124"/>
  </r>
  <r>
    <s v="B-25112"/>
    <n v="7421"/>
    <n v="958"/>
    <n v="10"/>
    <x v="2"/>
    <x v="4"/>
    <x v="4"/>
    <x v="131"/>
    <x v="135"/>
    <x v="4"/>
    <x v="8"/>
    <x v="54"/>
    <n v="0.12909311413556124"/>
  </r>
  <r>
    <s v="B-25223"/>
    <n v="3099"/>
    <n v="479"/>
    <n v="1"/>
    <x v="1"/>
    <x v="8"/>
    <x v="4"/>
    <x v="19"/>
    <x v="136"/>
    <x v="2"/>
    <x v="2"/>
    <x v="12"/>
    <n v="0.15456598902871893"/>
  </r>
  <r>
    <s v="B-25223"/>
    <n v="2521"/>
    <n v="906"/>
    <n v="7"/>
    <x v="0"/>
    <x v="10"/>
    <x v="4"/>
    <x v="19"/>
    <x v="136"/>
    <x v="2"/>
    <x v="2"/>
    <x v="12"/>
    <n v="0.35938119793732648"/>
  </r>
  <r>
    <s v="B-25714"/>
    <n v="6962"/>
    <n v="3429"/>
    <n v="12"/>
    <x v="0"/>
    <x v="0"/>
    <x v="0"/>
    <x v="132"/>
    <x v="137"/>
    <x v="4"/>
    <x v="8"/>
    <x v="55"/>
    <n v="0.49253088193047972"/>
  </r>
  <r>
    <s v="B-25714"/>
    <n v="6962"/>
    <n v="3429"/>
    <n v="12"/>
    <x v="0"/>
    <x v="0"/>
    <x v="0"/>
    <x v="133"/>
    <x v="138"/>
    <x v="0"/>
    <x v="0"/>
    <x v="9"/>
    <n v="0.49253088193047972"/>
  </r>
  <r>
    <s v="B-26607"/>
    <n v="1085"/>
    <n v="301"/>
    <n v="20"/>
    <x v="2"/>
    <x v="11"/>
    <x v="0"/>
    <x v="134"/>
    <x v="139"/>
    <x v="2"/>
    <x v="2"/>
    <x v="41"/>
    <n v="0.27741935483870966"/>
  </r>
  <r>
    <s v="B-25038"/>
    <n v="738"/>
    <n v="342"/>
    <n v="2"/>
    <x v="2"/>
    <x v="5"/>
    <x v="1"/>
    <x v="135"/>
    <x v="140"/>
    <x v="5"/>
    <x v="13"/>
    <x v="28"/>
    <n v="0.46341463414634149"/>
  </r>
  <r>
    <s v="B-25038"/>
    <n v="738"/>
    <n v="342"/>
    <n v="2"/>
    <x v="2"/>
    <x v="5"/>
    <x v="1"/>
    <x v="136"/>
    <x v="141"/>
    <x v="2"/>
    <x v="2"/>
    <x v="50"/>
    <n v="0.46341463414634149"/>
  </r>
  <r>
    <s v="B-25038"/>
    <n v="738"/>
    <n v="342"/>
    <n v="2"/>
    <x v="2"/>
    <x v="5"/>
    <x v="1"/>
    <x v="137"/>
    <x v="142"/>
    <x v="5"/>
    <x v="13"/>
    <x v="3"/>
    <n v="0.46341463414634149"/>
  </r>
  <r>
    <s v="B-25038"/>
    <n v="738"/>
    <n v="342"/>
    <n v="2"/>
    <x v="2"/>
    <x v="5"/>
    <x v="1"/>
    <x v="138"/>
    <x v="143"/>
    <x v="2"/>
    <x v="5"/>
    <x v="12"/>
    <n v="0.46341463414634149"/>
  </r>
  <r>
    <s v="B-26672"/>
    <n v="1366"/>
    <n v="242"/>
    <n v="17"/>
    <x v="0"/>
    <x v="0"/>
    <x v="2"/>
    <x v="139"/>
    <x v="144"/>
    <x v="5"/>
    <x v="12"/>
    <x v="48"/>
    <n v="0.17715959004392387"/>
  </r>
  <r>
    <s v="B-26672"/>
    <n v="1518"/>
    <n v="155"/>
    <n v="13"/>
    <x v="1"/>
    <x v="6"/>
    <x v="3"/>
    <x v="139"/>
    <x v="144"/>
    <x v="5"/>
    <x v="12"/>
    <x v="48"/>
    <n v="0.10210803689064558"/>
  </r>
  <r>
    <s v="B-25747"/>
    <n v="2962"/>
    <n v="1470"/>
    <n v="1"/>
    <x v="0"/>
    <x v="10"/>
    <x v="4"/>
    <x v="140"/>
    <x v="145"/>
    <x v="2"/>
    <x v="2"/>
    <x v="18"/>
    <n v="0.49628629304523969"/>
  </r>
  <r>
    <s v="B-25747"/>
    <n v="2962"/>
    <n v="1470"/>
    <n v="1"/>
    <x v="0"/>
    <x v="10"/>
    <x v="4"/>
    <x v="141"/>
    <x v="146"/>
    <x v="0"/>
    <x v="16"/>
    <x v="48"/>
    <n v="0.49628629304523969"/>
  </r>
  <r>
    <s v="B-25747"/>
    <n v="7131"/>
    <n v="718"/>
    <n v="12"/>
    <x v="0"/>
    <x v="1"/>
    <x v="0"/>
    <x v="140"/>
    <x v="145"/>
    <x v="2"/>
    <x v="2"/>
    <x v="18"/>
    <n v="0.10068714065348479"/>
  </r>
  <r>
    <s v="B-25747"/>
    <n v="7131"/>
    <n v="718"/>
    <n v="12"/>
    <x v="0"/>
    <x v="1"/>
    <x v="0"/>
    <x v="141"/>
    <x v="146"/>
    <x v="0"/>
    <x v="16"/>
    <x v="48"/>
    <n v="0.10068714065348479"/>
  </r>
  <r>
    <s v="B-25747"/>
    <n v="4200"/>
    <n v="855"/>
    <n v="10"/>
    <x v="1"/>
    <x v="6"/>
    <x v="2"/>
    <x v="140"/>
    <x v="145"/>
    <x v="2"/>
    <x v="2"/>
    <x v="18"/>
    <n v="0.20357142857142857"/>
  </r>
  <r>
    <s v="B-25747"/>
    <n v="4200"/>
    <n v="855"/>
    <n v="10"/>
    <x v="1"/>
    <x v="6"/>
    <x v="2"/>
    <x v="141"/>
    <x v="146"/>
    <x v="0"/>
    <x v="16"/>
    <x v="48"/>
    <n v="0.20357142857142857"/>
  </r>
  <r>
    <s v="B-26322"/>
    <n v="5934"/>
    <n v="1563"/>
    <n v="2"/>
    <x v="1"/>
    <x v="6"/>
    <x v="2"/>
    <x v="142"/>
    <x v="147"/>
    <x v="1"/>
    <x v="17"/>
    <x v="31"/>
    <n v="0.26339737108190092"/>
  </r>
  <r>
    <s v="B-26613"/>
    <n v="2701"/>
    <n v="322"/>
    <n v="11"/>
    <x v="0"/>
    <x v="1"/>
    <x v="0"/>
    <x v="143"/>
    <x v="148"/>
    <x v="2"/>
    <x v="5"/>
    <x v="33"/>
    <n v="0.11921510551647538"/>
  </r>
  <r>
    <s v="B-26613"/>
    <n v="7273"/>
    <n v="2702"/>
    <n v="18"/>
    <x v="1"/>
    <x v="8"/>
    <x v="4"/>
    <x v="143"/>
    <x v="148"/>
    <x v="2"/>
    <x v="5"/>
    <x v="33"/>
    <n v="0.37151106833493747"/>
  </r>
  <r>
    <s v="B-25413"/>
    <n v="2465"/>
    <n v="699"/>
    <n v="18"/>
    <x v="1"/>
    <x v="6"/>
    <x v="1"/>
    <x v="144"/>
    <x v="149"/>
    <x v="3"/>
    <x v="11"/>
    <x v="8"/>
    <n v="0.28356997971602432"/>
  </r>
  <r>
    <s v="B-26466"/>
    <n v="3479"/>
    <n v="1087"/>
    <n v="2"/>
    <x v="1"/>
    <x v="6"/>
    <x v="2"/>
    <x v="145"/>
    <x v="150"/>
    <x v="4"/>
    <x v="8"/>
    <x v="56"/>
    <n v="0.31244610520264443"/>
  </r>
  <r>
    <s v="B-26466"/>
    <n v="5457"/>
    <n v="1765"/>
    <n v="7"/>
    <x v="0"/>
    <x v="1"/>
    <x v="2"/>
    <x v="145"/>
    <x v="150"/>
    <x v="4"/>
    <x v="8"/>
    <x v="56"/>
    <n v="0.32343778632948506"/>
  </r>
  <r>
    <s v="B-26610"/>
    <n v="4957"/>
    <n v="1152"/>
    <n v="8"/>
    <x v="1"/>
    <x v="6"/>
    <x v="3"/>
    <x v="146"/>
    <x v="151"/>
    <x v="5"/>
    <x v="14"/>
    <x v="25"/>
    <n v="0.23239862820254187"/>
  </r>
  <r>
    <s v="B-26209"/>
    <n v="4404"/>
    <n v="858"/>
    <n v="17"/>
    <x v="1"/>
    <x v="2"/>
    <x v="1"/>
    <x v="147"/>
    <x v="152"/>
    <x v="5"/>
    <x v="12"/>
    <x v="55"/>
    <n v="0.19482288828337874"/>
  </r>
  <r>
    <s v="B-26209"/>
    <n v="8776"/>
    <n v="2529"/>
    <n v="15"/>
    <x v="2"/>
    <x v="7"/>
    <x v="3"/>
    <x v="147"/>
    <x v="152"/>
    <x v="5"/>
    <x v="12"/>
    <x v="55"/>
    <n v="0.28817228805834094"/>
  </r>
  <r>
    <s v="B-26622"/>
    <n v="9536"/>
    <n v="1437"/>
    <n v="9"/>
    <x v="0"/>
    <x v="10"/>
    <x v="0"/>
    <x v="148"/>
    <x v="153"/>
    <x v="0"/>
    <x v="3"/>
    <x v="32"/>
    <n v="0.15069211409395974"/>
  </r>
  <r>
    <s v="B-26622"/>
    <n v="2225"/>
    <n v="589"/>
    <n v="7"/>
    <x v="2"/>
    <x v="7"/>
    <x v="3"/>
    <x v="148"/>
    <x v="153"/>
    <x v="0"/>
    <x v="3"/>
    <x v="32"/>
    <n v="0.26471910112359548"/>
  </r>
  <r>
    <s v="B-26601"/>
    <n v="9574"/>
    <n v="4045"/>
    <n v="19"/>
    <x v="2"/>
    <x v="11"/>
    <x v="0"/>
    <x v="149"/>
    <x v="154"/>
    <x v="3"/>
    <x v="11"/>
    <x v="55"/>
    <n v="0.42249843325673697"/>
  </r>
  <r>
    <s v="B-26601"/>
    <n v="4382"/>
    <n v="482"/>
    <n v="17"/>
    <x v="0"/>
    <x v="0"/>
    <x v="4"/>
    <x v="149"/>
    <x v="154"/>
    <x v="3"/>
    <x v="11"/>
    <x v="55"/>
    <n v="0.10999543587403013"/>
  </r>
  <r>
    <s v="B-25894"/>
    <n v="8200"/>
    <n v="257"/>
    <n v="19"/>
    <x v="0"/>
    <x v="3"/>
    <x v="4"/>
    <x v="150"/>
    <x v="155"/>
    <x v="5"/>
    <x v="13"/>
    <x v="45"/>
    <n v="3.1341463414634146E-2"/>
  </r>
  <r>
    <s v="B-25894"/>
    <n v="9316"/>
    <n v="3003"/>
    <n v="13"/>
    <x v="2"/>
    <x v="7"/>
    <x v="3"/>
    <x v="150"/>
    <x v="155"/>
    <x v="5"/>
    <x v="13"/>
    <x v="45"/>
    <n v="0.32234864748819236"/>
  </r>
  <r>
    <s v="B-25894"/>
    <n v="6379"/>
    <n v="3128"/>
    <n v="15"/>
    <x v="0"/>
    <x v="0"/>
    <x v="4"/>
    <x v="150"/>
    <x v="155"/>
    <x v="5"/>
    <x v="13"/>
    <x v="45"/>
    <n v="0.49035899043737263"/>
  </r>
  <r>
    <s v="B-26969"/>
    <n v="3348"/>
    <n v="568"/>
    <n v="5"/>
    <x v="1"/>
    <x v="6"/>
    <x v="3"/>
    <x v="151"/>
    <x v="156"/>
    <x v="5"/>
    <x v="14"/>
    <x v="55"/>
    <n v="0.16965352449223417"/>
  </r>
  <r>
    <s v="B-26969"/>
    <n v="3348"/>
    <n v="568"/>
    <n v="5"/>
    <x v="1"/>
    <x v="6"/>
    <x v="3"/>
    <x v="152"/>
    <x v="157"/>
    <x v="2"/>
    <x v="7"/>
    <x v="27"/>
    <n v="0.16965352449223417"/>
  </r>
  <r>
    <s v="B-26969"/>
    <n v="8856"/>
    <n v="2020"/>
    <n v="9"/>
    <x v="1"/>
    <x v="2"/>
    <x v="1"/>
    <x v="151"/>
    <x v="156"/>
    <x v="5"/>
    <x v="14"/>
    <x v="55"/>
    <n v="0.22809394760614274"/>
  </r>
  <r>
    <s v="B-26969"/>
    <n v="8856"/>
    <n v="2020"/>
    <n v="9"/>
    <x v="1"/>
    <x v="2"/>
    <x v="1"/>
    <x v="152"/>
    <x v="157"/>
    <x v="2"/>
    <x v="7"/>
    <x v="27"/>
    <n v="0.22809394760614274"/>
  </r>
  <r>
    <s v="B-26312"/>
    <n v="1760"/>
    <n v="619"/>
    <n v="16"/>
    <x v="2"/>
    <x v="7"/>
    <x v="1"/>
    <x v="153"/>
    <x v="158"/>
    <x v="5"/>
    <x v="12"/>
    <x v="43"/>
    <n v="0.35170454545454544"/>
  </r>
  <r>
    <s v="B-26312"/>
    <n v="1760"/>
    <n v="619"/>
    <n v="16"/>
    <x v="2"/>
    <x v="7"/>
    <x v="1"/>
    <x v="154"/>
    <x v="159"/>
    <x v="4"/>
    <x v="15"/>
    <x v="54"/>
    <n v="0.35170454545454544"/>
  </r>
  <r>
    <s v="B-26312"/>
    <n v="6351"/>
    <n v="986"/>
    <n v="15"/>
    <x v="0"/>
    <x v="1"/>
    <x v="0"/>
    <x v="153"/>
    <x v="158"/>
    <x v="5"/>
    <x v="12"/>
    <x v="43"/>
    <n v="0.15525114155251141"/>
  </r>
  <r>
    <s v="B-26312"/>
    <n v="6351"/>
    <n v="986"/>
    <n v="15"/>
    <x v="0"/>
    <x v="1"/>
    <x v="0"/>
    <x v="154"/>
    <x v="159"/>
    <x v="4"/>
    <x v="15"/>
    <x v="54"/>
    <n v="0.15525114155251141"/>
  </r>
  <r>
    <s v="B-26837"/>
    <n v="869"/>
    <n v="373"/>
    <n v="14"/>
    <x v="1"/>
    <x v="8"/>
    <x v="3"/>
    <x v="155"/>
    <x v="160"/>
    <x v="2"/>
    <x v="5"/>
    <x v="2"/>
    <n v="0.42922899884925203"/>
  </r>
  <r>
    <s v="B-26837"/>
    <n v="869"/>
    <n v="373"/>
    <n v="14"/>
    <x v="1"/>
    <x v="8"/>
    <x v="3"/>
    <x v="156"/>
    <x v="161"/>
    <x v="5"/>
    <x v="14"/>
    <x v="32"/>
    <n v="0.42922899884925203"/>
  </r>
  <r>
    <s v="B-26837"/>
    <n v="1486"/>
    <n v="114"/>
    <n v="7"/>
    <x v="2"/>
    <x v="11"/>
    <x v="0"/>
    <x v="155"/>
    <x v="160"/>
    <x v="2"/>
    <x v="5"/>
    <x v="2"/>
    <n v="7.6716016150740238E-2"/>
  </r>
  <r>
    <s v="B-26837"/>
    <n v="1486"/>
    <n v="114"/>
    <n v="7"/>
    <x v="2"/>
    <x v="11"/>
    <x v="0"/>
    <x v="156"/>
    <x v="161"/>
    <x v="5"/>
    <x v="14"/>
    <x v="32"/>
    <n v="7.6716016150740238E-2"/>
  </r>
  <r>
    <s v="B-26166"/>
    <n v="2999"/>
    <n v="145"/>
    <n v="13"/>
    <x v="1"/>
    <x v="9"/>
    <x v="4"/>
    <x v="157"/>
    <x v="162"/>
    <x v="1"/>
    <x v="1"/>
    <x v="40"/>
    <n v="4.8349449816605536E-2"/>
  </r>
  <r>
    <s v="B-26166"/>
    <n v="5142"/>
    <n v="1916"/>
    <n v="20"/>
    <x v="1"/>
    <x v="8"/>
    <x v="2"/>
    <x v="157"/>
    <x v="162"/>
    <x v="1"/>
    <x v="1"/>
    <x v="40"/>
    <n v="0.37261765849863865"/>
  </r>
  <r>
    <s v="B-25695"/>
    <n v="1239"/>
    <n v="575"/>
    <n v="17"/>
    <x v="0"/>
    <x v="3"/>
    <x v="0"/>
    <x v="158"/>
    <x v="163"/>
    <x v="2"/>
    <x v="7"/>
    <x v="29"/>
    <n v="0.46408393866020986"/>
  </r>
  <r>
    <s v="B-25695"/>
    <n v="1239"/>
    <n v="575"/>
    <n v="17"/>
    <x v="0"/>
    <x v="3"/>
    <x v="0"/>
    <x v="159"/>
    <x v="164"/>
    <x v="1"/>
    <x v="6"/>
    <x v="33"/>
    <n v="0.46408393866020986"/>
  </r>
  <r>
    <s v="B-25695"/>
    <n v="1262"/>
    <n v="515"/>
    <n v="16"/>
    <x v="0"/>
    <x v="0"/>
    <x v="2"/>
    <x v="158"/>
    <x v="163"/>
    <x v="2"/>
    <x v="7"/>
    <x v="29"/>
    <n v="0.40808240887480191"/>
  </r>
  <r>
    <s v="B-25695"/>
    <n v="1262"/>
    <n v="515"/>
    <n v="16"/>
    <x v="0"/>
    <x v="0"/>
    <x v="2"/>
    <x v="159"/>
    <x v="164"/>
    <x v="1"/>
    <x v="6"/>
    <x v="33"/>
    <n v="0.40808240887480191"/>
  </r>
  <r>
    <s v="B-26068"/>
    <n v="1033"/>
    <n v="254"/>
    <n v="5"/>
    <x v="2"/>
    <x v="11"/>
    <x v="4"/>
    <x v="160"/>
    <x v="165"/>
    <x v="2"/>
    <x v="7"/>
    <x v="38"/>
    <n v="0.24588576960309777"/>
  </r>
  <r>
    <s v="B-26023"/>
    <n v="1518"/>
    <n v="159"/>
    <n v="19"/>
    <x v="0"/>
    <x v="1"/>
    <x v="0"/>
    <x v="161"/>
    <x v="166"/>
    <x v="3"/>
    <x v="9"/>
    <x v="57"/>
    <n v="0.10474308300395258"/>
  </r>
  <r>
    <s v="B-26677"/>
    <n v="8581"/>
    <n v="2444"/>
    <n v="2"/>
    <x v="1"/>
    <x v="8"/>
    <x v="1"/>
    <x v="162"/>
    <x v="167"/>
    <x v="1"/>
    <x v="17"/>
    <x v="50"/>
    <n v="0.2848152895932875"/>
  </r>
  <r>
    <s v="B-26677"/>
    <n v="8581"/>
    <n v="2444"/>
    <n v="2"/>
    <x v="1"/>
    <x v="8"/>
    <x v="1"/>
    <x v="163"/>
    <x v="168"/>
    <x v="0"/>
    <x v="3"/>
    <x v="11"/>
    <n v="0.2848152895932875"/>
  </r>
  <r>
    <s v="B-25701"/>
    <n v="1167"/>
    <n v="463"/>
    <n v="5"/>
    <x v="1"/>
    <x v="2"/>
    <x v="0"/>
    <x v="164"/>
    <x v="169"/>
    <x v="4"/>
    <x v="10"/>
    <x v="48"/>
    <n v="0.39674378748928879"/>
  </r>
  <r>
    <s v="B-25701"/>
    <n v="2841"/>
    <n v="803"/>
    <n v="20"/>
    <x v="0"/>
    <x v="3"/>
    <x v="3"/>
    <x v="164"/>
    <x v="169"/>
    <x v="4"/>
    <x v="10"/>
    <x v="48"/>
    <n v="0.2826469552974305"/>
  </r>
  <r>
    <s v="B-25701"/>
    <n v="5680"/>
    <n v="2159"/>
    <n v="19"/>
    <x v="2"/>
    <x v="4"/>
    <x v="0"/>
    <x v="164"/>
    <x v="169"/>
    <x v="4"/>
    <x v="10"/>
    <x v="48"/>
    <n v="0.38010563380281692"/>
  </r>
  <r>
    <s v="B-26523"/>
    <n v="8204"/>
    <n v="2382"/>
    <n v="6"/>
    <x v="1"/>
    <x v="2"/>
    <x v="0"/>
    <x v="165"/>
    <x v="170"/>
    <x v="1"/>
    <x v="1"/>
    <x v="7"/>
    <n v="0.2903461725987323"/>
  </r>
  <r>
    <s v="B-26523"/>
    <n v="8204"/>
    <n v="2382"/>
    <n v="6"/>
    <x v="1"/>
    <x v="2"/>
    <x v="0"/>
    <x v="97"/>
    <x v="171"/>
    <x v="2"/>
    <x v="2"/>
    <x v="20"/>
    <n v="0.2903461725987323"/>
  </r>
  <r>
    <s v="B-26523"/>
    <n v="2850"/>
    <n v="904"/>
    <n v="6"/>
    <x v="0"/>
    <x v="10"/>
    <x v="2"/>
    <x v="165"/>
    <x v="170"/>
    <x v="1"/>
    <x v="1"/>
    <x v="7"/>
    <n v="0.31719298245614036"/>
  </r>
  <r>
    <s v="B-26523"/>
    <n v="2850"/>
    <n v="904"/>
    <n v="6"/>
    <x v="0"/>
    <x v="10"/>
    <x v="2"/>
    <x v="97"/>
    <x v="171"/>
    <x v="2"/>
    <x v="2"/>
    <x v="20"/>
    <n v="0.31719298245614036"/>
  </r>
  <r>
    <s v="B-25880"/>
    <n v="907"/>
    <n v="391"/>
    <n v="9"/>
    <x v="1"/>
    <x v="2"/>
    <x v="3"/>
    <x v="166"/>
    <x v="172"/>
    <x v="2"/>
    <x v="5"/>
    <x v="21"/>
    <n v="0.43109151047409039"/>
  </r>
  <r>
    <s v="B-26898"/>
    <n v="2174"/>
    <n v="265"/>
    <n v="19"/>
    <x v="1"/>
    <x v="2"/>
    <x v="3"/>
    <x v="167"/>
    <x v="173"/>
    <x v="5"/>
    <x v="13"/>
    <x v="39"/>
    <n v="0.12189512419503219"/>
  </r>
  <r>
    <s v="B-26898"/>
    <n v="8541"/>
    <n v="2029"/>
    <n v="12"/>
    <x v="0"/>
    <x v="0"/>
    <x v="3"/>
    <x v="167"/>
    <x v="173"/>
    <x v="5"/>
    <x v="13"/>
    <x v="39"/>
    <n v="0.23756000468329236"/>
  </r>
  <r>
    <s v="B-26898"/>
    <n v="1931"/>
    <n v="551"/>
    <n v="3"/>
    <x v="2"/>
    <x v="11"/>
    <x v="2"/>
    <x v="167"/>
    <x v="173"/>
    <x v="5"/>
    <x v="13"/>
    <x v="39"/>
    <n v="0.28534438114966337"/>
  </r>
  <r>
    <s v="B-26035"/>
    <n v="1281"/>
    <n v="340"/>
    <n v="3"/>
    <x v="0"/>
    <x v="0"/>
    <x v="1"/>
    <x v="168"/>
    <x v="174"/>
    <x v="4"/>
    <x v="10"/>
    <x v="13"/>
    <n v="0.26541764246682281"/>
  </r>
  <r>
    <s v="B-26035"/>
    <n v="2404"/>
    <n v="253"/>
    <n v="15"/>
    <x v="0"/>
    <x v="3"/>
    <x v="4"/>
    <x v="168"/>
    <x v="174"/>
    <x v="4"/>
    <x v="10"/>
    <x v="13"/>
    <n v="0.10524126455906822"/>
  </r>
  <r>
    <s v="B-25573"/>
    <n v="2119"/>
    <n v="196"/>
    <n v="1"/>
    <x v="2"/>
    <x v="7"/>
    <x v="4"/>
    <x v="169"/>
    <x v="175"/>
    <x v="3"/>
    <x v="4"/>
    <x v="38"/>
    <n v="9.2496460594620106E-2"/>
  </r>
  <r>
    <s v="B-25463"/>
    <n v="3137"/>
    <n v="571"/>
    <n v="9"/>
    <x v="1"/>
    <x v="2"/>
    <x v="1"/>
    <x v="170"/>
    <x v="176"/>
    <x v="1"/>
    <x v="1"/>
    <x v="9"/>
    <n v="0.18202103920943577"/>
  </r>
  <r>
    <s v="B-26277"/>
    <n v="2323"/>
    <n v="727"/>
    <n v="7"/>
    <x v="2"/>
    <x v="4"/>
    <x v="4"/>
    <x v="171"/>
    <x v="177"/>
    <x v="4"/>
    <x v="8"/>
    <x v="26"/>
    <n v="0.31295738269479123"/>
  </r>
  <r>
    <s v="B-26277"/>
    <n v="1368"/>
    <n v="406"/>
    <n v="9"/>
    <x v="2"/>
    <x v="11"/>
    <x v="0"/>
    <x v="171"/>
    <x v="177"/>
    <x v="4"/>
    <x v="8"/>
    <x v="26"/>
    <n v="0.29678362573099415"/>
  </r>
  <r>
    <s v="B-26508"/>
    <n v="9204"/>
    <n v="3289"/>
    <n v="16"/>
    <x v="0"/>
    <x v="3"/>
    <x v="3"/>
    <x v="172"/>
    <x v="178"/>
    <x v="0"/>
    <x v="0"/>
    <x v="42"/>
    <n v="0.35734463276836159"/>
  </r>
  <r>
    <s v="B-26508"/>
    <n v="9204"/>
    <n v="3289"/>
    <n v="16"/>
    <x v="0"/>
    <x v="3"/>
    <x v="3"/>
    <x v="173"/>
    <x v="179"/>
    <x v="0"/>
    <x v="0"/>
    <x v="22"/>
    <n v="0.35734463276836159"/>
  </r>
  <r>
    <s v="B-26508"/>
    <n v="9894"/>
    <n v="3698"/>
    <n v="20"/>
    <x v="1"/>
    <x v="8"/>
    <x v="2"/>
    <x v="172"/>
    <x v="178"/>
    <x v="0"/>
    <x v="0"/>
    <x v="42"/>
    <n v="0.37376187588437437"/>
  </r>
  <r>
    <s v="B-26508"/>
    <n v="9894"/>
    <n v="3698"/>
    <n v="20"/>
    <x v="1"/>
    <x v="8"/>
    <x v="2"/>
    <x v="173"/>
    <x v="179"/>
    <x v="0"/>
    <x v="0"/>
    <x v="22"/>
    <n v="0.37376187588437437"/>
  </r>
  <r>
    <s v="B-26723"/>
    <n v="5322"/>
    <n v="1423"/>
    <n v="18"/>
    <x v="2"/>
    <x v="7"/>
    <x v="4"/>
    <x v="174"/>
    <x v="180"/>
    <x v="4"/>
    <x v="15"/>
    <x v="29"/>
    <n v="0.26738068395340098"/>
  </r>
  <r>
    <s v="B-26723"/>
    <n v="5322"/>
    <n v="1423"/>
    <n v="18"/>
    <x v="2"/>
    <x v="7"/>
    <x v="4"/>
    <x v="175"/>
    <x v="181"/>
    <x v="4"/>
    <x v="8"/>
    <x v="16"/>
    <n v="0.26738068395340098"/>
  </r>
  <r>
    <s v="B-25526"/>
    <n v="2666"/>
    <n v="559"/>
    <n v="14"/>
    <x v="2"/>
    <x v="5"/>
    <x v="4"/>
    <x v="176"/>
    <x v="182"/>
    <x v="5"/>
    <x v="14"/>
    <x v="58"/>
    <n v="0.20967741935483872"/>
  </r>
  <r>
    <s v="B-25645"/>
    <n v="8383"/>
    <n v="937"/>
    <n v="4"/>
    <x v="2"/>
    <x v="7"/>
    <x v="0"/>
    <x v="177"/>
    <x v="183"/>
    <x v="0"/>
    <x v="3"/>
    <x v="3"/>
    <n v="0.11177382798520816"/>
  </r>
  <r>
    <s v="B-25757"/>
    <n v="7560"/>
    <n v="821"/>
    <n v="4"/>
    <x v="1"/>
    <x v="8"/>
    <x v="2"/>
    <x v="178"/>
    <x v="184"/>
    <x v="1"/>
    <x v="1"/>
    <x v="4"/>
    <n v="0.1085978835978836"/>
  </r>
  <r>
    <s v="B-26716"/>
    <n v="1314"/>
    <n v="490"/>
    <n v="16"/>
    <x v="2"/>
    <x v="7"/>
    <x v="0"/>
    <x v="179"/>
    <x v="185"/>
    <x v="2"/>
    <x v="2"/>
    <x v="35"/>
    <n v="0.37290715372907152"/>
  </r>
  <r>
    <s v="B-26716"/>
    <n v="4390"/>
    <n v="179"/>
    <n v="1"/>
    <x v="2"/>
    <x v="4"/>
    <x v="1"/>
    <x v="179"/>
    <x v="185"/>
    <x v="2"/>
    <x v="2"/>
    <x v="35"/>
    <n v="4.0774487471526198E-2"/>
  </r>
  <r>
    <s v="B-26716"/>
    <n v="1150"/>
    <n v="58"/>
    <n v="7"/>
    <x v="1"/>
    <x v="9"/>
    <x v="1"/>
    <x v="179"/>
    <x v="185"/>
    <x v="2"/>
    <x v="2"/>
    <x v="35"/>
    <n v="5.0434782608695654E-2"/>
  </r>
  <r>
    <s v="B-25424"/>
    <n v="1574"/>
    <n v="258"/>
    <n v="17"/>
    <x v="1"/>
    <x v="2"/>
    <x v="2"/>
    <x v="180"/>
    <x v="186"/>
    <x v="3"/>
    <x v="9"/>
    <x v="57"/>
    <n v="0.16391359593392629"/>
  </r>
  <r>
    <s v="B-25424"/>
    <n v="5635"/>
    <n v="318"/>
    <n v="17"/>
    <x v="1"/>
    <x v="9"/>
    <x v="0"/>
    <x v="180"/>
    <x v="186"/>
    <x v="3"/>
    <x v="9"/>
    <x v="57"/>
    <n v="5.6433007985803016E-2"/>
  </r>
  <r>
    <s v="B-25424"/>
    <n v="6515"/>
    <n v="961"/>
    <n v="11"/>
    <x v="2"/>
    <x v="7"/>
    <x v="1"/>
    <x v="180"/>
    <x v="186"/>
    <x v="3"/>
    <x v="9"/>
    <x v="57"/>
    <n v="0.14750575594781273"/>
  </r>
  <r>
    <s v="B-26453"/>
    <n v="1231"/>
    <n v="214"/>
    <n v="20"/>
    <x v="0"/>
    <x v="3"/>
    <x v="1"/>
    <x v="181"/>
    <x v="187"/>
    <x v="5"/>
    <x v="12"/>
    <x v="54"/>
    <n v="0.17384240454914704"/>
  </r>
  <r>
    <s v="B-26453"/>
    <n v="1231"/>
    <n v="214"/>
    <n v="20"/>
    <x v="0"/>
    <x v="3"/>
    <x v="1"/>
    <x v="182"/>
    <x v="188"/>
    <x v="2"/>
    <x v="7"/>
    <x v="53"/>
    <n v="0.17384240454914704"/>
  </r>
  <r>
    <s v="B-26425"/>
    <n v="6891"/>
    <n v="2529"/>
    <n v="3"/>
    <x v="1"/>
    <x v="9"/>
    <x v="1"/>
    <x v="183"/>
    <x v="189"/>
    <x v="5"/>
    <x v="14"/>
    <x v="3"/>
    <n v="0.36700043535045712"/>
  </r>
  <r>
    <s v="B-25843"/>
    <n v="7524"/>
    <n v="2308"/>
    <n v="15"/>
    <x v="0"/>
    <x v="3"/>
    <x v="2"/>
    <x v="184"/>
    <x v="190"/>
    <x v="4"/>
    <x v="10"/>
    <x v="16"/>
    <n v="0.30675172780435939"/>
  </r>
  <r>
    <s v="B-25843"/>
    <n v="6864"/>
    <n v="1824"/>
    <n v="14"/>
    <x v="0"/>
    <x v="1"/>
    <x v="3"/>
    <x v="184"/>
    <x v="190"/>
    <x v="4"/>
    <x v="10"/>
    <x v="16"/>
    <n v="0.26573426573426573"/>
  </r>
  <r>
    <s v="B-25486"/>
    <n v="4215"/>
    <n v="432"/>
    <n v="14"/>
    <x v="2"/>
    <x v="5"/>
    <x v="1"/>
    <x v="185"/>
    <x v="191"/>
    <x v="5"/>
    <x v="12"/>
    <x v="42"/>
    <n v="0.10249110320284698"/>
  </r>
  <r>
    <s v="B-26975"/>
    <n v="622"/>
    <n v="218"/>
    <n v="19"/>
    <x v="2"/>
    <x v="11"/>
    <x v="3"/>
    <x v="186"/>
    <x v="192"/>
    <x v="3"/>
    <x v="9"/>
    <x v="47"/>
    <n v="0.35048231511254019"/>
  </r>
  <r>
    <s v="B-26975"/>
    <n v="1755"/>
    <n v="495"/>
    <n v="18"/>
    <x v="1"/>
    <x v="2"/>
    <x v="0"/>
    <x v="186"/>
    <x v="192"/>
    <x v="3"/>
    <x v="9"/>
    <x v="47"/>
    <n v="0.28205128205128205"/>
  </r>
  <r>
    <s v="B-26975"/>
    <n v="8020"/>
    <n v="3898"/>
    <n v="20"/>
    <x v="0"/>
    <x v="0"/>
    <x v="2"/>
    <x v="186"/>
    <x v="192"/>
    <x v="3"/>
    <x v="9"/>
    <x v="47"/>
    <n v="0.48603491271820448"/>
  </r>
  <r>
    <s v="B-26890"/>
    <n v="7333"/>
    <n v="1576"/>
    <n v="4"/>
    <x v="0"/>
    <x v="3"/>
    <x v="3"/>
    <x v="187"/>
    <x v="193"/>
    <x v="2"/>
    <x v="2"/>
    <x v="47"/>
    <n v="0.21491885994817947"/>
  </r>
  <r>
    <s v="B-26125"/>
    <n v="7690"/>
    <n v="1134"/>
    <n v="4"/>
    <x v="0"/>
    <x v="0"/>
    <x v="4"/>
    <x v="188"/>
    <x v="194"/>
    <x v="2"/>
    <x v="7"/>
    <x v="59"/>
    <n v="0.14746423927178154"/>
  </r>
  <r>
    <s v="B-26125"/>
    <n v="912"/>
    <n v="246"/>
    <n v="2"/>
    <x v="2"/>
    <x v="7"/>
    <x v="2"/>
    <x v="188"/>
    <x v="194"/>
    <x v="2"/>
    <x v="7"/>
    <x v="59"/>
    <n v="0.26973684210526316"/>
  </r>
  <r>
    <s v="B-26489"/>
    <n v="2791"/>
    <n v="894"/>
    <n v="14"/>
    <x v="0"/>
    <x v="3"/>
    <x v="4"/>
    <x v="189"/>
    <x v="195"/>
    <x v="4"/>
    <x v="10"/>
    <x v="15"/>
    <n v="0.32031529917592261"/>
  </r>
  <r>
    <s v="B-26489"/>
    <n v="2791"/>
    <n v="894"/>
    <n v="14"/>
    <x v="0"/>
    <x v="3"/>
    <x v="4"/>
    <x v="190"/>
    <x v="196"/>
    <x v="5"/>
    <x v="13"/>
    <x v="59"/>
    <n v="0.32031529917592261"/>
  </r>
  <r>
    <s v="B-26489"/>
    <n v="2791"/>
    <n v="894"/>
    <n v="14"/>
    <x v="0"/>
    <x v="3"/>
    <x v="4"/>
    <x v="191"/>
    <x v="197"/>
    <x v="4"/>
    <x v="8"/>
    <x v="51"/>
    <n v="0.32031529917592261"/>
  </r>
  <r>
    <s v="B-26489"/>
    <n v="6223"/>
    <n v="1478"/>
    <n v="3"/>
    <x v="2"/>
    <x v="7"/>
    <x v="1"/>
    <x v="189"/>
    <x v="195"/>
    <x v="4"/>
    <x v="10"/>
    <x v="15"/>
    <n v="0.23750602603246024"/>
  </r>
  <r>
    <s v="B-26489"/>
    <n v="6223"/>
    <n v="1478"/>
    <n v="3"/>
    <x v="2"/>
    <x v="7"/>
    <x v="1"/>
    <x v="190"/>
    <x v="196"/>
    <x v="5"/>
    <x v="13"/>
    <x v="59"/>
    <n v="0.23750602603246024"/>
  </r>
  <r>
    <s v="B-26489"/>
    <n v="6223"/>
    <n v="1478"/>
    <n v="3"/>
    <x v="2"/>
    <x v="7"/>
    <x v="1"/>
    <x v="191"/>
    <x v="197"/>
    <x v="4"/>
    <x v="8"/>
    <x v="51"/>
    <n v="0.23750602603246024"/>
  </r>
  <r>
    <s v="B-26489"/>
    <n v="8943"/>
    <n v="3121"/>
    <n v="17"/>
    <x v="2"/>
    <x v="5"/>
    <x v="1"/>
    <x v="189"/>
    <x v="195"/>
    <x v="4"/>
    <x v="10"/>
    <x v="15"/>
    <n v="0.34898803533489881"/>
  </r>
  <r>
    <s v="B-26489"/>
    <n v="8943"/>
    <n v="3121"/>
    <n v="17"/>
    <x v="2"/>
    <x v="5"/>
    <x v="1"/>
    <x v="190"/>
    <x v="196"/>
    <x v="5"/>
    <x v="13"/>
    <x v="59"/>
    <n v="0.34898803533489881"/>
  </r>
  <r>
    <s v="B-26489"/>
    <n v="8943"/>
    <n v="3121"/>
    <n v="17"/>
    <x v="2"/>
    <x v="5"/>
    <x v="1"/>
    <x v="191"/>
    <x v="197"/>
    <x v="4"/>
    <x v="8"/>
    <x v="51"/>
    <n v="0.34898803533489881"/>
  </r>
  <r>
    <s v="B-26489"/>
    <n v="3297"/>
    <n v="102"/>
    <n v="12"/>
    <x v="0"/>
    <x v="10"/>
    <x v="3"/>
    <x v="189"/>
    <x v="195"/>
    <x v="4"/>
    <x v="10"/>
    <x v="15"/>
    <n v="3.0937215650591446E-2"/>
  </r>
  <r>
    <s v="B-26489"/>
    <n v="3297"/>
    <n v="102"/>
    <n v="12"/>
    <x v="0"/>
    <x v="10"/>
    <x v="3"/>
    <x v="190"/>
    <x v="196"/>
    <x v="5"/>
    <x v="13"/>
    <x v="59"/>
    <n v="3.0937215650591446E-2"/>
  </r>
  <r>
    <s v="B-26489"/>
    <n v="3297"/>
    <n v="102"/>
    <n v="12"/>
    <x v="0"/>
    <x v="10"/>
    <x v="3"/>
    <x v="191"/>
    <x v="197"/>
    <x v="4"/>
    <x v="8"/>
    <x v="51"/>
    <n v="3.0937215650591446E-2"/>
  </r>
  <r>
    <s v="B-26043"/>
    <n v="8769"/>
    <n v="1989"/>
    <n v="20"/>
    <x v="1"/>
    <x v="8"/>
    <x v="0"/>
    <x v="192"/>
    <x v="198"/>
    <x v="1"/>
    <x v="1"/>
    <x v="11"/>
    <n v="0.22682175846732808"/>
  </r>
  <r>
    <s v="B-26557"/>
    <n v="9057"/>
    <n v="1888"/>
    <n v="19"/>
    <x v="0"/>
    <x v="1"/>
    <x v="4"/>
    <x v="193"/>
    <x v="199"/>
    <x v="0"/>
    <x v="3"/>
    <x v="37"/>
    <n v="0.20845754664900076"/>
  </r>
  <r>
    <s v="B-26557"/>
    <n v="6864"/>
    <n v="3275"/>
    <n v="11"/>
    <x v="2"/>
    <x v="4"/>
    <x v="3"/>
    <x v="193"/>
    <x v="199"/>
    <x v="0"/>
    <x v="3"/>
    <x v="37"/>
    <n v="0.47712703962703962"/>
  </r>
  <r>
    <s v="B-26557"/>
    <n v="9200"/>
    <n v="809"/>
    <n v="13"/>
    <x v="0"/>
    <x v="3"/>
    <x v="4"/>
    <x v="193"/>
    <x v="199"/>
    <x v="0"/>
    <x v="3"/>
    <x v="37"/>
    <n v="8.7934782608695652E-2"/>
  </r>
  <r>
    <s v="B-25243"/>
    <n v="6113"/>
    <n v="2508"/>
    <n v="6"/>
    <x v="0"/>
    <x v="3"/>
    <x v="0"/>
    <x v="194"/>
    <x v="200"/>
    <x v="0"/>
    <x v="3"/>
    <x v="47"/>
    <n v="0.41027318828725667"/>
  </r>
  <r>
    <s v="B-25243"/>
    <n v="7733"/>
    <n v="2784"/>
    <n v="15"/>
    <x v="2"/>
    <x v="4"/>
    <x v="2"/>
    <x v="194"/>
    <x v="200"/>
    <x v="0"/>
    <x v="3"/>
    <x v="47"/>
    <n v="0.36001551791025477"/>
  </r>
  <r>
    <s v="B-25243"/>
    <n v="8524"/>
    <n v="154"/>
    <n v="14"/>
    <x v="2"/>
    <x v="4"/>
    <x v="4"/>
    <x v="194"/>
    <x v="200"/>
    <x v="0"/>
    <x v="3"/>
    <x v="47"/>
    <n v="1.8066635382449556E-2"/>
  </r>
  <r>
    <s v="B-25243"/>
    <n v="6187"/>
    <n v="2344"/>
    <n v="15"/>
    <x v="2"/>
    <x v="11"/>
    <x v="2"/>
    <x v="194"/>
    <x v="200"/>
    <x v="0"/>
    <x v="3"/>
    <x v="47"/>
    <n v="0.37885889768870212"/>
  </r>
  <r>
    <s v="B-26932"/>
    <n v="4364"/>
    <n v="148"/>
    <n v="18"/>
    <x v="2"/>
    <x v="4"/>
    <x v="2"/>
    <x v="195"/>
    <x v="201"/>
    <x v="5"/>
    <x v="13"/>
    <x v="58"/>
    <n v="3.3913840513290557E-2"/>
  </r>
  <r>
    <s v="B-26932"/>
    <n v="736"/>
    <n v="286"/>
    <n v="12"/>
    <x v="1"/>
    <x v="2"/>
    <x v="2"/>
    <x v="195"/>
    <x v="201"/>
    <x v="5"/>
    <x v="13"/>
    <x v="58"/>
    <n v="0.38858695652173914"/>
  </r>
  <r>
    <s v="B-25241"/>
    <n v="9905"/>
    <n v="633"/>
    <n v="17"/>
    <x v="1"/>
    <x v="2"/>
    <x v="2"/>
    <x v="196"/>
    <x v="202"/>
    <x v="4"/>
    <x v="8"/>
    <x v="2"/>
    <n v="6.3907117617364964E-2"/>
  </r>
  <r>
    <s v="B-25241"/>
    <n v="9905"/>
    <n v="633"/>
    <n v="17"/>
    <x v="1"/>
    <x v="2"/>
    <x v="2"/>
    <x v="197"/>
    <x v="203"/>
    <x v="0"/>
    <x v="16"/>
    <x v="4"/>
    <n v="6.3907117617364964E-2"/>
  </r>
  <r>
    <s v="B-25044"/>
    <n v="2493"/>
    <n v="1221"/>
    <n v="9"/>
    <x v="1"/>
    <x v="8"/>
    <x v="3"/>
    <x v="198"/>
    <x v="204"/>
    <x v="1"/>
    <x v="6"/>
    <x v="44"/>
    <n v="0.48977135980746089"/>
  </r>
  <r>
    <s v="B-25044"/>
    <n v="9849"/>
    <n v="963"/>
    <n v="1"/>
    <x v="1"/>
    <x v="2"/>
    <x v="3"/>
    <x v="198"/>
    <x v="204"/>
    <x v="1"/>
    <x v="6"/>
    <x v="44"/>
    <n v="9.7776424002436801E-2"/>
  </r>
  <r>
    <s v="B-26137"/>
    <n v="3423"/>
    <n v="804"/>
    <n v="4"/>
    <x v="0"/>
    <x v="1"/>
    <x v="3"/>
    <x v="199"/>
    <x v="205"/>
    <x v="1"/>
    <x v="17"/>
    <x v="60"/>
    <n v="0.23488168273444346"/>
  </r>
  <r>
    <s v="B-26137"/>
    <n v="3423"/>
    <n v="804"/>
    <n v="4"/>
    <x v="0"/>
    <x v="1"/>
    <x v="3"/>
    <x v="200"/>
    <x v="206"/>
    <x v="4"/>
    <x v="8"/>
    <x v="60"/>
    <n v="0.23488168273444346"/>
  </r>
  <r>
    <s v="B-26137"/>
    <n v="3423"/>
    <n v="804"/>
    <n v="4"/>
    <x v="0"/>
    <x v="1"/>
    <x v="3"/>
    <x v="201"/>
    <x v="207"/>
    <x v="4"/>
    <x v="10"/>
    <x v="10"/>
    <n v="0.23488168273444346"/>
  </r>
  <r>
    <s v="B-26137"/>
    <n v="3423"/>
    <n v="804"/>
    <n v="4"/>
    <x v="0"/>
    <x v="1"/>
    <x v="3"/>
    <x v="8"/>
    <x v="208"/>
    <x v="4"/>
    <x v="8"/>
    <x v="8"/>
    <n v="0.23488168273444346"/>
  </r>
  <r>
    <s v="B-26137"/>
    <n v="3423"/>
    <n v="804"/>
    <n v="4"/>
    <x v="0"/>
    <x v="1"/>
    <x v="3"/>
    <x v="202"/>
    <x v="209"/>
    <x v="5"/>
    <x v="13"/>
    <x v="35"/>
    <n v="0.23488168273444346"/>
  </r>
  <r>
    <s v="B-25545"/>
    <n v="3900"/>
    <n v="115"/>
    <n v="9"/>
    <x v="2"/>
    <x v="5"/>
    <x v="4"/>
    <x v="203"/>
    <x v="210"/>
    <x v="1"/>
    <x v="6"/>
    <x v="59"/>
    <n v="2.9487179487179487E-2"/>
  </r>
  <r>
    <s v="B-26800"/>
    <n v="8568"/>
    <n v="2419"/>
    <n v="11"/>
    <x v="0"/>
    <x v="0"/>
    <x v="0"/>
    <x v="204"/>
    <x v="211"/>
    <x v="2"/>
    <x v="7"/>
    <x v="4"/>
    <n v="0.28232959850606909"/>
  </r>
  <r>
    <s v="B-26800"/>
    <n v="3283"/>
    <n v="71"/>
    <n v="6"/>
    <x v="1"/>
    <x v="2"/>
    <x v="2"/>
    <x v="204"/>
    <x v="211"/>
    <x v="2"/>
    <x v="7"/>
    <x v="4"/>
    <n v="2.1626561072190069E-2"/>
  </r>
  <r>
    <s v="B-26987"/>
    <n v="7643"/>
    <n v="3720"/>
    <n v="19"/>
    <x v="0"/>
    <x v="0"/>
    <x v="2"/>
    <x v="205"/>
    <x v="212"/>
    <x v="4"/>
    <x v="8"/>
    <x v="58"/>
    <n v="0.48671987439487113"/>
  </r>
  <r>
    <s v="B-26144"/>
    <n v="3461"/>
    <n v="1537"/>
    <n v="15"/>
    <x v="2"/>
    <x v="7"/>
    <x v="2"/>
    <x v="206"/>
    <x v="213"/>
    <x v="1"/>
    <x v="1"/>
    <x v="19"/>
    <n v="0.444091303091592"/>
  </r>
  <r>
    <s v="B-26144"/>
    <n v="5714"/>
    <n v="1438"/>
    <n v="6"/>
    <x v="0"/>
    <x v="0"/>
    <x v="3"/>
    <x v="206"/>
    <x v="213"/>
    <x v="1"/>
    <x v="1"/>
    <x v="19"/>
    <n v="0.25166258312915646"/>
  </r>
  <r>
    <s v="B-26144"/>
    <n v="3853"/>
    <n v="1457"/>
    <n v="10"/>
    <x v="1"/>
    <x v="9"/>
    <x v="4"/>
    <x v="206"/>
    <x v="213"/>
    <x v="1"/>
    <x v="1"/>
    <x v="19"/>
    <n v="0.37814689852063327"/>
  </r>
  <r>
    <s v="B-25406"/>
    <n v="6016"/>
    <n v="431"/>
    <n v="20"/>
    <x v="1"/>
    <x v="2"/>
    <x v="0"/>
    <x v="207"/>
    <x v="214"/>
    <x v="1"/>
    <x v="1"/>
    <x v="20"/>
    <n v="7.1642287234042548E-2"/>
  </r>
  <r>
    <s v="B-25658"/>
    <n v="1290"/>
    <n v="204"/>
    <n v="12"/>
    <x v="1"/>
    <x v="6"/>
    <x v="0"/>
    <x v="208"/>
    <x v="215"/>
    <x v="2"/>
    <x v="2"/>
    <x v="47"/>
    <n v="0.15813953488372093"/>
  </r>
  <r>
    <s v="B-25658"/>
    <n v="1290"/>
    <n v="204"/>
    <n v="12"/>
    <x v="1"/>
    <x v="6"/>
    <x v="0"/>
    <x v="209"/>
    <x v="216"/>
    <x v="3"/>
    <x v="11"/>
    <x v="1"/>
    <n v="0.15813953488372093"/>
  </r>
  <r>
    <s v="B-25733"/>
    <n v="4569"/>
    <n v="1693"/>
    <n v="10"/>
    <x v="0"/>
    <x v="1"/>
    <x v="0"/>
    <x v="210"/>
    <x v="217"/>
    <x v="1"/>
    <x v="6"/>
    <x v="57"/>
    <n v="0.37054059969358721"/>
  </r>
  <r>
    <s v="B-26993"/>
    <n v="3083"/>
    <n v="1151"/>
    <n v="16"/>
    <x v="2"/>
    <x v="11"/>
    <x v="1"/>
    <x v="211"/>
    <x v="218"/>
    <x v="0"/>
    <x v="3"/>
    <x v="39"/>
    <n v="0.3733376581252027"/>
  </r>
  <r>
    <s v="B-26964"/>
    <n v="3522"/>
    <n v="898"/>
    <n v="15"/>
    <x v="1"/>
    <x v="2"/>
    <x v="3"/>
    <x v="212"/>
    <x v="219"/>
    <x v="5"/>
    <x v="14"/>
    <x v="19"/>
    <n v="0.25496876774559907"/>
  </r>
  <r>
    <s v="B-26964"/>
    <n v="3522"/>
    <n v="898"/>
    <n v="15"/>
    <x v="1"/>
    <x v="2"/>
    <x v="3"/>
    <x v="213"/>
    <x v="220"/>
    <x v="3"/>
    <x v="4"/>
    <x v="12"/>
    <n v="0.25496876774559907"/>
  </r>
  <r>
    <s v="B-26955"/>
    <n v="7301"/>
    <n v="3602"/>
    <n v="3"/>
    <x v="1"/>
    <x v="9"/>
    <x v="1"/>
    <x v="214"/>
    <x v="221"/>
    <x v="4"/>
    <x v="15"/>
    <x v="44"/>
    <n v="0.49335707437337351"/>
  </r>
  <r>
    <s v="B-26059"/>
    <n v="4462"/>
    <n v="121"/>
    <n v="8"/>
    <x v="0"/>
    <x v="3"/>
    <x v="4"/>
    <x v="215"/>
    <x v="222"/>
    <x v="1"/>
    <x v="6"/>
    <x v="39"/>
    <n v="2.7117884356790675E-2"/>
  </r>
  <r>
    <s v="B-26059"/>
    <n v="6212"/>
    <n v="1881"/>
    <n v="17"/>
    <x v="0"/>
    <x v="10"/>
    <x v="4"/>
    <x v="215"/>
    <x v="222"/>
    <x v="1"/>
    <x v="6"/>
    <x v="39"/>
    <n v="0.30280103026400518"/>
  </r>
  <r>
    <s v="B-26806"/>
    <n v="4027"/>
    <n v="1386"/>
    <n v="3"/>
    <x v="2"/>
    <x v="11"/>
    <x v="2"/>
    <x v="216"/>
    <x v="223"/>
    <x v="0"/>
    <x v="16"/>
    <x v="38"/>
    <n v="0.34417680655574867"/>
  </r>
  <r>
    <s v="B-26299"/>
    <n v="1676"/>
    <n v="330"/>
    <n v="14"/>
    <x v="0"/>
    <x v="3"/>
    <x v="2"/>
    <x v="217"/>
    <x v="224"/>
    <x v="5"/>
    <x v="14"/>
    <x v="45"/>
    <n v="0.19689737470167065"/>
  </r>
  <r>
    <s v="B-26299"/>
    <n v="3927"/>
    <n v="1133"/>
    <n v="12"/>
    <x v="2"/>
    <x v="11"/>
    <x v="4"/>
    <x v="217"/>
    <x v="224"/>
    <x v="5"/>
    <x v="14"/>
    <x v="45"/>
    <n v="0.28851540616246496"/>
  </r>
  <r>
    <s v="B-26299"/>
    <n v="2776"/>
    <n v="887"/>
    <n v="9"/>
    <x v="0"/>
    <x v="10"/>
    <x v="1"/>
    <x v="217"/>
    <x v="224"/>
    <x v="5"/>
    <x v="14"/>
    <x v="45"/>
    <n v="0.31952449567723346"/>
  </r>
  <r>
    <s v="B-26743"/>
    <n v="7684"/>
    <n v="1157"/>
    <n v="12"/>
    <x v="2"/>
    <x v="7"/>
    <x v="4"/>
    <x v="218"/>
    <x v="225"/>
    <x v="1"/>
    <x v="1"/>
    <x v="20"/>
    <n v="0.15057261842790212"/>
  </r>
  <r>
    <s v="B-26743"/>
    <n v="7684"/>
    <n v="1157"/>
    <n v="12"/>
    <x v="2"/>
    <x v="7"/>
    <x v="4"/>
    <x v="219"/>
    <x v="226"/>
    <x v="2"/>
    <x v="2"/>
    <x v="53"/>
    <n v="0.15057261842790212"/>
  </r>
  <r>
    <s v="B-26743"/>
    <n v="7684"/>
    <n v="1157"/>
    <n v="12"/>
    <x v="2"/>
    <x v="7"/>
    <x v="4"/>
    <x v="27"/>
    <x v="227"/>
    <x v="5"/>
    <x v="12"/>
    <x v="21"/>
    <n v="0.15057261842790212"/>
  </r>
  <r>
    <s v="B-26757"/>
    <n v="6008"/>
    <n v="2498"/>
    <n v="17"/>
    <x v="0"/>
    <x v="10"/>
    <x v="3"/>
    <x v="176"/>
    <x v="228"/>
    <x v="0"/>
    <x v="0"/>
    <x v="58"/>
    <n v="0.41577896138482023"/>
  </r>
  <r>
    <s v="B-26772"/>
    <n v="7344"/>
    <n v="2598"/>
    <n v="20"/>
    <x v="2"/>
    <x v="11"/>
    <x v="4"/>
    <x v="220"/>
    <x v="229"/>
    <x v="4"/>
    <x v="8"/>
    <x v="40"/>
    <n v="0.35375816993464054"/>
  </r>
  <r>
    <s v="B-26088"/>
    <n v="6932"/>
    <n v="3218"/>
    <n v="20"/>
    <x v="1"/>
    <x v="2"/>
    <x v="4"/>
    <x v="221"/>
    <x v="230"/>
    <x v="0"/>
    <x v="3"/>
    <x v="60"/>
    <n v="0.46422388920946334"/>
  </r>
  <r>
    <s v="B-26319"/>
    <n v="7748"/>
    <n v="1706"/>
    <n v="16"/>
    <x v="0"/>
    <x v="0"/>
    <x v="2"/>
    <x v="222"/>
    <x v="231"/>
    <x v="5"/>
    <x v="13"/>
    <x v="8"/>
    <n v="0.22018585441404234"/>
  </r>
  <r>
    <s v="B-26319"/>
    <n v="6381"/>
    <n v="2763"/>
    <n v="20"/>
    <x v="1"/>
    <x v="6"/>
    <x v="0"/>
    <x v="222"/>
    <x v="231"/>
    <x v="5"/>
    <x v="13"/>
    <x v="8"/>
    <n v="0.43300423131170662"/>
  </r>
  <r>
    <s v="B-26319"/>
    <n v="992"/>
    <n v="64"/>
    <n v="6"/>
    <x v="0"/>
    <x v="10"/>
    <x v="3"/>
    <x v="222"/>
    <x v="231"/>
    <x v="5"/>
    <x v="13"/>
    <x v="8"/>
    <n v="6.4516129032258063E-2"/>
  </r>
  <r>
    <s v="B-25364"/>
    <n v="8649"/>
    <n v="2631"/>
    <n v="13"/>
    <x v="0"/>
    <x v="3"/>
    <x v="2"/>
    <x v="223"/>
    <x v="232"/>
    <x v="3"/>
    <x v="11"/>
    <x v="10"/>
    <n v="0.30419701699618451"/>
  </r>
  <r>
    <s v="B-25364"/>
    <n v="8649"/>
    <n v="2631"/>
    <n v="13"/>
    <x v="0"/>
    <x v="3"/>
    <x v="2"/>
    <x v="224"/>
    <x v="233"/>
    <x v="2"/>
    <x v="7"/>
    <x v="57"/>
    <n v="0.30419701699618451"/>
  </r>
  <r>
    <s v="B-25655"/>
    <n v="4099"/>
    <n v="52"/>
    <n v="18"/>
    <x v="0"/>
    <x v="3"/>
    <x v="0"/>
    <x v="127"/>
    <x v="234"/>
    <x v="2"/>
    <x v="5"/>
    <x v="25"/>
    <n v="1.2686020980727006E-2"/>
  </r>
  <r>
    <s v="B-26864"/>
    <n v="2539"/>
    <n v="324"/>
    <n v="5"/>
    <x v="0"/>
    <x v="0"/>
    <x v="0"/>
    <x v="225"/>
    <x v="235"/>
    <x v="3"/>
    <x v="11"/>
    <x v="49"/>
    <n v="0.12760929499803073"/>
  </r>
  <r>
    <s v="B-26019"/>
    <n v="9845"/>
    <n v="3062"/>
    <n v="9"/>
    <x v="1"/>
    <x v="8"/>
    <x v="4"/>
    <x v="226"/>
    <x v="236"/>
    <x v="0"/>
    <x v="3"/>
    <x v="30"/>
    <n v="0.31102082275266635"/>
  </r>
  <r>
    <s v="B-25849"/>
    <n v="2901"/>
    <n v="1411"/>
    <n v="2"/>
    <x v="1"/>
    <x v="8"/>
    <x v="1"/>
    <x v="227"/>
    <x v="237"/>
    <x v="4"/>
    <x v="10"/>
    <x v="4"/>
    <n v="0.48638400551533956"/>
  </r>
  <r>
    <s v="B-25849"/>
    <n v="2901"/>
    <n v="1411"/>
    <n v="2"/>
    <x v="1"/>
    <x v="8"/>
    <x v="1"/>
    <x v="228"/>
    <x v="238"/>
    <x v="3"/>
    <x v="4"/>
    <x v="54"/>
    <n v="0.48638400551533956"/>
  </r>
  <r>
    <s v="B-25849"/>
    <n v="6934"/>
    <n v="1152"/>
    <n v="6"/>
    <x v="1"/>
    <x v="2"/>
    <x v="3"/>
    <x v="227"/>
    <x v="237"/>
    <x v="4"/>
    <x v="10"/>
    <x v="4"/>
    <n v="0.16613787135852323"/>
  </r>
  <r>
    <s v="B-25849"/>
    <n v="6934"/>
    <n v="1152"/>
    <n v="6"/>
    <x v="1"/>
    <x v="2"/>
    <x v="3"/>
    <x v="228"/>
    <x v="238"/>
    <x v="3"/>
    <x v="4"/>
    <x v="54"/>
    <n v="0.16613787135852323"/>
  </r>
  <r>
    <s v="B-25829"/>
    <n v="9640"/>
    <n v="2606"/>
    <n v="2"/>
    <x v="2"/>
    <x v="11"/>
    <x v="3"/>
    <x v="229"/>
    <x v="239"/>
    <x v="1"/>
    <x v="17"/>
    <x v="4"/>
    <n v="0.27033195020746886"/>
  </r>
  <r>
    <s v="B-26065"/>
    <n v="7930"/>
    <n v="1981"/>
    <n v="13"/>
    <x v="2"/>
    <x v="5"/>
    <x v="3"/>
    <x v="230"/>
    <x v="240"/>
    <x v="5"/>
    <x v="14"/>
    <x v="23"/>
    <n v="0.24981084489281211"/>
  </r>
  <r>
    <s v="B-26065"/>
    <n v="7930"/>
    <n v="1981"/>
    <n v="13"/>
    <x v="2"/>
    <x v="5"/>
    <x v="3"/>
    <x v="231"/>
    <x v="241"/>
    <x v="1"/>
    <x v="6"/>
    <x v="19"/>
    <n v="0.24981084489281211"/>
  </r>
  <r>
    <s v="B-25267"/>
    <n v="9894"/>
    <n v="829"/>
    <n v="1"/>
    <x v="1"/>
    <x v="9"/>
    <x v="4"/>
    <x v="232"/>
    <x v="242"/>
    <x v="3"/>
    <x v="9"/>
    <x v="40"/>
    <n v="8.3788154437032539E-2"/>
  </r>
  <r>
    <s v="B-25267"/>
    <n v="4534"/>
    <n v="2235"/>
    <n v="4"/>
    <x v="2"/>
    <x v="4"/>
    <x v="4"/>
    <x v="232"/>
    <x v="242"/>
    <x v="3"/>
    <x v="9"/>
    <x v="40"/>
    <n v="0.49294221438023822"/>
  </r>
  <r>
    <s v="B-25972"/>
    <n v="4911"/>
    <n v="186"/>
    <n v="20"/>
    <x v="0"/>
    <x v="10"/>
    <x v="1"/>
    <x v="233"/>
    <x v="243"/>
    <x v="2"/>
    <x v="2"/>
    <x v="33"/>
    <n v="3.7874160048869884E-2"/>
  </r>
  <r>
    <s v="B-25972"/>
    <n v="531"/>
    <n v="189"/>
    <n v="20"/>
    <x v="2"/>
    <x v="11"/>
    <x v="1"/>
    <x v="233"/>
    <x v="243"/>
    <x v="2"/>
    <x v="2"/>
    <x v="33"/>
    <n v="0.3559322033898305"/>
  </r>
  <r>
    <s v="B-25511"/>
    <n v="9707"/>
    <n v="3483"/>
    <n v="10"/>
    <x v="0"/>
    <x v="0"/>
    <x v="2"/>
    <x v="234"/>
    <x v="244"/>
    <x v="1"/>
    <x v="17"/>
    <x v="52"/>
    <n v="0.35881322756773465"/>
  </r>
  <r>
    <s v="B-25511"/>
    <n v="8521"/>
    <n v="2584"/>
    <n v="7"/>
    <x v="1"/>
    <x v="8"/>
    <x v="4"/>
    <x v="234"/>
    <x v="244"/>
    <x v="1"/>
    <x v="17"/>
    <x v="52"/>
    <n v="0.30325079216054451"/>
  </r>
  <r>
    <s v="B-25744"/>
    <n v="8438"/>
    <n v="3427"/>
    <n v="12"/>
    <x v="1"/>
    <x v="9"/>
    <x v="3"/>
    <x v="213"/>
    <x v="245"/>
    <x v="2"/>
    <x v="2"/>
    <x v="12"/>
    <n v="0.40613889547286086"/>
  </r>
  <r>
    <s v="B-25744"/>
    <n v="1689"/>
    <n v="109"/>
    <n v="9"/>
    <x v="0"/>
    <x v="0"/>
    <x v="0"/>
    <x v="213"/>
    <x v="245"/>
    <x v="2"/>
    <x v="2"/>
    <x v="12"/>
    <n v="6.4535227945529905E-2"/>
  </r>
  <r>
    <s v="B-25744"/>
    <n v="3936"/>
    <n v="1626"/>
    <n v="14"/>
    <x v="1"/>
    <x v="8"/>
    <x v="4"/>
    <x v="213"/>
    <x v="245"/>
    <x v="2"/>
    <x v="2"/>
    <x v="12"/>
    <n v="0.41310975609756095"/>
  </r>
  <r>
    <s v="B-26805"/>
    <n v="7664"/>
    <n v="1753"/>
    <n v="19"/>
    <x v="0"/>
    <x v="10"/>
    <x v="1"/>
    <x v="235"/>
    <x v="246"/>
    <x v="5"/>
    <x v="13"/>
    <x v="0"/>
    <n v="0.22873173277661796"/>
  </r>
  <r>
    <s v="B-25620"/>
    <n v="721"/>
    <n v="258"/>
    <n v="13"/>
    <x v="0"/>
    <x v="3"/>
    <x v="1"/>
    <x v="236"/>
    <x v="247"/>
    <x v="1"/>
    <x v="17"/>
    <x v="59"/>
    <n v="0.3578363384188627"/>
  </r>
  <r>
    <s v="B-25620"/>
    <n v="721"/>
    <n v="258"/>
    <n v="13"/>
    <x v="0"/>
    <x v="3"/>
    <x v="1"/>
    <x v="237"/>
    <x v="248"/>
    <x v="2"/>
    <x v="2"/>
    <x v="33"/>
    <n v="0.3578363384188627"/>
  </r>
  <r>
    <s v="B-25620"/>
    <n v="8364"/>
    <n v="3055"/>
    <n v="17"/>
    <x v="0"/>
    <x v="3"/>
    <x v="3"/>
    <x v="236"/>
    <x v="247"/>
    <x v="1"/>
    <x v="17"/>
    <x v="59"/>
    <n v="0.36525585844093733"/>
  </r>
  <r>
    <s v="B-25620"/>
    <n v="8364"/>
    <n v="3055"/>
    <n v="17"/>
    <x v="0"/>
    <x v="3"/>
    <x v="3"/>
    <x v="237"/>
    <x v="248"/>
    <x v="2"/>
    <x v="2"/>
    <x v="33"/>
    <n v="0.36525585844093733"/>
  </r>
  <r>
    <s v="B-25620"/>
    <n v="5234"/>
    <n v="2021"/>
    <n v="15"/>
    <x v="2"/>
    <x v="11"/>
    <x v="2"/>
    <x v="236"/>
    <x v="247"/>
    <x v="1"/>
    <x v="17"/>
    <x v="59"/>
    <n v="0.38612915552158961"/>
  </r>
  <r>
    <s v="B-25620"/>
    <n v="5234"/>
    <n v="2021"/>
    <n v="15"/>
    <x v="2"/>
    <x v="11"/>
    <x v="2"/>
    <x v="237"/>
    <x v="248"/>
    <x v="2"/>
    <x v="2"/>
    <x v="33"/>
    <n v="0.38612915552158961"/>
  </r>
  <r>
    <s v="B-25325"/>
    <n v="3944"/>
    <n v="1559"/>
    <n v="18"/>
    <x v="0"/>
    <x v="10"/>
    <x v="3"/>
    <x v="238"/>
    <x v="249"/>
    <x v="3"/>
    <x v="11"/>
    <x v="47"/>
    <n v="0.39528397565922924"/>
  </r>
  <r>
    <s v="B-25325"/>
    <n v="6711"/>
    <n v="1045"/>
    <n v="12"/>
    <x v="1"/>
    <x v="2"/>
    <x v="3"/>
    <x v="238"/>
    <x v="249"/>
    <x v="3"/>
    <x v="11"/>
    <x v="47"/>
    <n v="0.15571449858441366"/>
  </r>
  <r>
    <s v="B-25325"/>
    <n v="5031"/>
    <n v="714"/>
    <n v="4"/>
    <x v="2"/>
    <x v="4"/>
    <x v="3"/>
    <x v="238"/>
    <x v="249"/>
    <x v="3"/>
    <x v="11"/>
    <x v="47"/>
    <n v="0.14192009540846751"/>
  </r>
  <r>
    <s v="B-25325"/>
    <n v="6295"/>
    <n v="2469"/>
    <n v="14"/>
    <x v="1"/>
    <x v="9"/>
    <x v="2"/>
    <x v="238"/>
    <x v="249"/>
    <x v="3"/>
    <x v="11"/>
    <x v="47"/>
    <n v="0.39221604447974584"/>
  </r>
  <r>
    <s v="B-25131"/>
    <n v="9654"/>
    <n v="4111"/>
    <n v="1"/>
    <x v="1"/>
    <x v="8"/>
    <x v="0"/>
    <x v="45"/>
    <x v="250"/>
    <x v="3"/>
    <x v="11"/>
    <x v="33"/>
    <n v="0.42583385125336648"/>
  </r>
  <r>
    <s v="B-25131"/>
    <n v="3112"/>
    <n v="1065"/>
    <n v="20"/>
    <x v="1"/>
    <x v="9"/>
    <x v="4"/>
    <x v="45"/>
    <x v="250"/>
    <x v="3"/>
    <x v="11"/>
    <x v="33"/>
    <n v="0.34222365038560409"/>
  </r>
  <r>
    <s v="B-26654"/>
    <n v="7838"/>
    <n v="1142"/>
    <n v="13"/>
    <x v="0"/>
    <x v="10"/>
    <x v="0"/>
    <x v="239"/>
    <x v="251"/>
    <x v="3"/>
    <x v="11"/>
    <x v="51"/>
    <n v="0.14570043378412861"/>
  </r>
  <r>
    <s v="B-26654"/>
    <n v="9300"/>
    <n v="3146"/>
    <n v="6"/>
    <x v="0"/>
    <x v="10"/>
    <x v="3"/>
    <x v="239"/>
    <x v="251"/>
    <x v="3"/>
    <x v="11"/>
    <x v="51"/>
    <n v="0.3382795698924731"/>
  </r>
  <r>
    <s v="B-26654"/>
    <n v="1733"/>
    <n v="133"/>
    <n v="17"/>
    <x v="1"/>
    <x v="8"/>
    <x v="1"/>
    <x v="239"/>
    <x v="251"/>
    <x v="3"/>
    <x v="11"/>
    <x v="51"/>
    <n v="7.6745527986151182E-2"/>
  </r>
  <r>
    <s v="B-26195"/>
    <n v="874"/>
    <n v="235"/>
    <n v="15"/>
    <x v="1"/>
    <x v="9"/>
    <x v="1"/>
    <x v="240"/>
    <x v="252"/>
    <x v="2"/>
    <x v="7"/>
    <x v="23"/>
    <n v="0.26887871853546913"/>
  </r>
  <r>
    <s v="B-26195"/>
    <n v="874"/>
    <n v="235"/>
    <n v="15"/>
    <x v="1"/>
    <x v="9"/>
    <x v="1"/>
    <x v="241"/>
    <x v="253"/>
    <x v="0"/>
    <x v="0"/>
    <x v="22"/>
    <n v="0.26887871853546913"/>
  </r>
  <r>
    <s v="B-25842"/>
    <n v="1248"/>
    <n v="584"/>
    <n v="13"/>
    <x v="1"/>
    <x v="2"/>
    <x v="2"/>
    <x v="242"/>
    <x v="254"/>
    <x v="5"/>
    <x v="12"/>
    <x v="10"/>
    <n v="0.46794871794871795"/>
  </r>
  <r>
    <s v="B-25842"/>
    <n v="1248"/>
    <n v="584"/>
    <n v="13"/>
    <x v="1"/>
    <x v="2"/>
    <x v="2"/>
    <x v="243"/>
    <x v="255"/>
    <x v="3"/>
    <x v="11"/>
    <x v="29"/>
    <n v="0.46794871794871795"/>
  </r>
  <r>
    <s v="B-25842"/>
    <n v="3669"/>
    <n v="154"/>
    <n v="14"/>
    <x v="1"/>
    <x v="6"/>
    <x v="2"/>
    <x v="242"/>
    <x v="254"/>
    <x v="5"/>
    <x v="12"/>
    <x v="10"/>
    <n v="4.1973289724720635E-2"/>
  </r>
  <r>
    <s v="B-25842"/>
    <n v="3669"/>
    <n v="154"/>
    <n v="14"/>
    <x v="1"/>
    <x v="6"/>
    <x v="2"/>
    <x v="243"/>
    <x v="255"/>
    <x v="3"/>
    <x v="11"/>
    <x v="29"/>
    <n v="4.1973289724720635E-2"/>
  </r>
  <r>
    <s v="B-25842"/>
    <n v="514"/>
    <n v="109"/>
    <n v="15"/>
    <x v="1"/>
    <x v="8"/>
    <x v="1"/>
    <x v="242"/>
    <x v="254"/>
    <x v="5"/>
    <x v="12"/>
    <x v="10"/>
    <n v="0.21206225680933852"/>
  </r>
  <r>
    <s v="B-25842"/>
    <n v="514"/>
    <n v="109"/>
    <n v="15"/>
    <x v="1"/>
    <x v="8"/>
    <x v="1"/>
    <x v="243"/>
    <x v="255"/>
    <x v="3"/>
    <x v="11"/>
    <x v="29"/>
    <n v="0.21206225680933852"/>
  </r>
  <r>
    <s v="B-25851"/>
    <n v="3273"/>
    <n v="85"/>
    <n v="16"/>
    <x v="0"/>
    <x v="10"/>
    <x v="0"/>
    <x v="244"/>
    <x v="256"/>
    <x v="5"/>
    <x v="13"/>
    <x v="55"/>
    <n v="2.5970058050717997E-2"/>
  </r>
  <r>
    <s v="B-25427"/>
    <n v="5035"/>
    <n v="2008"/>
    <n v="2"/>
    <x v="2"/>
    <x v="5"/>
    <x v="4"/>
    <x v="245"/>
    <x v="257"/>
    <x v="0"/>
    <x v="0"/>
    <x v="32"/>
    <n v="0.39880834160873885"/>
  </r>
  <r>
    <s v="B-25427"/>
    <n v="7702"/>
    <n v="60"/>
    <n v="19"/>
    <x v="0"/>
    <x v="1"/>
    <x v="0"/>
    <x v="245"/>
    <x v="257"/>
    <x v="0"/>
    <x v="0"/>
    <x v="32"/>
    <n v="7.7901843676967024E-3"/>
  </r>
  <r>
    <s v="B-25427"/>
    <n v="9884"/>
    <n v="4446"/>
    <n v="7"/>
    <x v="0"/>
    <x v="1"/>
    <x v="2"/>
    <x v="245"/>
    <x v="257"/>
    <x v="0"/>
    <x v="0"/>
    <x v="32"/>
    <n v="0.44981788749494134"/>
  </r>
  <r>
    <s v="B-26224"/>
    <n v="5564"/>
    <n v="175"/>
    <n v="11"/>
    <x v="0"/>
    <x v="3"/>
    <x v="4"/>
    <x v="246"/>
    <x v="258"/>
    <x v="1"/>
    <x v="1"/>
    <x v="54"/>
    <n v="3.145219266714594E-2"/>
  </r>
  <r>
    <s v="B-26224"/>
    <n v="5564"/>
    <n v="175"/>
    <n v="11"/>
    <x v="0"/>
    <x v="3"/>
    <x v="4"/>
    <x v="247"/>
    <x v="259"/>
    <x v="4"/>
    <x v="15"/>
    <x v="39"/>
    <n v="3.145219266714594E-2"/>
  </r>
  <r>
    <s v="B-26224"/>
    <n v="5564"/>
    <n v="175"/>
    <n v="11"/>
    <x v="0"/>
    <x v="3"/>
    <x v="4"/>
    <x v="248"/>
    <x v="260"/>
    <x v="0"/>
    <x v="0"/>
    <x v="16"/>
    <n v="3.145219266714594E-2"/>
  </r>
  <r>
    <s v="B-26224"/>
    <n v="3953"/>
    <n v="1776"/>
    <n v="15"/>
    <x v="0"/>
    <x v="0"/>
    <x v="0"/>
    <x v="246"/>
    <x v="258"/>
    <x v="1"/>
    <x v="1"/>
    <x v="54"/>
    <n v="0.44927902858588414"/>
  </r>
  <r>
    <s v="B-26224"/>
    <n v="3953"/>
    <n v="1776"/>
    <n v="15"/>
    <x v="0"/>
    <x v="0"/>
    <x v="0"/>
    <x v="247"/>
    <x v="259"/>
    <x v="4"/>
    <x v="15"/>
    <x v="39"/>
    <n v="0.44927902858588414"/>
  </r>
  <r>
    <s v="B-26224"/>
    <n v="3953"/>
    <n v="1776"/>
    <n v="15"/>
    <x v="0"/>
    <x v="0"/>
    <x v="0"/>
    <x v="248"/>
    <x v="260"/>
    <x v="0"/>
    <x v="0"/>
    <x v="16"/>
    <n v="0.44927902858588414"/>
  </r>
  <r>
    <s v="B-26896"/>
    <n v="6488"/>
    <n v="1591"/>
    <n v="18"/>
    <x v="0"/>
    <x v="1"/>
    <x v="2"/>
    <x v="249"/>
    <x v="261"/>
    <x v="4"/>
    <x v="8"/>
    <x v="23"/>
    <n v="0.24522194821208385"/>
  </r>
  <r>
    <s v="B-26896"/>
    <n v="6488"/>
    <n v="1591"/>
    <n v="18"/>
    <x v="0"/>
    <x v="1"/>
    <x v="2"/>
    <x v="250"/>
    <x v="262"/>
    <x v="4"/>
    <x v="15"/>
    <x v="11"/>
    <n v="0.24522194821208385"/>
  </r>
  <r>
    <s v="B-26469"/>
    <n v="7856"/>
    <n v="3699"/>
    <n v="17"/>
    <x v="0"/>
    <x v="0"/>
    <x v="0"/>
    <x v="118"/>
    <x v="263"/>
    <x v="0"/>
    <x v="3"/>
    <x v="34"/>
    <n v="0.47085030549898166"/>
  </r>
  <r>
    <s v="B-26469"/>
    <n v="1165"/>
    <n v="51"/>
    <n v="3"/>
    <x v="1"/>
    <x v="2"/>
    <x v="2"/>
    <x v="118"/>
    <x v="263"/>
    <x v="0"/>
    <x v="3"/>
    <x v="34"/>
    <n v="4.3776824034334763E-2"/>
  </r>
  <r>
    <s v="B-26219"/>
    <n v="9386"/>
    <n v="2555"/>
    <n v="20"/>
    <x v="1"/>
    <x v="6"/>
    <x v="3"/>
    <x v="251"/>
    <x v="264"/>
    <x v="3"/>
    <x v="9"/>
    <x v="38"/>
    <n v="0.27221393564883872"/>
  </r>
  <r>
    <s v="B-26219"/>
    <n v="9386"/>
    <n v="2555"/>
    <n v="20"/>
    <x v="1"/>
    <x v="6"/>
    <x v="3"/>
    <x v="117"/>
    <x v="265"/>
    <x v="5"/>
    <x v="14"/>
    <x v="15"/>
    <n v="0.27221393564883872"/>
  </r>
  <r>
    <s v="B-26119"/>
    <n v="3956"/>
    <n v="142"/>
    <n v="12"/>
    <x v="1"/>
    <x v="2"/>
    <x v="1"/>
    <x v="100"/>
    <x v="266"/>
    <x v="0"/>
    <x v="16"/>
    <x v="48"/>
    <n v="3.5894843276036398E-2"/>
  </r>
  <r>
    <s v="B-26119"/>
    <n v="3956"/>
    <n v="142"/>
    <n v="12"/>
    <x v="1"/>
    <x v="2"/>
    <x v="1"/>
    <x v="252"/>
    <x v="267"/>
    <x v="4"/>
    <x v="8"/>
    <x v="1"/>
    <n v="3.5894843276036398E-2"/>
  </r>
  <r>
    <s v="B-26119"/>
    <n v="6449"/>
    <n v="2628"/>
    <n v="11"/>
    <x v="2"/>
    <x v="11"/>
    <x v="2"/>
    <x v="100"/>
    <x v="266"/>
    <x v="0"/>
    <x v="16"/>
    <x v="48"/>
    <n v="0.40750503954101414"/>
  </r>
  <r>
    <s v="B-26119"/>
    <n v="6449"/>
    <n v="2628"/>
    <n v="11"/>
    <x v="2"/>
    <x v="11"/>
    <x v="2"/>
    <x v="252"/>
    <x v="267"/>
    <x v="4"/>
    <x v="8"/>
    <x v="1"/>
    <n v="0.40750503954101414"/>
  </r>
  <r>
    <s v="B-26988"/>
    <n v="6255"/>
    <n v="437"/>
    <n v="18"/>
    <x v="1"/>
    <x v="6"/>
    <x v="4"/>
    <x v="253"/>
    <x v="268"/>
    <x v="2"/>
    <x v="7"/>
    <x v="13"/>
    <n v="6.9864108713029574E-2"/>
  </r>
  <r>
    <s v="B-26988"/>
    <n v="2109"/>
    <n v="681"/>
    <n v="20"/>
    <x v="0"/>
    <x v="0"/>
    <x v="0"/>
    <x v="253"/>
    <x v="268"/>
    <x v="2"/>
    <x v="7"/>
    <x v="13"/>
    <n v="0.3229018492176387"/>
  </r>
  <r>
    <s v="B-25596"/>
    <n v="6707"/>
    <n v="1041"/>
    <n v="20"/>
    <x v="0"/>
    <x v="10"/>
    <x v="3"/>
    <x v="254"/>
    <x v="269"/>
    <x v="4"/>
    <x v="10"/>
    <x v="43"/>
    <n v="0.15521097360966155"/>
  </r>
  <r>
    <s v="B-26845"/>
    <n v="7633"/>
    <n v="184"/>
    <n v="13"/>
    <x v="1"/>
    <x v="2"/>
    <x v="4"/>
    <x v="255"/>
    <x v="270"/>
    <x v="1"/>
    <x v="6"/>
    <x v="43"/>
    <n v="2.4105856150923623E-2"/>
  </r>
  <r>
    <s v="B-25099"/>
    <n v="975"/>
    <n v="224"/>
    <n v="18"/>
    <x v="1"/>
    <x v="2"/>
    <x v="4"/>
    <x v="256"/>
    <x v="271"/>
    <x v="3"/>
    <x v="9"/>
    <x v="13"/>
    <n v="0.22974358974358974"/>
  </r>
  <r>
    <s v="B-25099"/>
    <n v="4492"/>
    <n v="1450"/>
    <n v="7"/>
    <x v="2"/>
    <x v="4"/>
    <x v="2"/>
    <x v="256"/>
    <x v="271"/>
    <x v="3"/>
    <x v="9"/>
    <x v="13"/>
    <n v="0.32279608192341941"/>
  </r>
  <r>
    <s v="B-25099"/>
    <n v="7957"/>
    <n v="2834"/>
    <n v="12"/>
    <x v="2"/>
    <x v="5"/>
    <x v="0"/>
    <x v="256"/>
    <x v="271"/>
    <x v="3"/>
    <x v="9"/>
    <x v="13"/>
    <n v="0.35616438356164382"/>
  </r>
  <r>
    <s v="B-26153"/>
    <n v="4906"/>
    <n v="975"/>
    <n v="7"/>
    <x v="2"/>
    <x v="4"/>
    <x v="1"/>
    <x v="257"/>
    <x v="272"/>
    <x v="4"/>
    <x v="15"/>
    <x v="37"/>
    <n v="0.19873624133713819"/>
  </r>
  <r>
    <s v="B-25060"/>
    <n v="1379"/>
    <n v="250"/>
    <n v="3"/>
    <x v="1"/>
    <x v="2"/>
    <x v="3"/>
    <x v="258"/>
    <x v="273"/>
    <x v="2"/>
    <x v="2"/>
    <x v="20"/>
    <n v="0.18129079042784627"/>
  </r>
  <r>
    <s v="B-25060"/>
    <n v="4244"/>
    <n v="340"/>
    <n v="10"/>
    <x v="0"/>
    <x v="3"/>
    <x v="1"/>
    <x v="258"/>
    <x v="273"/>
    <x v="2"/>
    <x v="2"/>
    <x v="20"/>
    <n v="8.0113100848256361E-2"/>
  </r>
  <r>
    <s v="B-26572"/>
    <n v="5911"/>
    <n v="2333"/>
    <n v="14"/>
    <x v="2"/>
    <x v="11"/>
    <x v="2"/>
    <x v="259"/>
    <x v="274"/>
    <x v="3"/>
    <x v="9"/>
    <x v="40"/>
    <n v="0.39468787007274575"/>
  </r>
  <r>
    <s v="B-26572"/>
    <n v="5911"/>
    <n v="2333"/>
    <n v="14"/>
    <x v="2"/>
    <x v="11"/>
    <x v="2"/>
    <x v="260"/>
    <x v="275"/>
    <x v="3"/>
    <x v="11"/>
    <x v="46"/>
    <n v="0.39468787007274575"/>
  </r>
  <r>
    <s v="B-26572"/>
    <n v="1818"/>
    <n v="738"/>
    <n v="11"/>
    <x v="1"/>
    <x v="6"/>
    <x v="2"/>
    <x v="259"/>
    <x v="274"/>
    <x v="3"/>
    <x v="9"/>
    <x v="40"/>
    <n v="0.40594059405940597"/>
  </r>
  <r>
    <s v="B-26572"/>
    <n v="1818"/>
    <n v="738"/>
    <n v="11"/>
    <x v="1"/>
    <x v="6"/>
    <x v="2"/>
    <x v="260"/>
    <x v="275"/>
    <x v="3"/>
    <x v="11"/>
    <x v="46"/>
    <n v="0.40594059405940597"/>
  </r>
  <r>
    <s v="B-25919"/>
    <n v="2140"/>
    <n v="970"/>
    <n v="4"/>
    <x v="1"/>
    <x v="8"/>
    <x v="3"/>
    <x v="224"/>
    <x v="276"/>
    <x v="3"/>
    <x v="9"/>
    <x v="57"/>
    <n v="0.45327102803738317"/>
  </r>
  <r>
    <s v="B-25919"/>
    <n v="2140"/>
    <n v="970"/>
    <n v="4"/>
    <x v="1"/>
    <x v="8"/>
    <x v="3"/>
    <x v="261"/>
    <x v="277"/>
    <x v="0"/>
    <x v="3"/>
    <x v="9"/>
    <n v="0.45327102803738317"/>
  </r>
  <r>
    <s v="B-25919"/>
    <n v="2140"/>
    <n v="970"/>
    <n v="4"/>
    <x v="1"/>
    <x v="8"/>
    <x v="3"/>
    <x v="105"/>
    <x v="278"/>
    <x v="3"/>
    <x v="11"/>
    <x v="25"/>
    <n v="0.45327102803738317"/>
  </r>
  <r>
    <s v="B-25919"/>
    <n v="2670"/>
    <n v="1026"/>
    <n v="1"/>
    <x v="0"/>
    <x v="3"/>
    <x v="1"/>
    <x v="224"/>
    <x v="276"/>
    <x v="3"/>
    <x v="9"/>
    <x v="57"/>
    <n v="0.38426966292134829"/>
  </r>
  <r>
    <s v="B-25919"/>
    <n v="2670"/>
    <n v="1026"/>
    <n v="1"/>
    <x v="0"/>
    <x v="3"/>
    <x v="1"/>
    <x v="261"/>
    <x v="277"/>
    <x v="0"/>
    <x v="3"/>
    <x v="9"/>
    <n v="0.38426966292134829"/>
  </r>
  <r>
    <s v="B-25919"/>
    <n v="2670"/>
    <n v="1026"/>
    <n v="1"/>
    <x v="0"/>
    <x v="3"/>
    <x v="1"/>
    <x v="105"/>
    <x v="278"/>
    <x v="3"/>
    <x v="11"/>
    <x v="25"/>
    <n v="0.38426966292134829"/>
  </r>
  <r>
    <s v="B-26978"/>
    <n v="1108"/>
    <n v="167"/>
    <n v="18"/>
    <x v="0"/>
    <x v="3"/>
    <x v="1"/>
    <x v="262"/>
    <x v="279"/>
    <x v="1"/>
    <x v="6"/>
    <x v="30"/>
    <n v="0.15072202166064982"/>
  </r>
  <r>
    <s v="B-26978"/>
    <n v="9776"/>
    <n v="3750"/>
    <n v="9"/>
    <x v="1"/>
    <x v="9"/>
    <x v="0"/>
    <x v="262"/>
    <x v="279"/>
    <x v="1"/>
    <x v="6"/>
    <x v="30"/>
    <n v="0.38359247135842883"/>
  </r>
  <r>
    <s v="B-26978"/>
    <n v="535"/>
    <n v="72"/>
    <n v="6"/>
    <x v="2"/>
    <x v="11"/>
    <x v="4"/>
    <x v="262"/>
    <x v="279"/>
    <x v="1"/>
    <x v="6"/>
    <x v="30"/>
    <n v="0.13457943925233645"/>
  </r>
  <r>
    <s v="B-26554"/>
    <n v="7564"/>
    <n v="3463"/>
    <n v="5"/>
    <x v="1"/>
    <x v="8"/>
    <x v="3"/>
    <x v="194"/>
    <x v="280"/>
    <x v="0"/>
    <x v="16"/>
    <x v="47"/>
    <n v="0.45782654680063456"/>
  </r>
  <r>
    <s v="B-26554"/>
    <n v="7564"/>
    <n v="3463"/>
    <n v="5"/>
    <x v="1"/>
    <x v="8"/>
    <x v="3"/>
    <x v="263"/>
    <x v="281"/>
    <x v="1"/>
    <x v="17"/>
    <x v="11"/>
    <n v="0.45782654680063456"/>
  </r>
  <r>
    <s v="B-26554"/>
    <n v="7564"/>
    <n v="3463"/>
    <n v="5"/>
    <x v="1"/>
    <x v="8"/>
    <x v="3"/>
    <x v="264"/>
    <x v="282"/>
    <x v="0"/>
    <x v="0"/>
    <x v="56"/>
    <n v="0.45782654680063456"/>
  </r>
  <r>
    <s v="B-26554"/>
    <n v="7564"/>
    <n v="3463"/>
    <n v="5"/>
    <x v="1"/>
    <x v="8"/>
    <x v="3"/>
    <x v="265"/>
    <x v="283"/>
    <x v="4"/>
    <x v="15"/>
    <x v="41"/>
    <n v="0.45782654680063456"/>
  </r>
  <r>
    <s v="B-26554"/>
    <n v="3409"/>
    <n v="1605"/>
    <n v="20"/>
    <x v="0"/>
    <x v="0"/>
    <x v="0"/>
    <x v="194"/>
    <x v="280"/>
    <x v="0"/>
    <x v="16"/>
    <x v="47"/>
    <n v="0.47081255500146668"/>
  </r>
  <r>
    <s v="B-26554"/>
    <n v="3409"/>
    <n v="1605"/>
    <n v="20"/>
    <x v="0"/>
    <x v="0"/>
    <x v="0"/>
    <x v="263"/>
    <x v="281"/>
    <x v="1"/>
    <x v="17"/>
    <x v="11"/>
    <n v="0.47081255500146668"/>
  </r>
  <r>
    <s v="B-26554"/>
    <n v="3409"/>
    <n v="1605"/>
    <n v="20"/>
    <x v="0"/>
    <x v="0"/>
    <x v="0"/>
    <x v="264"/>
    <x v="282"/>
    <x v="0"/>
    <x v="0"/>
    <x v="56"/>
    <n v="0.47081255500146668"/>
  </r>
  <r>
    <s v="B-26554"/>
    <n v="3409"/>
    <n v="1605"/>
    <n v="20"/>
    <x v="0"/>
    <x v="0"/>
    <x v="0"/>
    <x v="265"/>
    <x v="283"/>
    <x v="4"/>
    <x v="15"/>
    <x v="41"/>
    <n v="0.47081255500146668"/>
  </r>
  <r>
    <s v="B-26883"/>
    <n v="9751"/>
    <n v="2459"/>
    <n v="13"/>
    <x v="1"/>
    <x v="2"/>
    <x v="4"/>
    <x v="266"/>
    <x v="284"/>
    <x v="2"/>
    <x v="2"/>
    <x v="11"/>
    <n v="0.25217926366526511"/>
  </r>
  <r>
    <s v="B-25423"/>
    <n v="6385"/>
    <n v="2656"/>
    <n v="11"/>
    <x v="0"/>
    <x v="1"/>
    <x v="3"/>
    <x v="267"/>
    <x v="285"/>
    <x v="0"/>
    <x v="3"/>
    <x v="45"/>
    <n v="0.4159749412685983"/>
  </r>
  <r>
    <s v="B-25423"/>
    <n v="6385"/>
    <n v="2656"/>
    <n v="11"/>
    <x v="0"/>
    <x v="1"/>
    <x v="3"/>
    <x v="268"/>
    <x v="286"/>
    <x v="0"/>
    <x v="16"/>
    <x v="15"/>
    <n v="0.4159749412685983"/>
  </r>
  <r>
    <s v="B-26324"/>
    <n v="6355"/>
    <n v="1335"/>
    <n v="15"/>
    <x v="0"/>
    <x v="0"/>
    <x v="1"/>
    <x v="269"/>
    <x v="287"/>
    <x v="4"/>
    <x v="10"/>
    <x v="21"/>
    <n v="0.21007081038552322"/>
  </r>
  <r>
    <s v="B-26324"/>
    <n v="6355"/>
    <n v="1335"/>
    <n v="15"/>
    <x v="0"/>
    <x v="0"/>
    <x v="1"/>
    <x v="270"/>
    <x v="288"/>
    <x v="4"/>
    <x v="10"/>
    <x v="22"/>
    <n v="0.21007081038552322"/>
  </r>
  <r>
    <s v="B-26945"/>
    <n v="7377"/>
    <n v="320"/>
    <n v="15"/>
    <x v="0"/>
    <x v="1"/>
    <x v="1"/>
    <x v="271"/>
    <x v="289"/>
    <x v="4"/>
    <x v="10"/>
    <x v="29"/>
    <n v="4.3378066964890875E-2"/>
  </r>
  <r>
    <s v="B-26945"/>
    <n v="2054"/>
    <n v="371"/>
    <n v="12"/>
    <x v="1"/>
    <x v="6"/>
    <x v="2"/>
    <x v="271"/>
    <x v="289"/>
    <x v="4"/>
    <x v="10"/>
    <x v="29"/>
    <n v="0.18062317429406036"/>
  </r>
  <r>
    <s v="B-26405"/>
    <n v="7497"/>
    <n v="319"/>
    <n v="18"/>
    <x v="2"/>
    <x v="5"/>
    <x v="4"/>
    <x v="272"/>
    <x v="290"/>
    <x v="1"/>
    <x v="17"/>
    <x v="42"/>
    <n v="4.2550353474723225E-2"/>
  </r>
  <r>
    <s v="B-26046"/>
    <n v="2565"/>
    <n v="983"/>
    <n v="20"/>
    <x v="0"/>
    <x v="0"/>
    <x v="1"/>
    <x v="61"/>
    <x v="291"/>
    <x v="0"/>
    <x v="0"/>
    <x v="29"/>
    <n v="0.38323586744639376"/>
  </r>
  <r>
    <s v="B-26046"/>
    <n v="5024"/>
    <n v="1544"/>
    <n v="19"/>
    <x v="1"/>
    <x v="2"/>
    <x v="4"/>
    <x v="61"/>
    <x v="291"/>
    <x v="0"/>
    <x v="0"/>
    <x v="29"/>
    <n v="0.3073248407643312"/>
  </r>
  <r>
    <s v="B-25746"/>
    <n v="8243"/>
    <n v="1346"/>
    <n v="15"/>
    <x v="1"/>
    <x v="9"/>
    <x v="1"/>
    <x v="273"/>
    <x v="292"/>
    <x v="4"/>
    <x v="15"/>
    <x v="27"/>
    <n v="0.16329006429697926"/>
  </r>
  <r>
    <s v="B-25232"/>
    <n v="7792"/>
    <n v="1403"/>
    <n v="13"/>
    <x v="1"/>
    <x v="8"/>
    <x v="0"/>
    <x v="274"/>
    <x v="293"/>
    <x v="1"/>
    <x v="17"/>
    <x v="51"/>
    <n v="0.18005646817248461"/>
  </r>
  <r>
    <s v="B-25232"/>
    <n v="7792"/>
    <n v="1403"/>
    <n v="13"/>
    <x v="1"/>
    <x v="8"/>
    <x v="0"/>
    <x v="243"/>
    <x v="294"/>
    <x v="2"/>
    <x v="7"/>
    <x v="29"/>
    <n v="0.18005646817248461"/>
  </r>
  <r>
    <s v="B-25232"/>
    <n v="7792"/>
    <n v="1403"/>
    <n v="13"/>
    <x v="1"/>
    <x v="8"/>
    <x v="0"/>
    <x v="275"/>
    <x v="295"/>
    <x v="3"/>
    <x v="9"/>
    <x v="10"/>
    <n v="0.18005646817248461"/>
  </r>
  <r>
    <s v="B-25232"/>
    <n v="2346"/>
    <n v="388"/>
    <n v="14"/>
    <x v="2"/>
    <x v="5"/>
    <x v="1"/>
    <x v="274"/>
    <x v="293"/>
    <x v="1"/>
    <x v="17"/>
    <x v="51"/>
    <n v="0.16538789428815004"/>
  </r>
  <r>
    <s v="B-25232"/>
    <n v="2346"/>
    <n v="388"/>
    <n v="14"/>
    <x v="2"/>
    <x v="5"/>
    <x v="1"/>
    <x v="243"/>
    <x v="294"/>
    <x v="2"/>
    <x v="7"/>
    <x v="29"/>
    <n v="0.16538789428815004"/>
  </r>
  <r>
    <s v="B-25232"/>
    <n v="2346"/>
    <n v="388"/>
    <n v="14"/>
    <x v="2"/>
    <x v="5"/>
    <x v="1"/>
    <x v="275"/>
    <x v="295"/>
    <x v="3"/>
    <x v="9"/>
    <x v="10"/>
    <n v="0.16538789428815004"/>
  </r>
  <r>
    <s v="B-25591"/>
    <n v="7346"/>
    <n v="1043"/>
    <n v="10"/>
    <x v="2"/>
    <x v="7"/>
    <x v="3"/>
    <x v="276"/>
    <x v="296"/>
    <x v="5"/>
    <x v="12"/>
    <x v="29"/>
    <n v="0.1419820310372992"/>
  </r>
  <r>
    <s v="B-25591"/>
    <n v="9770"/>
    <n v="4132"/>
    <n v="7"/>
    <x v="0"/>
    <x v="0"/>
    <x v="0"/>
    <x v="276"/>
    <x v="296"/>
    <x v="5"/>
    <x v="12"/>
    <x v="29"/>
    <n v="0.42292732855680654"/>
  </r>
  <r>
    <s v="B-25591"/>
    <n v="7179"/>
    <n v="683"/>
    <n v="13"/>
    <x v="0"/>
    <x v="3"/>
    <x v="3"/>
    <x v="276"/>
    <x v="296"/>
    <x v="5"/>
    <x v="12"/>
    <x v="29"/>
    <n v="9.5138598690625437E-2"/>
  </r>
  <r>
    <s v="B-26325"/>
    <n v="5449"/>
    <n v="2389"/>
    <n v="2"/>
    <x v="0"/>
    <x v="10"/>
    <x v="0"/>
    <x v="277"/>
    <x v="297"/>
    <x v="0"/>
    <x v="0"/>
    <x v="15"/>
    <n v="0.43842906955404659"/>
  </r>
  <r>
    <s v="B-25251"/>
    <n v="2895"/>
    <n v="104"/>
    <n v="6"/>
    <x v="2"/>
    <x v="5"/>
    <x v="4"/>
    <x v="278"/>
    <x v="298"/>
    <x v="2"/>
    <x v="2"/>
    <x v="32"/>
    <n v="3.5924006908462869E-2"/>
  </r>
  <r>
    <s v="B-25251"/>
    <n v="2895"/>
    <n v="104"/>
    <n v="6"/>
    <x v="2"/>
    <x v="5"/>
    <x v="4"/>
    <x v="279"/>
    <x v="299"/>
    <x v="4"/>
    <x v="15"/>
    <x v="3"/>
    <n v="3.5924006908462869E-2"/>
  </r>
  <r>
    <s v="B-25251"/>
    <n v="697"/>
    <n v="116"/>
    <n v="1"/>
    <x v="2"/>
    <x v="5"/>
    <x v="0"/>
    <x v="278"/>
    <x v="298"/>
    <x v="2"/>
    <x v="2"/>
    <x v="32"/>
    <n v="0.16642754662840745"/>
  </r>
  <r>
    <s v="B-25251"/>
    <n v="697"/>
    <n v="116"/>
    <n v="1"/>
    <x v="2"/>
    <x v="5"/>
    <x v="0"/>
    <x v="279"/>
    <x v="299"/>
    <x v="4"/>
    <x v="15"/>
    <x v="3"/>
    <n v="0.16642754662840745"/>
  </r>
  <r>
    <s v="B-25464"/>
    <n v="6145"/>
    <n v="1414"/>
    <n v="4"/>
    <x v="2"/>
    <x v="5"/>
    <x v="4"/>
    <x v="280"/>
    <x v="300"/>
    <x v="3"/>
    <x v="4"/>
    <x v="20"/>
    <n v="0.23010577705451588"/>
  </r>
  <r>
    <s v="B-25464"/>
    <n v="2504"/>
    <n v="440"/>
    <n v="18"/>
    <x v="0"/>
    <x v="1"/>
    <x v="0"/>
    <x v="280"/>
    <x v="300"/>
    <x v="3"/>
    <x v="4"/>
    <x v="20"/>
    <n v="0.1757188498402556"/>
  </r>
  <r>
    <s v="B-25464"/>
    <n v="3124"/>
    <n v="138"/>
    <n v="16"/>
    <x v="0"/>
    <x v="10"/>
    <x v="1"/>
    <x v="280"/>
    <x v="300"/>
    <x v="3"/>
    <x v="4"/>
    <x v="20"/>
    <n v="4.4174135723431499E-2"/>
  </r>
  <r>
    <s v="B-26678"/>
    <n v="6934"/>
    <n v="1226"/>
    <n v="1"/>
    <x v="0"/>
    <x v="0"/>
    <x v="1"/>
    <x v="281"/>
    <x v="301"/>
    <x v="5"/>
    <x v="13"/>
    <x v="22"/>
    <n v="0.1768099221228728"/>
  </r>
  <r>
    <s v="B-26678"/>
    <n v="6934"/>
    <n v="1226"/>
    <n v="1"/>
    <x v="0"/>
    <x v="0"/>
    <x v="1"/>
    <x v="76"/>
    <x v="284"/>
    <x v="2"/>
    <x v="7"/>
    <x v="43"/>
    <n v="0.1768099221228728"/>
  </r>
  <r>
    <s v="B-25962"/>
    <n v="4202"/>
    <n v="1171"/>
    <n v="3"/>
    <x v="1"/>
    <x v="6"/>
    <x v="4"/>
    <x v="282"/>
    <x v="302"/>
    <x v="1"/>
    <x v="17"/>
    <x v="5"/>
    <n v="0.27867682056163734"/>
  </r>
  <r>
    <s v="B-25962"/>
    <n v="4202"/>
    <n v="1171"/>
    <n v="3"/>
    <x v="1"/>
    <x v="6"/>
    <x v="4"/>
    <x v="283"/>
    <x v="303"/>
    <x v="2"/>
    <x v="7"/>
    <x v="15"/>
    <n v="0.27867682056163734"/>
  </r>
  <r>
    <s v="B-25962"/>
    <n v="4202"/>
    <n v="1171"/>
    <n v="3"/>
    <x v="1"/>
    <x v="6"/>
    <x v="4"/>
    <x v="284"/>
    <x v="304"/>
    <x v="0"/>
    <x v="16"/>
    <x v="6"/>
    <n v="0.27867682056163734"/>
  </r>
  <r>
    <s v="B-25962"/>
    <n v="4202"/>
    <n v="1171"/>
    <n v="3"/>
    <x v="1"/>
    <x v="6"/>
    <x v="4"/>
    <x v="6"/>
    <x v="305"/>
    <x v="4"/>
    <x v="15"/>
    <x v="6"/>
    <n v="0.27867682056163734"/>
  </r>
  <r>
    <s v="B-26586"/>
    <n v="2239"/>
    <n v="828"/>
    <n v="1"/>
    <x v="0"/>
    <x v="1"/>
    <x v="0"/>
    <x v="285"/>
    <x v="306"/>
    <x v="3"/>
    <x v="4"/>
    <x v="0"/>
    <n v="0.36980794997766858"/>
  </r>
  <r>
    <s v="B-26586"/>
    <n v="2239"/>
    <n v="828"/>
    <n v="1"/>
    <x v="0"/>
    <x v="1"/>
    <x v="0"/>
    <x v="286"/>
    <x v="307"/>
    <x v="1"/>
    <x v="1"/>
    <x v="48"/>
    <n v="0.36980794997766858"/>
  </r>
  <r>
    <s v="B-26586"/>
    <n v="2450"/>
    <n v="1002"/>
    <n v="4"/>
    <x v="0"/>
    <x v="10"/>
    <x v="1"/>
    <x v="285"/>
    <x v="306"/>
    <x v="3"/>
    <x v="4"/>
    <x v="0"/>
    <n v="0.40897959183673471"/>
  </r>
  <r>
    <s v="B-26586"/>
    <n v="2450"/>
    <n v="1002"/>
    <n v="4"/>
    <x v="0"/>
    <x v="10"/>
    <x v="1"/>
    <x v="286"/>
    <x v="307"/>
    <x v="1"/>
    <x v="1"/>
    <x v="48"/>
    <n v="0.40897959183673471"/>
  </r>
  <r>
    <s v="B-26841"/>
    <n v="9827"/>
    <n v="4208"/>
    <n v="13"/>
    <x v="2"/>
    <x v="5"/>
    <x v="1"/>
    <x v="287"/>
    <x v="308"/>
    <x v="2"/>
    <x v="5"/>
    <x v="57"/>
    <n v="0.42820799837183271"/>
  </r>
  <r>
    <s v="B-26841"/>
    <n v="8077"/>
    <n v="240"/>
    <n v="15"/>
    <x v="2"/>
    <x v="7"/>
    <x v="3"/>
    <x v="287"/>
    <x v="308"/>
    <x v="2"/>
    <x v="5"/>
    <x v="57"/>
    <n v="2.9714002723783581E-2"/>
  </r>
  <r>
    <s v="B-26284"/>
    <n v="5152"/>
    <n v="2045"/>
    <n v="14"/>
    <x v="0"/>
    <x v="10"/>
    <x v="0"/>
    <x v="288"/>
    <x v="309"/>
    <x v="1"/>
    <x v="6"/>
    <x v="11"/>
    <n v="0.39693322981366458"/>
  </r>
  <r>
    <s v="B-26284"/>
    <n v="5152"/>
    <n v="2045"/>
    <n v="14"/>
    <x v="0"/>
    <x v="10"/>
    <x v="0"/>
    <x v="289"/>
    <x v="310"/>
    <x v="3"/>
    <x v="4"/>
    <x v="40"/>
    <n v="0.39693322981366458"/>
  </r>
  <r>
    <s v="B-26284"/>
    <n v="5152"/>
    <n v="2045"/>
    <n v="14"/>
    <x v="0"/>
    <x v="10"/>
    <x v="0"/>
    <x v="290"/>
    <x v="311"/>
    <x v="1"/>
    <x v="1"/>
    <x v="21"/>
    <n v="0.39693322981366458"/>
  </r>
  <r>
    <s v="B-26284"/>
    <n v="5152"/>
    <n v="2045"/>
    <n v="14"/>
    <x v="0"/>
    <x v="10"/>
    <x v="0"/>
    <x v="291"/>
    <x v="312"/>
    <x v="2"/>
    <x v="7"/>
    <x v="59"/>
    <n v="0.39693322981366458"/>
  </r>
  <r>
    <s v="B-26478"/>
    <n v="2542"/>
    <n v="190"/>
    <n v="1"/>
    <x v="1"/>
    <x v="6"/>
    <x v="3"/>
    <x v="292"/>
    <x v="313"/>
    <x v="4"/>
    <x v="15"/>
    <x v="39"/>
    <n v="7.4744295830055069E-2"/>
  </r>
  <r>
    <s v="B-26679"/>
    <n v="8102"/>
    <n v="1800"/>
    <n v="5"/>
    <x v="1"/>
    <x v="6"/>
    <x v="0"/>
    <x v="293"/>
    <x v="314"/>
    <x v="3"/>
    <x v="11"/>
    <x v="48"/>
    <n v="0.22216736608244878"/>
  </r>
  <r>
    <s v="B-26679"/>
    <n v="8102"/>
    <n v="1800"/>
    <n v="5"/>
    <x v="1"/>
    <x v="6"/>
    <x v="0"/>
    <x v="294"/>
    <x v="315"/>
    <x v="2"/>
    <x v="2"/>
    <x v="32"/>
    <n v="0.22216736608244878"/>
  </r>
  <r>
    <s v="B-26679"/>
    <n v="8102"/>
    <n v="1800"/>
    <n v="5"/>
    <x v="1"/>
    <x v="6"/>
    <x v="0"/>
    <x v="295"/>
    <x v="316"/>
    <x v="5"/>
    <x v="14"/>
    <x v="50"/>
    <n v="0.22216736608244878"/>
  </r>
  <r>
    <s v="B-26679"/>
    <n v="3234"/>
    <n v="1274"/>
    <n v="10"/>
    <x v="2"/>
    <x v="4"/>
    <x v="2"/>
    <x v="293"/>
    <x v="314"/>
    <x v="3"/>
    <x v="11"/>
    <x v="48"/>
    <n v="0.39393939393939392"/>
  </r>
  <r>
    <s v="B-26679"/>
    <n v="3234"/>
    <n v="1274"/>
    <n v="10"/>
    <x v="2"/>
    <x v="4"/>
    <x v="2"/>
    <x v="294"/>
    <x v="315"/>
    <x v="2"/>
    <x v="2"/>
    <x v="32"/>
    <n v="0.39393939393939392"/>
  </r>
  <r>
    <s v="B-26679"/>
    <n v="3234"/>
    <n v="1274"/>
    <n v="10"/>
    <x v="2"/>
    <x v="4"/>
    <x v="2"/>
    <x v="295"/>
    <x v="316"/>
    <x v="5"/>
    <x v="14"/>
    <x v="50"/>
    <n v="0.39393939393939392"/>
  </r>
  <r>
    <s v="B-26397"/>
    <n v="6200"/>
    <n v="2321"/>
    <n v="18"/>
    <x v="2"/>
    <x v="4"/>
    <x v="3"/>
    <x v="296"/>
    <x v="317"/>
    <x v="3"/>
    <x v="4"/>
    <x v="41"/>
    <n v="0.3743548387096774"/>
  </r>
  <r>
    <s v="B-26397"/>
    <n v="6200"/>
    <n v="2321"/>
    <n v="18"/>
    <x v="2"/>
    <x v="4"/>
    <x v="3"/>
    <x v="297"/>
    <x v="318"/>
    <x v="0"/>
    <x v="0"/>
    <x v="31"/>
    <n v="0.3743548387096774"/>
  </r>
  <r>
    <s v="B-25957"/>
    <n v="4470"/>
    <n v="413"/>
    <n v="13"/>
    <x v="0"/>
    <x v="3"/>
    <x v="0"/>
    <x v="170"/>
    <x v="319"/>
    <x v="3"/>
    <x v="4"/>
    <x v="9"/>
    <n v="9.2393736017897091E-2"/>
  </r>
  <r>
    <s v="B-26916"/>
    <n v="916"/>
    <n v="362"/>
    <n v="7"/>
    <x v="1"/>
    <x v="2"/>
    <x v="0"/>
    <x v="298"/>
    <x v="320"/>
    <x v="1"/>
    <x v="6"/>
    <x v="15"/>
    <n v="0.39519650655021832"/>
  </r>
  <r>
    <s v="B-26916"/>
    <n v="916"/>
    <n v="362"/>
    <n v="7"/>
    <x v="1"/>
    <x v="2"/>
    <x v="0"/>
    <x v="299"/>
    <x v="321"/>
    <x v="3"/>
    <x v="11"/>
    <x v="20"/>
    <n v="0.39519650655021832"/>
  </r>
  <r>
    <s v="B-26916"/>
    <n v="1165"/>
    <n v="302"/>
    <n v="20"/>
    <x v="2"/>
    <x v="7"/>
    <x v="0"/>
    <x v="298"/>
    <x v="320"/>
    <x v="1"/>
    <x v="6"/>
    <x v="15"/>
    <n v="0.2592274678111588"/>
  </r>
  <r>
    <s v="B-26916"/>
    <n v="1165"/>
    <n v="302"/>
    <n v="20"/>
    <x v="2"/>
    <x v="7"/>
    <x v="0"/>
    <x v="299"/>
    <x v="321"/>
    <x v="3"/>
    <x v="11"/>
    <x v="20"/>
    <n v="0.2592274678111588"/>
  </r>
  <r>
    <s v="B-26916"/>
    <n v="7846"/>
    <n v="677"/>
    <n v="12"/>
    <x v="2"/>
    <x v="5"/>
    <x v="0"/>
    <x v="298"/>
    <x v="320"/>
    <x v="1"/>
    <x v="6"/>
    <x v="15"/>
    <n v="8.6286005607953103E-2"/>
  </r>
  <r>
    <s v="B-26916"/>
    <n v="7846"/>
    <n v="677"/>
    <n v="12"/>
    <x v="2"/>
    <x v="5"/>
    <x v="0"/>
    <x v="299"/>
    <x v="321"/>
    <x v="3"/>
    <x v="11"/>
    <x v="20"/>
    <n v="8.6286005607953103E-2"/>
  </r>
  <r>
    <s v="B-25925"/>
    <n v="3022"/>
    <n v="384"/>
    <n v="1"/>
    <x v="1"/>
    <x v="2"/>
    <x v="3"/>
    <x v="300"/>
    <x v="322"/>
    <x v="4"/>
    <x v="10"/>
    <x v="12"/>
    <n v="0.12706816677696889"/>
  </r>
  <r>
    <s v="B-25925"/>
    <n v="3022"/>
    <n v="384"/>
    <n v="1"/>
    <x v="1"/>
    <x v="2"/>
    <x v="3"/>
    <x v="301"/>
    <x v="323"/>
    <x v="1"/>
    <x v="1"/>
    <x v="51"/>
    <n v="0.12706816677696889"/>
  </r>
  <r>
    <s v="B-25925"/>
    <n v="5266"/>
    <n v="1111"/>
    <n v="13"/>
    <x v="0"/>
    <x v="0"/>
    <x v="1"/>
    <x v="300"/>
    <x v="322"/>
    <x v="4"/>
    <x v="10"/>
    <x v="12"/>
    <n v="0.21097607292062287"/>
  </r>
  <r>
    <s v="B-25925"/>
    <n v="5266"/>
    <n v="1111"/>
    <n v="13"/>
    <x v="0"/>
    <x v="0"/>
    <x v="1"/>
    <x v="301"/>
    <x v="323"/>
    <x v="1"/>
    <x v="1"/>
    <x v="51"/>
    <n v="0.21097607292062287"/>
  </r>
  <r>
    <s v="B-25602"/>
    <n v="4853"/>
    <n v="1764"/>
    <n v="9"/>
    <x v="1"/>
    <x v="2"/>
    <x v="1"/>
    <x v="302"/>
    <x v="324"/>
    <x v="0"/>
    <x v="3"/>
    <x v="35"/>
    <n v="0.36348650319390069"/>
  </r>
  <r>
    <s v="B-25602"/>
    <n v="4853"/>
    <n v="1764"/>
    <n v="9"/>
    <x v="1"/>
    <x v="2"/>
    <x v="1"/>
    <x v="303"/>
    <x v="325"/>
    <x v="4"/>
    <x v="15"/>
    <x v="40"/>
    <n v="0.36348650319390069"/>
  </r>
  <r>
    <s v="B-26592"/>
    <n v="9832"/>
    <n v="1270"/>
    <n v="1"/>
    <x v="1"/>
    <x v="2"/>
    <x v="4"/>
    <x v="23"/>
    <x v="326"/>
    <x v="3"/>
    <x v="11"/>
    <x v="15"/>
    <n v="0.1291700569568755"/>
  </r>
  <r>
    <s v="B-26592"/>
    <n v="796"/>
    <n v="153"/>
    <n v="15"/>
    <x v="1"/>
    <x v="2"/>
    <x v="3"/>
    <x v="23"/>
    <x v="326"/>
    <x v="3"/>
    <x v="11"/>
    <x v="15"/>
    <n v="0.19221105527638191"/>
  </r>
  <r>
    <s v="B-26251"/>
    <n v="883"/>
    <n v="127"/>
    <n v="7"/>
    <x v="2"/>
    <x v="5"/>
    <x v="4"/>
    <x v="304"/>
    <x v="327"/>
    <x v="3"/>
    <x v="11"/>
    <x v="0"/>
    <n v="0.14382785956964891"/>
  </r>
  <r>
    <s v="B-26251"/>
    <n v="4539"/>
    <n v="1155"/>
    <n v="8"/>
    <x v="2"/>
    <x v="11"/>
    <x v="1"/>
    <x v="304"/>
    <x v="327"/>
    <x v="3"/>
    <x v="11"/>
    <x v="0"/>
    <n v="0.25446133509583607"/>
  </r>
  <r>
    <s v="B-26251"/>
    <n v="9659"/>
    <n v="2226"/>
    <n v="16"/>
    <x v="1"/>
    <x v="9"/>
    <x v="1"/>
    <x v="304"/>
    <x v="327"/>
    <x v="3"/>
    <x v="11"/>
    <x v="0"/>
    <n v="0.23045863961072574"/>
  </r>
  <r>
    <s v="B-25979"/>
    <n v="9562"/>
    <n v="325"/>
    <n v="2"/>
    <x v="0"/>
    <x v="1"/>
    <x v="1"/>
    <x v="305"/>
    <x v="328"/>
    <x v="3"/>
    <x v="9"/>
    <x v="37"/>
    <n v="3.3988705291779962E-2"/>
  </r>
  <r>
    <s v="B-25437"/>
    <n v="4688"/>
    <n v="1841"/>
    <n v="3"/>
    <x v="0"/>
    <x v="3"/>
    <x v="3"/>
    <x v="306"/>
    <x v="329"/>
    <x v="3"/>
    <x v="11"/>
    <x v="54"/>
    <n v="0.39270477815699661"/>
  </r>
  <r>
    <s v="B-25437"/>
    <n v="4688"/>
    <n v="1841"/>
    <n v="3"/>
    <x v="0"/>
    <x v="3"/>
    <x v="3"/>
    <x v="2"/>
    <x v="330"/>
    <x v="3"/>
    <x v="9"/>
    <x v="2"/>
    <n v="0.39270477815699661"/>
  </r>
  <r>
    <s v="B-26986"/>
    <n v="7900"/>
    <n v="482"/>
    <n v="4"/>
    <x v="0"/>
    <x v="10"/>
    <x v="4"/>
    <x v="307"/>
    <x v="331"/>
    <x v="5"/>
    <x v="12"/>
    <x v="30"/>
    <n v="6.1012658227848099E-2"/>
  </r>
  <r>
    <s v="B-25990"/>
    <n v="6967"/>
    <n v="3257"/>
    <n v="17"/>
    <x v="2"/>
    <x v="11"/>
    <x v="4"/>
    <x v="276"/>
    <x v="332"/>
    <x v="5"/>
    <x v="13"/>
    <x v="29"/>
    <n v="0.46748959379933974"/>
  </r>
  <r>
    <s v="B-25990"/>
    <n v="1091"/>
    <n v="277"/>
    <n v="6"/>
    <x v="1"/>
    <x v="8"/>
    <x v="4"/>
    <x v="276"/>
    <x v="332"/>
    <x v="5"/>
    <x v="13"/>
    <x v="29"/>
    <n v="0.25389550870760769"/>
  </r>
  <r>
    <s v="B-25990"/>
    <n v="6027"/>
    <n v="1530"/>
    <n v="2"/>
    <x v="1"/>
    <x v="9"/>
    <x v="3"/>
    <x v="276"/>
    <x v="332"/>
    <x v="5"/>
    <x v="13"/>
    <x v="29"/>
    <n v="0.25385764061722249"/>
  </r>
  <r>
    <s v="B-25222"/>
    <n v="4852"/>
    <n v="218"/>
    <n v="2"/>
    <x v="2"/>
    <x v="4"/>
    <x v="2"/>
    <x v="308"/>
    <x v="333"/>
    <x v="4"/>
    <x v="8"/>
    <x v="44"/>
    <n v="4.4929925803792251E-2"/>
  </r>
  <r>
    <s v="B-25222"/>
    <n v="4852"/>
    <n v="218"/>
    <n v="2"/>
    <x v="2"/>
    <x v="4"/>
    <x v="2"/>
    <x v="309"/>
    <x v="334"/>
    <x v="0"/>
    <x v="16"/>
    <x v="13"/>
    <n v="4.4929925803792251E-2"/>
  </r>
  <r>
    <s v="B-25222"/>
    <n v="4852"/>
    <n v="218"/>
    <n v="2"/>
    <x v="2"/>
    <x v="4"/>
    <x v="2"/>
    <x v="310"/>
    <x v="335"/>
    <x v="1"/>
    <x v="6"/>
    <x v="48"/>
    <n v="4.4929925803792251E-2"/>
  </r>
  <r>
    <s v="B-26402"/>
    <n v="4314"/>
    <n v="1453"/>
    <n v="6"/>
    <x v="2"/>
    <x v="7"/>
    <x v="4"/>
    <x v="311"/>
    <x v="336"/>
    <x v="0"/>
    <x v="16"/>
    <x v="36"/>
    <n v="0.33681038479369496"/>
  </r>
  <r>
    <s v="B-26792"/>
    <n v="3288"/>
    <n v="1477"/>
    <n v="3"/>
    <x v="1"/>
    <x v="2"/>
    <x v="2"/>
    <x v="312"/>
    <x v="337"/>
    <x v="4"/>
    <x v="10"/>
    <x v="3"/>
    <n v="0.44920924574209248"/>
  </r>
  <r>
    <s v="B-26792"/>
    <n v="3288"/>
    <n v="1477"/>
    <n v="3"/>
    <x v="1"/>
    <x v="2"/>
    <x v="2"/>
    <x v="313"/>
    <x v="338"/>
    <x v="1"/>
    <x v="6"/>
    <x v="26"/>
    <n v="0.44920924574209248"/>
  </r>
  <r>
    <s v="B-25154"/>
    <n v="3977"/>
    <n v="813"/>
    <n v="5"/>
    <x v="1"/>
    <x v="9"/>
    <x v="3"/>
    <x v="314"/>
    <x v="339"/>
    <x v="2"/>
    <x v="5"/>
    <x v="1"/>
    <n v="0.20442544631631884"/>
  </r>
  <r>
    <s v="B-26114"/>
    <n v="6252"/>
    <n v="1377"/>
    <n v="2"/>
    <x v="0"/>
    <x v="1"/>
    <x v="2"/>
    <x v="315"/>
    <x v="340"/>
    <x v="1"/>
    <x v="1"/>
    <x v="0"/>
    <n v="0.22024952015355087"/>
  </r>
  <r>
    <s v="B-26485"/>
    <n v="9084"/>
    <n v="3253"/>
    <n v="12"/>
    <x v="1"/>
    <x v="2"/>
    <x v="1"/>
    <x v="316"/>
    <x v="341"/>
    <x v="2"/>
    <x v="2"/>
    <x v="6"/>
    <n v="0.35810215763980624"/>
  </r>
  <r>
    <s v="B-26191"/>
    <n v="8994"/>
    <n v="1481"/>
    <n v="15"/>
    <x v="0"/>
    <x v="10"/>
    <x v="3"/>
    <x v="317"/>
    <x v="342"/>
    <x v="3"/>
    <x v="9"/>
    <x v="53"/>
    <n v="0.16466533244385145"/>
  </r>
  <r>
    <s v="B-26754"/>
    <n v="1089"/>
    <n v="176"/>
    <n v="16"/>
    <x v="1"/>
    <x v="6"/>
    <x v="2"/>
    <x v="318"/>
    <x v="343"/>
    <x v="4"/>
    <x v="8"/>
    <x v="20"/>
    <n v="0.16161616161616163"/>
  </r>
  <r>
    <s v="B-25953"/>
    <n v="6690"/>
    <n v="1001"/>
    <n v="19"/>
    <x v="1"/>
    <x v="9"/>
    <x v="0"/>
    <x v="319"/>
    <x v="344"/>
    <x v="1"/>
    <x v="6"/>
    <x v="33"/>
    <n v="0.14962630792227205"/>
  </r>
  <r>
    <s v="B-25953"/>
    <n v="6690"/>
    <n v="1001"/>
    <n v="19"/>
    <x v="1"/>
    <x v="9"/>
    <x v="0"/>
    <x v="202"/>
    <x v="345"/>
    <x v="1"/>
    <x v="1"/>
    <x v="35"/>
    <n v="0.14962630792227205"/>
  </r>
  <r>
    <s v="B-25953"/>
    <n v="4985"/>
    <n v="1920"/>
    <n v="10"/>
    <x v="2"/>
    <x v="11"/>
    <x v="3"/>
    <x v="319"/>
    <x v="344"/>
    <x v="1"/>
    <x v="6"/>
    <x v="33"/>
    <n v="0.38515546639919757"/>
  </r>
  <r>
    <s v="B-25953"/>
    <n v="4985"/>
    <n v="1920"/>
    <n v="10"/>
    <x v="2"/>
    <x v="11"/>
    <x v="3"/>
    <x v="202"/>
    <x v="345"/>
    <x v="1"/>
    <x v="1"/>
    <x v="35"/>
    <n v="0.38515546639919757"/>
  </r>
  <r>
    <s v="B-26516"/>
    <n v="8590"/>
    <n v="3565"/>
    <n v="15"/>
    <x v="0"/>
    <x v="0"/>
    <x v="2"/>
    <x v="320"/>
    <x v="346"/>
    <x v="0"/>
    <x v="0"/>
    <x v="35"/>
    <n v="0.41501746216530849"/>
  </r>
  <r>
    <s v="B-26516"/>
    <n v="6973"/>
    <n v="3038"/>
    <n v="10"/>
    <x v="2"/>
    <x v="4"/>
    <x v="4"/>
    <x v="320"/>
    <x v="346"/>
    <x v="0"/>
    <x v="0"/>
    <x v="35"/>
    <n v="0.43568048185859742"/>
  </r>
  <r>
    <s v="B-26843"/>
    <n v="4591"/>
    <n v="1941"/>
    <n v="19"/>
    <x v="0"/>
    <x v="1"/>
    <x v="2"/>
    <x v="321"/>
    <x v="214"/>
    <x v="4"/>
    <x v="8"/>
    <x v="2"/>
    <n v="0.42278370725332171"/>
  </r>
  <r>
    <s v="B-26843"/>
    <n v="9612"/>
    <n v="2572"/>
    <n v="17"/>
    <x v="1"/>
    <x v="2"/>
    <x v="3"/>
    <x v="321"/>
    <x v="214"/>
    <x v="4"/>
    <x v="8"/>
    <x v="2"/>
    <n v="0.26758218893050356"/>
  </r>
  <r>
    <s v="B-26167"/>
    <n v="5343"/>
    <n v="655"/>
    <n v="1"/>
    <x v="2"/>
    <x v="5"/>
    <x v="2"/>
    <x v="322"/>
    <x v="347"/>
    <x v="3"/>
    <x v="9"/>
    <x v="44"/>
    <n v="0.1225903050720569"/>
  </r>
  <r>
    <s v="B-26972"/>
    <n v="6956"/>
    <n v="318"/>
    <n v="20"/>
    <x v="1"/>
    <x v="6"/>
    <x v="1"/>
    <x v="55"/>
    <x v="348"/>
    <x v="1"/>
    <x v="6"/>
    <x v="39"/>
    <n v="4.5715928694652096E-2"/>
  </r>
  <r>
    <s v="B-25673"/>
    <n v="5306"/>
    <n v="2405"/>
    <n v="17"/>
    <x v="2"/>
    <x v="4"/>
    <x v="2"/>
    <x v="323"/>
    <x v="349"/>
    <x v="2"/>
    <x v="2"/>
    <x v="55"/>
    <n v="0.45326045985676594"/>
  </r>
  <r>
    <s v="B-26587"/>
    <n v="8982"/>
    <n v="448"/>
    <n v="17"/>
    <x v="2"/>
    <x v="7"/>
    <x v="0"/>
    <x v="324"/>
    <x v="350"/>
    <x v="2"/>
    <x v="5"/>
    <x v="18"/>
    <n v="4.987753284346471E-2"/>
  </r>
  <r>
    <s v="B-26587"/>
    <n v="4826"/>
    <n v="562"/>
    <n v="5"/>
    <x v="1"/>
    <x v="8"/>
    <x v="1"/>
    <x v="324"/>
    <x v="350"/>
    <x v="2"/>
    <x v="5"/>
    <x v="18"/>
    <n v="0.11645254869457107"/>
  </r>
  <r>
    <s v="B-26668"/>
    <n v="972"/>
    <n v="106"/>
    <n v="15"/>
    <x v="1"/>
    <x v="2"/>
    <x v="2"/>
    <x v="112"/>
    <x v="351"/>
    <x v="5"/>
    <x v="13"/>
    <x v="37"/>
    <n v="0.10905349794238683"/>
  </r>
  <r>
    <s v="B-26906"/>
    <n v="3665"/>
    <n v="802"/>
    <n v="4"/>
    <x v="1"/>
    <x v="6"/>
    <x v="3"/>
    <x v="325"/>
    <x v="352"/>
    <x v="0"/>
    <x v="0"/>
    <x v="36"/>
    <n v="0.21882673942701228"/>
  </r>
  <r>
    <s v="B-26906"/>
    <n v="3665"/>
    <n v="802"/>
    <n v="4"/>
    <x v="1"/>
    <x v="6"/>
    <x v="3"/>
    <x v="326"/>
    <x v="353"/>
    <x v="0"/>
    <x v="16"/>
    <x v="9"/>
    <n v="0.21882673942701228"/>
  </r>
  <r>
    <s v="B-25226"/>
    <n v="9808"/>
    <n v="2117"/>
    <n v="2"/>
    <x v="1"/>
    <x v="2"/>
    <x v="0"/>
    <x v="327"/>
    <x v="354"/>
    <x v="3"/>
    <x v="4"/>
    <x v="44"/>
    <n v="0.21584420880913541"/>
  </r>
  <r>
    <s v="B-25166"/>
    <n v="1133"/>
    <n v="73"/>
    <n v="17"/>
    <x v="2"/>
    <x v="5"/>
    <x v="0"/>
    <x v="328"/>
    <x v="355"/>
    <x v="5"/>
    <x v="14"/>
    <x v="14"/>
    <n v="6.4430714916151807E-2"/>
  </r>
  <r>
    <s v="B-25166"/>
    <n v="1133"/>
    <n v="73"/>
    <n v="17"/>
    <x v="2"/>
    <x v="5"/>
    <x v="0"/>
    <x v="329"/>
    <x v="356"/>
    <x v="3"/>
    <x v="9"/>
    <x v="47"/>
    <n v="6.4430714916151807E-2"/>
  </r>
  <r>
    <s v="B-25166"/>
    <n v="6248"/>
    <n v="1168"/>
    <n v="19"/>
    <x v="2"/>
    <x v="11"/>
    <x v="4"/>
    <x v="328"/>
    <x v="355"/>
    <x v="5"/>
    <x v="14"/>
    <x v="14"/>
    <n v="0.18693982074263765"/>
  </r>
  <r>
    <s v="B-25166"/>
    <n v="6248"/>
    <n v="1168"/>
    <n v="19"/>
    <x v="2"/>
    <x v="11"/>
    <x v="4"/>
    <x v="329"/>
    <x v="356"/>
    <x v="3"/>
    <x v="9"/>
    <x v="47"/>
    <n v="0.18693982074263765"/>
  </r>
  <r>
    <s v="B-25454"/>
    <n v="5666"/>
    <n v="2733"/>
    <n v="17"/>
    <x v="0"/>
    <x v="0"/>
    <x v="3"/>
    <x v="330"/>
    <x v="357"/>
    <x v="0"/>
    <x v="16"/>
    <x v="52"/>
    <n v="0.4823508648076244"/>
  </r>
  <r>
    <s v="B-26215"/>
    <n v="4171"/>
    <n v="1450"/>
    <n v="18"/>
    <x v="1"/>
    <x v="6"/>
    <x v="4"/>
    <x v="331"/>
    <x v="358"/>
    <x v="4"/>
    <x v="8"/>
    <x v="28"/>
    <n v="0.34763845600575399"/>
  </r>
  <r>
    <s v="B-25777"/>
    <n v="6236"/>
    <n v="2839"/>
    <n v="7"/>
    <x v="0"/>
    <x v="1"/>
    <x v="3"/>
    <x v="332"/>
    <x v="359"/>
    <x v="1"/>
    <x v="6"/>
    <x v="12"/>
    <n v="0.4552597819114817"/>
  </r>
  <r>
    <s v="B-25777"/>
    <n v="6236"/>
    <n v="2839"/>
    <n v="7"/>
    <x v="0"/>
    <x v="1"/>
    <x v="3"/>
    <x v="333"/>
    <x v="360"/>
    <x v="0"/>
    <x v="3"/>
    <x v="37"/>
    <n v="0.4552597819114817"/>
  </r>
  <r>
    <s v="B-25383"/>
    <n v="5410"/>
    <n v="2456"/>
    <n v="8"/>
    <x v="2"/>
    <x v="5"/>
    <x v="3"/>
    <x v="334"/>
    <x v="361"/>
    <x v="3"/>
    <x v="4"/>
    <x v="3"/>
    <n v="0.45397412199630316"/>
  </r>
  <r>
    <s v="B-25383"/>
    <n v="5410"/>
    <n v="2456"/>
    <n v="8"/>
    <x v="2"/>
    <x v="5"/>
    <x v="3"/>
    <x v="335"/>
    <x v="362"/>
    <x v="0"/>
    <x v="16"/>
    <x v="12"/>
    <n v="0.45397412199630316"/>
  </r>
  <r>
    <s v="B-26409"/>
    <n v="3024"/>
    <n v="1353"/>
    <n v="1"/>
    <x v="2"/>
    <x v="7"/>
    <x v="3"/>
    <x v="336"/>
    <x v="363"/>
    <x v="3"/>
    <x v="4"/>
    <x v="3"/>
    <n v="0.44742063492063494"/>
  </r>
  <r>
    <s v="B-26409"/>
    <n v="3024"/>
    <n v="1353"/>
    <n v="1"/>
    <x v="2"/>
    <x v="7"/>
    <x v="3"/>
    <x v="337"/>
    <x v="364"/>
    <x v="5"/>
    <x v="12"/>
    <x v="13"/>
    <n v="0.44742063492063494"/>
  </r>
  <r>
    <s v="B-26684"/>
    <n v="7434"/>
    <n v="2851"/>
    <n v="5"/>
    <x v="1"/>
    <x v="6"/>
    <x v="0"/>
    <x v="116"/>
    <x v="365"/>
    <x v="1"/>
    <x v="6"/>
    <x v="29"/>
    <n v="0.38350820554210385"/>
  </r>
  <r>
    <s v="B-26726"/>
    <n v="7213"/>
    <n v="508"/>
    <n v="19"/>
    <x v="0"/>
    <x v="0"/>
    <x v="1"/>
    <x v="338"/>
    <x v="366"/>
    <x v="4"/>
    <x v="8"/>
    <x v="21"/>
    <n v="7.042839317898239E-2"/>
  </r>
  <r>
    <s v="B-26726"/>
    <n v="7213"/>
    <n v="508"/>
    <n v="19"/>
    <x v="0"/>
    <x v="0"/>
    <x v="1"/>
    <x v="339"/>
    <x v="367"/>
    <x v="5"/>
    <x v="13"/>
    <x v="35"/>
    <n v="7.042839317898239E-2"/>
  </r>
  <r>
    <s v="B-26726"/>
    <n v="3176"/>
    <n v="586"/>
    <n v="9"/>
    <x v="2"/>
    <x v="4"/>
    <x v="2"/>
    <x v="338"/>
    <x v="366"/>
    <x v="4"/>
    <x v="8"/>
    <x v="21"/>
    <n v="0.1845088161209068"/>
  </r>
  <r>
    <s v="B-26726"/>
    <n v="3176"/>
    <n v="586"/>
    <n v="9"/>
    <x v="2"/>
    <x v="4"/>
    <x v="2"/>
    <x v="339"/>
    <x v="367"/>
    <x v="5"/>
    <x v="13"/>
    <x v="35"/>
    <n v="0.1845088161209068"/>
  </r>
  <r>
    <s v="B-26136"/>
    <n v="9144"/>
    <n v="2220"/>
    <n v="18"/>
    <x v="1"/>
    <x v="9"/>
    <x v="3"/>
    <x v="340"/>
    <x v="368"/>
    <x v="0"/>
    <x v="0"/>
    <x v="22"/>
    <n v="0.24278215223097113"/>
  </r>
  <r>
    <s v="B-26098"/>
    <n v="4146"/>
    <n v="865"/>
    <n v="19"/>
    <x v="2"/>
    <x v="4"/>
    <x v="2"/>
    <x v="341"/>
    <x v="369"/>
    <x v="4"/>
    <x v="15"/>
    <x v="58"/>
    <n v="0.20863482875060299"/>
  </r>
  <r>
    <s v="B-26098"/>
    <n v="3793"/>
    <n v="875"/>
    <n v="7"/>
    <x v="2"/>
    <x v="4"/>
    <x v="2"/>
    <x v="341"/>
    <x v="369"/>
    <x v="4"/>
    <x v="15"/>
    <x v="58"/>
    <n v="0.23068810967571843"/>
  </r>
  <r>
    <s v="B-25430"/>
    <n v="7169"/>
    <n v="2385"/>
    <n v="11"/>
    <x v="2"/>
    <x v="7"/>
    <x v="4"/>
    <x v="342"/>
    <x v="370"/>
    <x v="3"/>
    <x v="4"/>
    <x v="22"/>
    <n v="0.33268238248012277"/>
  </r>
  <r>
    <s v="B-25430"/>
    <n v="4046"/>
    <n v="417"/>
    <n v="18"/>
    <x v="2"/>
    <x v="5"/>
    <x v="3"/>
    <x v="342"/>
    <x v="370"/>
    <x v="3"/>
    <x v="4"/>
    <x v="22"/>
    <n v="0.10306475531389027"/>
  </r>
  <r>
    <s v="B-25266"/>
    <n v="4164"/>
    <n v="905"/>
    <n v="11"/>
    <x v="0"/>
    <x v="10"/>
    <x v="4"/>
    <x v="343"/>
    <x v="371"/>
    <x v="3"/>
    <x v="9"/>
    <x v="16"/>
    <n v="0.21733909702209414"/>
  </r>
  <r>
    <s v="B-25266"/>
    <n v="5389"/>
    <n v="2196"/>
    <n v="5"/>
    <x v="2"/>
    <x v="4"/>
    <x v="0"/>
    <x v="343"/>
    <x v="371"/>
    <x v="3"/>
    <x v="9"/>
    <x v="16"/>
    <n v="0.40749675264427537"/>
  </r>
  <r>
    <s v="B-25283"/>
    <n v="5448"/>
    <n v="2204"/>
    <n v="5"/>
    <x v="2"/>
    <x v="7"/>
    <x v="4"/>
    <x v="344"/>
    <x v="372"/>
    <x v="2"/>
    <x v="5"/>
    <x v="40"/>
    <n v="0.40455212922173273"/>
  </r>
  <r>
    <s v="B-25227"/>
    <n v="4115"/>
    <n v="1285"/>
    <n v="1"/>
    <x v="2"/>
    <x v="7"/>
    <x v="0"/>
    <x v="156"/>
    <x v="373"/>
    <x v="0"/>
    <x v="3"/>
    <x v="32"/>
    <n v="0.31227217496962334"/>
  </r>
  <r>
    <s v="B-25227"/>
    <n v="4761"/>
    <n v="2231"/>
    <n v="12"/>
    <x v="2"/>
    <x v="4"/>
    <x v="0"/>
    <x v="156"/>
    <x v="373"/>
    <x v="0"/>
    <x v="3"/>
    <x v="32"/>
    <n v="0.46859903381642515"/>
  </r>
  <r>
    <s v="B-25669"/>
    <n v="5899"/>
    <n v="2264"/>
    <n v="6"/>
    <x v="1"/>
    <x v="9"/>
    <x v="2"/>
    <x v="345"/>
    <x v="374"/>
    <x v="2"/>
    <x v="2"/>
    <x v="59"/>
    <n v="0.38379386336667232"/>
  </r>
  <r>
    <s v="B-25064"/>
    <n v="6109"/>
    <n v="3040"/>
    <n v="9"/>
    <x v="2"/>
    <x v="5"/>
    <x v="2"/>
    <x v="346"/>
    <x v="375"/>
    <x v="2"/>
    <x v="2"/>
    <x v="26"/>
    <n v="0.49762645277459489"/>
  </r>
  <r>
    <s v="B-25064"/>
    <n v="6109"/>
    <n v="3040"/>
    <n v="9"/>
    <x v="2"/>
    <x v="5"/>
    <x v="2"/>
    <x v="347"/>
    <x v="376"/>
    <x v="2"/>
    <x v="7"/>
    <x v="59"/>
    <n v="0.49762645277459489"/>
  </r>
  <r>
    <s v="B-25064"/>
    <n v="4628"/>
    <n v="1491"/>
    <n v="17"/>
    <x v="0"/>
    <x v="0"/>
    <x v="0"/>
    <x v="346"/>
    <x v="375"/>
    <x v="2"/>
    <x v="2"/>
    <x v="26"/>
    <n v="0.32216940363007779"/>
  </r>
  <r>
    <s v="B-25064"/>
    <n v="4628"/>
    <n v="1491"/>
    <n v="17"/>
    <x v="0"/>
    <x v="0"/>
    <x v="0"/>
    <x v="347"/>
    <x v="376"/>
    <x v="2"/>
    <x v="7"/>
    <x v="59"/>
    <n v="0.32216940363007779"/>
  </r>
  <r>
    <s v="B-26268"/>
    <n v="4369"/>
    <n v="584"/>
    <n v="13"/>
    <x v="1"/>
    <x v="2"/>
    <x v="3"/>
    <x v="129"/>
    <x v="377"/>
    <x v="1"/>
    <x v="17"/>
    <x v="24"/>
    <n v="0.13366903181506065"/>
  </r>
  <r>
    <s v="B-26268"/>
    <n v="4369"/>
    <n v="584"/>
    <n v="13"/>
    <x v="1"/>
    <x v="2"/>
    <x v="3"/>
    <x v="348"/>
    <x v="378"/>
    <x v="4"/>
    <x v="10"/>
    <x v="27"/>
    <n v="0.13366903181506065"/>
  </r>
  <r>
    <s v="B-25456"/>
    <n v="5632"/>
    <n v="2358"/>
    <n v="20"/>
    <x v="2"/>
    <x v="7"/>
    <x v="3"/>
    <x v="349"/>
    <x v="379"/>
    <x v="3"/>
    <x v="4"/>
    <x v="18"/>
    <n v="0.41867897727272729"/>
  </r>
  <r>
    <s v="B-25456"/>
    <n v="5632"/>
    <n v="2358"/>
    <n v="20"/>
    <x v="2"/>
    <x v="7"/>
    <x v="3"/>
    <x v="350"/>
    <x v="380"/>
    <x v="0"/>
    <x v="0"/>
    <x v="42"/>
    <n v="0.41867897727272729"/>
  </r>
  <r>
    <s v="B-25456"/>
    <n v="5632"/>
    <n v="2358"/>
    <n v="20"/>
    <x v="2"/>
    <x v="7"/>
    <x v="3"/>
    <x v="351"/>
    <x v="381"/>
    <x v="5"/>
    <x v="14"/>
    <x v="9"/>
    <n v="0.41867897727272729"/>
  </r>
  <r>
    <s v="B-25495"/>
    <n v="7519"/>
    <n v="402"/>
    <n v="14"/>
    <x v="1"/>
    <x v="8"/>
    <x v="0"/>
    <x v="352"/>
    <x v="382"/>
    <x v="3"/>
    <x v="9"/>
    <x v="15"/>
    <n v="5.3464556456975662E-2"/>
  </r>
  <r>
    <s v="B-25495"/>
    <n v="1564"/>
    <n v="674"/>
    <n v="13"/>
    <x v="0"/>
    <x v="0"/>
    <x v="1"/>
    <x v="352"/>
    <x v="382"/>
    <x v="3"/>
    <x v="9"/>
    <x v="15"/>
    <n v="0.43094629156010228"/>
  </r>
  <r>
    <s v="B-26552"/>
    <n v="2804"/>
    <n v="936"/>
    <n v="10"/>
    <x v="0"/>
    <x v="0"/>
    <x v="3"/>
    <x v="353"/>
    <x v="383"/>
    <x v="4"/>
    <x v="10"/>
    <x v="26"/>
    <n v="0.33380884450784593"/>
  </r>
  <r>
    <s v="B-26552"/>
    <n v="2804"/>
    <n v="936"/>
    <n v="10"/>
    <x v="0"/>
    <x v="0"/>
    <x v="3"/>
    <x v="354"/>
    <x v="384"/>
    <x v="0"/>
    <x v="16"/>
    <x v="11"/>
    <n v="0.33380884450784593"/>
  </r>
  <r>
    <s v="B-26552"/>
    <n v="2804"/>
    <n v="936"/>
    <n v="10"/>
    <x v="0"/>
    <x v="0"/>
    <x v="3"/>
    <x v="355"/>
    <x v="385"/>
    <x v="0"/>
    <x v="16"/>
    <x v="23"/>
    <n v="0.33380884450784593"/>
  </r>
  <r>
    <s v="B-25203"/>
    <n v="2321"/>
    <n v="505"/>
    <n v="6"/>
    <x v="2"/>
    <x v="5"/>
    <x v="2"/>
    <x v="356"/>
    <x v="386"/>
    <x v="1"/>
    <x v="6"/>
    <x v="15"/>
    <n v="0.21757862990090479"/>
  </r>
  <r>
    <s v="B-25462"/>
    <n v="5730"/>
    <n v="482"/>
    <n v="6"/>
    <x v="0"/>
    <x v="3"/>
    <x v="4"/>
    <x v="357"/>
    <x v="387"/>
    <x v="0"/>
    <x v="16"/>
    <x v="19"/>
    <n v="8.4118673647469458E-2"/>
  </r>
  <r>
    <s v="B-26145"/>
    <n v="7441"/>
    <n v="867"/>
    <n v="12"/>
    <x v="2"/>
    <x v="7"/>
    <x v="4"/>
    <x v="179"/>
    <x v="388"/>
    <x v="1"/>
    <x v="1"/>
    <x v="35"/>
    <n v="0.1165165972315549"/>
  </r>
  <r>
    <s v="B-26145"/>
    <n v="7441"/>
    <n v="867"/>
    <n v="12"/>
    <x v="2"/>
    <x v="7"/>
    <x v="4"/>
    <x v="358"/>
    <x v="389"/>
    <x v="4"/>
    <x v="10"/>
    <x v="8"/>
    <n v="0.1165165972315549"/>
  </r>
  <r>
    <s v="B-25552"/>
    <n v="1732"/>
    <n v="766"/>
    <n v="7"/>
    <x v="1"/>
    <x v="9"/>
    <x v="0"/>
    <x v="78"/>
    <x v="390"/>
    <x v="2"/>
    <x v="5"/>
    <x v="14"/>
    <n v="0.44226327944572746"/>
  </r>
  <r>
    <s v="B-25552"/>
    <n v="8788"/>
    <n v="3944"/>
    <n v="19"/>
    <x v="1"/>
    <x v="8"/>
    <x v="2"/>
    <x v="78"/>
    <x v="390"/>
    <x v="2"/>
    <x v="5"/>
    <x v="14"/>
    <n v="0.44879380974055533"/>
  </r>
  <r>
    <s v="B-26069"/>
    <n v="838"/>
    <n v="271"/>
    <n v="11"/>
    <x v="1"/>
    <x v="6"/>
    <x v="2"/>
    <x v="359"/>
    <x v="391"/>
    <x v="5"/>
    <x v="12"/>
    <x v="49"/>
    <n v="0.3233890214797136"/>
  </r>
  <r>
    <s v="B-26069"/>
    <n v="838"/>
    <n v="271"/>
    <n v="11"/>
    <x v="1"/>
    <x v="6"/>
    <x v="2"/>
    <x v="360"/>
    <x v="392"/>
    <x v="1"/>
    <x v="17"/>
    <x v="26"/>
    <n v="0.3233890214797136"/>
  </r>
  <r>
    <s v="B-26069"/>
    <n v="3577"/>
    <n v="699"/>
    <n v="2"/>
    <x v="2"/>
    <x v="4"/>
    <x v="0"/>
    <x v="359"/>
    <x v="391"/>
    <x v="5"/>
    <x v="12"/>
    <x v="49"/>
    <n v="0.1954151523623148"/>
  </r>
  <r>
    <s v="B-26069"/>
    <n v="3577"/>
    <n v="699"/>
    <n v="2"/>
    <x v="2"/>
    <x v="4"/>
    <x v="0"/>
    <x v="360"/>
    <x v="392"/>
    <x v="1"/>
    <x v="17"/>
    <x v="26"/>
    <n v="0.1954151523623148"/>
  </r>
  <r>
    <s v="B-25120"/>
    <n v="7122"/>
    <n v="1836"/>
    <n v="6"/>
    <x v="0"/>
    <x v="10"/>
    <x v="1"/>
    <x v="361"/>
    <x v="393"/>
    <x v="4"/>
    <x v="8"/>
    <x v="44"/>
    <n v="0.25779275484414488"/>
  </r>
  <r>
    <s v="B-25120"/>
    <n v="7122"/>
    <n v="1836"/>
    <n v="6"/>
    <x v="0"/>
    <x v="10"/>
    <x v="1"/>
    <x v="362"/>
    <x v="394"/>
    <x v="4"/>
    <x v="15"/>
    <x v="45"/>
    <n v="0.25779275484414488"/>
  </r>
  <r>
    <s v="B-25120"/>
    <n v="7122"/>
    <n v="1836"/>
    <n v="6"/>
    <x v="0"/>
    <x v="10"/>
    <x v="1"/>
    <x v="363"/>
    <x v="395"/>
    <x v="2"/>
    <x v="5"/>
    <x v="17"/>
    <n v="0.25779275484414488"/>
  </r>
  <r>
    <s v="B-25120"/>
    <n v="7327"/>
    <n v="2596"/>
    <n v="15"/>
    <x v="1"/>
    <x v="6"/>
    <x v="3"/>
    <x v="361"/>
    <x v="393"/>
    <x v="4"/>
    <x v="8"/>
    <x v="44"/>
    <n v="0.35430599153814657"/>
  </r>
  <r>
    <s v="B-25120"/>
    <n v="7327"/>
    <n v="2596"/>
    <n v="15"/>
    <x v="1"/>
    <x v="6"/>
    <x v="3"/>
    <x v="362"/>
    <x v="394"/>
    <x v="4"/>
    <x v="15"/>
    <x v="45"/>
    <n v="0.35430599153814657"/>
  </r>
  <r>
    <s v="B-25120"/>
    <n v="7327"/>
    <n v="2596"/>
    <n v="15"/>
    <x v="1"/>
    <x v="6"/>
    <x v="3"/>
    <x v="363"/>
    <x v="395"/>
    <x v="2"/>
    <x v="5"/>
    <x v="17"/>
    <n v="0.35430599153814657"/>
  </r>
  <r>
    <s v="B-26146"/>
    <n v="2239"/>
    <n v="1094"/>
    <n v="18"/>
    <x v="0"/>
    <x v="1"/>
    <x v="4"/>
    <x v="364"/>
    <x v="396"/>
    <x v="0"/>
    <x v="16"/>
    <x v="41"/>
    <n v="0.48861098704778921"/>
  </r>
  <r>
    <s v="B-26146"/>
    <n v="4932"/>
    <n v="1153"/>
    <n v="1"/>
    <x v="1"/>
    <x v="6"/>
    <x v="4"/>
    <x v="364"/>
    <x v="396"/>
    <x v="0"/>
    <x v="16"/>
    <x v="41"/>
    <n v="0.233779399837794"/>
  </r>
  <r>
    <s v="B-25549"/>
    <n v="4609"/>
    <n v="1084"/>
    <n v="8"/>
    <x v="0"/>
    <x v="1"/>
    <x v="0"/>
    <x v="365"/>
    <x v="397"/>
    <x v="0"/>
    <x v="3"/>
    <x v="17"/>
    <n v="0.23519201562160991"/>
  </r>
  <r>
    <s v="B-25549"/>
    <n v="2328"/>
    <n v="788"/>
    <n v="4"/>
    <x v="1"/>
    <x v="8"/>
    <x v="0"/>
    <x v="365"/>
    <x v="397"/>
    <x v="0"/>
    <x v="3"/>
    <x v="17"/>
    <n v="0.33848797250859108"/>
  </r>
  <r>
    <s v="B-25549"/>
    <n v="4734"/>
    <n v="958"/>
    <n v="7"/>
    <x v="0"/>
    <x v="1"/>
    <x v="1"/>
    <x v="365"/>
    <x v="397"/>
    <x v="0"/>
    <x v="3"/>
    <x v="17"/>
    <n v="0.20236586396282213"/>
  </r>
  <r>
    <s v="B-25488"/>
    <n v="1388"/>
    <n v="345"/>
    <n v="5"/>
    <x v="2"/>
    <x v="7"/>
    <x v="0"/>
    <x v="366"/>
    <x v="398"/>
    <x v="2"/>
    <x v="5"/>
    <x v="56"/>
    <n v="0.24855907780979827"/>
  </r>
  <r>
    <s v="B-25488"/>
    <n v="8555"/>
    <n v="1638"/>
    <n v="8"/>
    <x v="0"/>
    <x v="3"/>
    <x v="3"/>
    <x v="366"/>
    <x v="398"/>
    <x v="2"/>
    <x v="5"/>
    <x v="56"/>
    <n v="0.19146697837521917"/>
  </r>
  <r>
    <s v="B-26885"/>
    <n v="9024"/>
    <n v="730"/>
    <n v="4"/>
    <x v="2"/>
    <x v="4"/>
    <x v="3"/>
    <x v="367"/>
    <x v="399"/>
    <x v="4"/>
    <x v="8"/>
    <x v="42"/>
    <n v="8.0895390070921988E-2"/>
  </r>
  <r>
    <s v="B-26885"/>
    <n v="2468"/>
    <n v="418"/>
    <n v="4"/>
    <x v="0"/>
    <x v="3"/>
    <x v="3"/>
    <x v="367"/>
    <x v="399"/>
    <x v="4"/>
    <x v="8"/>
    <x v="42"/>
    <n v="0.1693679092382496"/>
  </r>
  <r>
    <s v="B-25703"/>
    <n v="9438"/>
    <n v="1801"/>
    <n v="4"/>
    <x v="0"/>
    <x v="0"/>
    <x v="4"/>
    <x v="368"/>
    <x v="400"/>
    <x v="0"/>
    <x v="3"/>
    <x v="28"/>
    <n v="0.19082432718796355"/>
  </r>
  <r>
    <s v="B-25703"/>
    <n v="9438"/>
    <n v="1801"/>
    <n v="4"/>
    <x v="0"/>
    <x v="0"/>
    <x v="4"/>
    <x v="369"/>
    <x v="401"/>
    <x v="4"/>
    <x v="10"/>
    <x v="59"/>
    <n v="0.19082432718796355"/>
  </r>
  <r>
    <s v="B-25809"/>
    <n v="2685"/>
    <n v="379"/>
    <n v="18"/>
    <x v="0"/>
    <x v="10"/>
    <x v="0"/>
    <x v="370"/>
    <x v="402"/>
    <x v="5"/>
    <x v="14"/>
    <x v="25"/>
    <n v="0.14115456238361265"/>
  </r>
  <r>
    <s v="B-25809"/>
    <n v="2685"/>
    <n v="379"/>
    <n v="18"/>
    <x v="0"/>
    <x v="10"/>
    <x v="0"/>
    <x v="174"/>
    <x v="403"/>
    <x v="0"/>
    <x v="16"/>
    <x v="29"/>
    <n v="0.14115456238361265"/>
  </r>
  <r>
    <s v="B-25809"/>
    <n v="9916"/>
    <n v="4602"/>
    <n v="14"/>
    <x v="2"/>
    <x v="5"/>
    <x v="0"/>
    <x v="370"/>
    <x v="402"/>
    <x v="5"/>
    <x v="14"/>
    <x v="25"/>
    <n v="0.46409842678499397"/>
  </r>
  <r>
    <s v="B-25809"/>
    <n v="9916"/>
    <n v="4602"/>
    <n v="14"/>
    <x v="2"/>
    <x v="5"/>
    <x v="0"/>
    <x v="174"/>
    <x v="403"/>
    <x v="0"/>
    <x v="16"/>
    <x v="29"/>
    <n v="0.46409842678499397"/>
  </r>
  <r>
    <s v="B-25809"/>
    <n v="6184"/>
    <n v="50"/>
    <n v="14"/>
    <x v="0"/>
    <x v="0"/>
    <x v="3"/>
    <x v="370"/>
    <x v="402"/>
    <x v="5"/>
    <x v="14"/>
    <x v="25"/>
    <n v="8.0853816300129368E-3"/>
  </r>
  <r>
    <s v="B-25809"/>
    <n v="6184"/>
    <n v="50"/>
    <n v="14"/>
    <x v="0"/>
    <x v="0"/>
    <x v="3"/>
    <x v="174"/>
    <x v="403"/>
    <x v="0"/>
    <x v="16"/>
    <x v="29"/>
    <n v="8.0853816300129368E-3"/>
  </r>
  <r>
    <s v="B-25809"/>
    <n v="4548"/>
    <n v="2135"/>
    <n v="8"/>
    <x v="1"/>
    <x v="6"/>
    <x v="1"/>
    <x v="370"/>
    <x v="402"/>
    <x v="5"/>
    <x v="14"/>
    <x v="25"/>
    <n v="0.46943711521547932"/>
  </r>
  <r>
    <s v="B-25809"/>
    <n v="4548"/>
    <n v="2135"/>
    <n v="8"/>
    <x v="1"/>
    <x v="6"/>
    <x v="1"/>
    <x v="174"/>
    <x v="403"/>
    <x v="0"/>
    <x v="16"/>
    <x v="29"/>
    <n v="0.46943711521547932"/>
  </r>
  <r>
    <s v="B-25477"/>
    <n v="7195"/>
    <n v="1665"/>
    <n v="7"/>
    <x v="1"/>
    <x v="6"/>
    <x v="4"/>
    <x v="371"/>
    <x v="404"/>
    <x v="2"/>
    <x v="7"/>
    <x v="41"/>
    <n v="0.231410701876303"/>
  </r>
  <r>
    <s v="B-25477"/>
    <n v="7195"/>
    <n v="1665"/>
    <n v="7"/>
    <x v="1"/>
    <x v="6"/>
    <x v="4"/>
    <x v="372"/>
    <x v="405"/>
    <x v="2"/>
    <x v="2"/>
    <x v="58"/>
    <n v="0.231410701876303"/>
  </r>
  <r>
    <s v="B-26018"/>
    <n v="3098"/>
    <n v="957"/>
    <n v="18"/>
    <x v="2"/>
    <x v="11"/>
    <x v="4"/>
    <x v="373"/>
    <x v="406"/>
    <x v="4"/>
    <x v="10"/>
    <x v="41"/>
    <n v="0.30890897353131053"/>
  </r>
  <r>
    <s v="B-25329"/>
    <n v="5412"/>
    <n v="1192"/>
    <n v="18"/>
    <x v="2"/>
    <x v="4"/>
    <x v="3"/>
    <x v="374"/>
    <x v="407"/>
    <x v="3"/>
    <x v="9"/>
    <x v="42"/>
    <n v="0.22025129342202512"/>
  </r>
  <r>
    <s v="B-25329"/>
    <n v="5412"/>
    <n v="1192"/>
    <n v="18"/>
    <x v="2"/>
    <x v="4"/>
    <x v="3"/>
    <x v="375"/>
    <x v="408"/>
    <x v="3"/>
    <x v="4"/>
    <x v="52"/>
    <n v="0.22025129342202512"/>
  </r>
  <r>
    <s v="B-25182"/>
    <n v="1397"/>
    <n v="686"/>
    <n v="11"/>
    <x v="2"/>
    <x v="5"/>
    <x v="3"/>
    <x v="376"/>
    <x v="409"/>
    <x v="2"/>
    <x v="5"/>
    <x v="13"/>
    <n v="0.49105225483178239"/>
  </r>
  <r>
    <s v="B-25492"/>
    <n v="9279"/>
    <n v="552"/>
    <n v="14"/>
    <x v="2"/>
    <x v="5"/>
    <x v="2"/>
    <x v="377"/>
    <x v="410"/>
    <x v="2"/>
    <x v="2"/>
    <x v="13"/>
    <n v="5.948916909149693E-2"/>
  </r>
  <r>
    <s v="B-25492"/>
    <n v="9279"/>
    <n v="552"/>
    <n v="14"/>
    <x v="2"/>
    <x v="5"/>
    <x v="2"/>
    <x v="378"/>
    <x v="411"/>
    <x v="3"/>
    <x v="11"/>
    <x v="11"/>
    <n v="5.948916909149693E-2"/>
  </r>
  <r>
    <s v="B-25492"/>
    <n v="2596"/>
    <n v="1003"/>
    <n v="19"/>
    <x v="1"/>
    <x v="8"/>
    <x v="3"/>
    <x v="377"/>
    <x v="410"/>
    <x v="2"/>
    <x v="2"/>
    <x v="13"/>
    <n v="0.38636363636363635"/>
  </r>
  <r>
    <s v="B-25492"/>
    <n v="2596"/>
    <n v="1003"/>
    <n v="19"/>
    <x v="1"/>
    <x v="8"/>
    <x v="3"/>
    <x v="378"/>
    <x v="411"/>
    <x v="3"/>
    <x v="11"/>
    <x v="11"/>
    <n v="0.38636363636363635"/>
  </r>
  <r>
    <s v="B-25517"/>
    <n v="6732"/>
    <n v="911"/>
    <n v="19"/>
    <x v="2"/>
    <x v="11"/>
    <x v="2"/>
    <x v="379"/>
    <x v="412"/>
    <x v="2"/>
    <x v="2"/>
    <x v="13"/>
    <n v="0.13532382650029709"/>
  </r>
  <r>
    <s v="B-25517"/>
    <n v="4495"/>
    <n v="1408"/>
    <n v="14"/>
    <x v="1"/>
    <x v="2"/>
    <x v="2"/>
    <x v="379"/>
    <x v="412"/>
    <x v="2"/>
    <x v="2"/>
    <x v="13"/>
    <n v="0.3132369299221357"/>
  </r>
  <r>
    <s v="B-25200"/>
    <n v="9653"/>
    <n v="2471"/>
    <n v="6"/>
    <x v="1"/>
    <x v="8"/>
    <x v="0"/>
    <x v="380"/>
    <x v="413"/>
    <x v="2"/>
    <x v="2"/>
    <x v="41"/>
    <n v="0.25598259608411894"/>
  </r>
  <r>
    <s v="B-26009"/>
    <n v="8945"/>
    <n v="1728"/>
    <n v="10"/>
    <x v="2"/>
    <x v="4"/>
    <x v="0"/>
    <x v="381"/>
    <x v="414"/>
    <x v="1"/>
    <x v="17"/>
    <x v="51"/>
    <n v="0.19318054779206262"/>
  </r>
  <r>
    <s v="B-26580"/>
    <n v="4007"/>
    <n v="201"/>
    <n v="13"/>
    <x v="2"/>
    <x v="11"/>
    <x v="4"/>
    <x v="299"/>
    <x v="415"/>
    <x v="5"/>
    <x v="12"/>
    <x v="20"/>
    <n v="5.0162216121786875E-2"/>
  </r>
  <r>
    <s v="B-26580"/>
    <n v="4007"/>
    <n v="201"/>
    <n v="13"/>
    <x v="2"/>
    <x v="11"/>
    <x v="4"/>
    <x v="103"/>
    <x v="416"/>
    <x v="4"/>
    <x v="8"/>
    <x v="28"/>
    <n v="5.0162216121786875E-2"/>
  </r>
  <r>
    <s v="B-25679"/>
    <n v="810"/>
    <n v="231"/>
    <n v="18"/>
    <x v="2"/>
    <x v="11"/>
    <x v="2"/>
    <x v="299"/>
    <x v="417"/>
    <x v="0"/>
    <x v="16"/>
    <x v="20"/>
    <n v="0.28518518518518521"/>
  </r>
  <r>
    <s v="B-26034"/>
    <n v="9789"/>
    <n v="2071"/>
    <n v="18"/>
    <x v="2"/>
    <x v="11"/>
    <x v="1"/>
    <x v="382"/>
    <x v="418"/>
    <x v="2"/>
    <x v="7"/>
    <x v="16"/>
    <n v="0.21156400040862192"/>
  </r>
  <r>
    <s v="B-26034"/>
    <n v="9229"/>
    <n v="4090"/>
    <n v="8"/>
    <x v="0"/>
    <x v="0"/>
    <x v="4"/>
    <x v="382"/>
    <x v="418"/>
    <x v="2"/>
    <x v="7"/>
    <x v="16"/>
    <n v="0.44316827391916785"/>
  </r>
  <r>
    <s v="B-25148"/>
    <n v="8141"/>
    <n v="3968"/>
    <n v="18"/>
    <x v="1"/>
    <x v="6"/>
    <x v="1"/>
    <x v="56"/>
    <x v="419"/>
    <x v="2"/>
    <x v="7"/>
    <x v="29"/>
    <n v="0.4874094091634934"/>
  </r>
  <r>
    <s v="B-25148"/>
    <n v="8141"/>
    <n v="3968"/>
    <n v="18"/>
    <x v="1"/>
    <x v="6"/>
    <x v="1"/>
    <x v="383"/>
    <x v="420"/>
    <x v="1"/>
    <x v="17"/>
    <x v="40"/>
    <n v="0.4874094091634934"/>
  </r>
  <r>
    <s v="B-25148"/>
    <n v="1067"/>
    <n v="251"/>
    <n v="14"/>
    <x v="2"/>
    <x v="7"/>
    <x v="2"/>
    <x v="56"/>
    <x v="419"/>
    <x v="2"/>
    <x v="7"/>
    <x v="29"/>
    <n v="0.23523898781630739"/>
  </r>
  <r>
    <s v="B-25148"/>
    <n v="1067"/>
    <n v="251"/>
    <n v="14"/>
    <x v="2"/>
    <x v="7"/>
    <x v="2"/>
    <x v="383"/>
    <x v="420"/>
    <x v="1"/>
    <x v="17"/>
    <x v="40"/>
    <n v="0.23523898781630739"/>
  </r>
  <r>
    <s v="B-25830"/>
    <n v="3839"/>
    <n v="1415"/>
    <n v="10"/>
    <x v="1"/>
    <x v="9"/>
    <x v="0"/>
    <x v="384"/>
    <x v="421"/>
    <x v="3"/>
    <x v="4"/>
    <x v="59"/>
    <n v="0.36858556915863505"/>
  </r>
  <r>
    <s v="B-25830"/>
    <n v="3839"/>
    <n v="1415"/>
    <n v="10"/>
    <x v="1"/>
    <x v="9"/>
    <x v="0"/>
    <x v="360"/>
    <x v="422"/>
    <x v="0"/>
    <x v="3"/>
    <x v="26"/>
    <n v="0.36858556915863505"/>
  </r>
  <r>
    <s v="B-25762"/>
    <n v="2858"/>
    <n v="482"/>
    <n v="13"/>
    <x v="0"/>
    <x v="0"/>
    <x v="4"/>
    <x v="385"/>
    <x v="423"/>
    <x v="4"/>
    <x v="10"/>
    <x v="3"/>
    <n v="0.16864940517844645"/>
  </r>
  <r>
    <s v="B-26794"/>
    <n v="2137"/>
    <n v="638"/>
    <n v="12"/>
    <x v="2"/>
    <x v="11"/>
    <x v="1"/>
    <x v="218"/>
    <x v="424"/>
    <x v="2"/>
    <x v="5"/>
    <x v="20"/>
    <n v="0.29854936827328032"/>
  </r>
  <r>
    <s v="B-26794"/>
    <n v="2831"/>
    <n v="1289"/>
    <n v="12"/>
    <x v="2"/>
    <x v="5"/>
    <x v="1"/>
    <x v="218"/>
    <x v="424"/>
    <x v="2"/>
    <x v="5"/>
    <x v="20"/>
    <n v="0.45531614270575771"/>
  </r>
  <r>
    <s v="B-25011"/>
    <n v="3913"/>
    <n v="961"/>
    <n v="15"/>
    <x v="2"/>
    <x v="7"/>
    <x v="0"/>
    <x v="386"/>
    <x v="425"/>
    <x v="5"/>
    <x v="12"/>
    <x v="42"/>
    <n v="0.24559161768464094"/>
  </r>
  <r>
    <s v="B-25011"/>
    <n v="3913"/>
    <n v="961"/>
    <n v="15"/>
    <x v="2"/>
    <x v="7"/>
    <x v="0"/>
    <x v="387"/>
    <x v="426"/>
    <x v="3"/>
    <x v="11"/>
    <x v="51"/>
    <n v="0.24559161768464094"/>
  </r>
  <r>
    <s v="B-25515"/>
    <n v="4468"/>
    <n v="1940"/>
    <n v="9"/>
    <x v="1"/>
    <x v="8"/>
    <x v="4"/>
    <x v="388"/>
    <x v="427"/>
    <x v="0"/>
    <x v="16"/>
    <x v="25"/>
    <n v="0.43419874664279318"/>
  </r>
  <r>
    <s v="B-25369"/>
    <n v="1579"/>
    <n v="602"/>
    <n v="9"/>
    <x v="0"/>
    <x v="3"/>
    <x v="3"/>
    <x v="389"/>
    <x v="428"/>
    <x v="5"/>
    <x v="13"/>
    <x v="8"/>
    <n v="0.38125395820139329"/>
  </r>
  <r>
    <s v="B-25369"/>
    <n v="1579"/>
    <n v="602"/>
    <n v="9"/>
    <x v="0"/>
    <x v="3"/>
    <x v="3"/>
    <x v="390"/>
    <x v="429"/>
    <x v="4"/>
    <x v="8"/>
    <x v="9"/>
    <n v="0.38125395820139329"/>
  </r>
  <r>
    <s v="B-25369"/>
    <n v="1579"/>
    <n v="602"/>
    <n v="9"/>
    <x v="0"/>
    <x v="3"/>
    <x v="3"/>
    <x v="84"/>
    <x v="430"/>
    <x v="5"/>
    <x v="13"/>
    <x v="35"/>
    <n v="0.38125395820139329"/>
  </r>
  <r>
    <s v="B-25369"/>
    <n v="1579"/>
    <n v="602"/>
    <n v="9"/>
    <x v="0"/>
    <x v="3"/>
    <x v="3"/>
    <x v="391"/>
    <x v="431"/>
    <x v="2"/>
    <x v="7"/>
    <x v="31"/>
    <n v="0.38125395820139329"/>
  </r>
  <r>
    <s v="B-25369"/>
    <n v="3760"/>
    <n v="1849"/>
    <n v="19"/>
    <x v="2"/>
    <x v="5"/>
    <x v="2"/>
    <x v="389"/>
    <x v="428"/>
    <x v="5"/>
    <x v="13"/>
    <x v="8"/>
    <n v="0.49175531914893617"/>
  </r>
  <r>
    <s v="B-25369"/>
    <n v="3760"/>
    <n v="1849"/>
    <n v="19"/>
    <x v="2"/>
    <x v="5"/>
    <x v="2"/>
    <x v="390"/>
    <x v="429"/>
    <x v="4"/>
    <x v="8"/>
    <x v="9"/>
    <n v="0.49175531914893617"/>
  </r>
  <r>
    <s v="B-25369"/>
    <n v="3760"/>
    <n v="1849"/>
    <n v="19"/>
    <x v="2"/>
    <x v="5"/>
    <x v="2"/>
    <x v="84"/>
    <x v="430"/>
    <x v="5"/>
    <x v="13"/>
    <x v="35"/>
    <n v="0.49175531914893617"/>
  </r>
  <r>
    <s v="B-25369"/>
    <n v="3760"/>
    <n v="1849"/>
    <n v="19"/>
    <x v="2"/>
    <x v="5"/>
    <x v="2"/>
    <x v="391"/>
    <x v="431"/>
    <x v="2"/>
    <x v="7"/>
    <x v="31"/>
    <n v="0.49175531914893617"/>
  </r>
  <r>
    <s v="B-26222"/>
    <n v="8706"/>
    <n v="3099"/>
    <n v="14"/>
    <x v="1"/>
    <x v="2"/>
    <x v="3"/>
    <x v="392"/>
    <x v="432"/>
    <x v="1"/>
    <x v="1"/>
    <x v="33"/>
    <n v="0.35596140592694692"/>
  </r>
  <r>
    <s v="B-26222"/>
    <n v="4708"/>
    <n v="696"/>
    <n v="14"/>
    <x v="0"/>
    <x v="0"/>
    <x v="3"/>
    <x v="392"/>
    <x v="432"/>
    <x v="1"/>
    <x v="1"/>
    <x v="33"/>
    <n v="0.14783347493627869"/>
  </r>
  <r>
    <s v="B-26222"/>
    <n v="8089"/>
    <n v="3132"/>
    <n v="17"/>
    <x v="2"/>
    <x v="5"/>
    <x v="4"/>
    <x v="392"/>
    <x v="432"/>
    <x v="1"/>
    <x v="1"/>
    <x v="33"/>
    <n v="0.38719248361973052"/>
  </r>
  <r>
    <s v="B-25316"/>
    <n v="5462"/>
    <n v="673"/>
    <n v="12"/>
    <x v="0"/>
    <x v="1"/>
    <x v="1"/>
    <x v="393"/>
    <x v="433"/>
    <x v="4"/>
    <x v="10"/>
    <x v="5"/>
    <n v="0.12321493958257049"/>
  </r>
  <r>
    <s v="B-25507"/>
    <n v="6392"/>
    <n v="444"/>
    <n v="18"/>
    <x v="0"/>
    <x v="0"/>
    <x v="3"/>
    <x v="394"/>
    <x v="434"/>
    <x v="0"/>
    <x v="16"/>
    <x v="6"/>
    <n v="6.9461827284105132E-2"/>
  </r>
  <r>
    <s v="B-25846"/>
    <n v="8706"/>
    <n v="1724"/>
    <n v="3"/>
    <x v="0"/>
    <x v="0"/>
    <x v="1"/>
    <x v="395"/>
    <x v="435"/>
    <x v="0"/>
    <x v="3"/>
    <x v="32"/>
    <n v="0.1980243510222835"/>
  </r>
  <r>
    <s v="B-25763"/>
    <n v="2349"/>
    <n v="319"/>
    <n v="4"/>
    <x v="1"/>
    <x v="2"/>
    <x v="0"/>
    <x v="138"/>
    <x v="436"/>
    <x v="0"/>
    <x v="0"/>
    <x v="12"/>
    <n v="0.13580246913580246"/>
  </r>
  <r>
    <s v="B-25763"/>
    <n v="8220"/>
    <n v="3882"/>
    <n v="14"/>
    <x v="2"/>
    <x v="5"/>
    <x v="0"/>
    <x v="138"/>
    <x v="436"/>
    <x v="0"/>
    <x v="0"/>
    <x v="12"/>
    <n v="0.47226277372262776"/>
  </r>
  <r>
    <s v="B-25763"/>
    <n v="2379"/>
    <n v="279"/>
    <n v="7"/>
    <x v="2"/>
    <x v="5"/>
    <x v="1"/>
    <x v="138"/>
    <x v="436"/>
    <x v="0"/>
    <x v="0"/>
    <x v="12"/>
    <n v="0.11727616645649433"/>
  </r>
  <r>
    <s v="B-25763"/>
    <n v="7377"/>
    <n v="2049"/>
    <n v="4"/>
    <x v="1"/>
    <x v="6"/>
    <x v="0"/>
    <x v="138"/>
    <x v="436"/>
    <x v="0"/>
    <x v="0"/>
    <x v="12"/>
    <n v="0.27775518503456692"/>
  </r>
  <r>
    <s v="B-25465"/>
    <n v="717"/>
    <n v="158"/>
    <n v="16"/>
    <x v="2"/>
    <x v="4"/>
    <x v="3"/>
    <x v="396"/>
    <x v="437"/>
    <x v="5"/>
    <x v="14"/>
    <x v="25"/>
    <n v="0.2203626220362622"/>
  </r>
  <r>
    <s v="B-25465"/>
    <n v="717"/>
    <n v="158"/>
    <n v="16"/>
    <x v="2"/>
    <x v="4"/>
    <x v="3"/>
    <x v="397"/>
    <x v="438"/>
    <x v="0"/>
    <x v="0"/>
    <x v="53"/>
    <n v="0.2203626220362622"/>
  </r>
  <r>
    <s v="B-25465"/>
    <n v="717"/>
    <n v="158"/>
    <n v="16"/>
    <x v="2"/>
    <x v="4"/>
    <x v="3"/>
    <x v="56"/>
    <x v="439"/>
    <x v="2"/>
    <x v="2"/>
    <x v="29"/>
    <n v="0.2203626220362622"/>
  </r>
  <r>
    <s v="B-25465"/>
    <n v="717"/>
    <n v="158"/>
    <n v="16"/>
    <x v="2"/>
    <x v="4"/>
    <x v="3"/>
    <x v="398"/>
    <x v="440"/>
    <x v="2"/>
    <x v="5"/>
    <x v="46"/>
    <n v="0.2203626220362622"/>
  </r>
  <r>
    <s v="B-25465"/>
    <n v="717"/>
    <n v="158"/>
    <n v="16"/>
    <x v="2"/>
    <x v="4"/>
    <x v="3"/>
    <x v="399"/>
    <x v="441"/>
    <x v="0"/>
    <x v="3"/>
    <x v="11"/>
    <n v="0.2203626220362622"/>
  </r>
  <r>
    <s v="B-25465"/>
    <n v="717"/>
    <n v="158"/>
    <n v="16"/>
    <x v="2"/>
    <x v="4"/>
    <x v="3"/>
    <x v="400"/>
    <x v="442"/>
    <x v="2"/>
    <x v="7"/>
    <x v="59"/>
    <n v="0.2203626220362622"/>
  </r>
  <r>
    <s v="B-25465"/>
    <n v="508"/>
    <n v="177"/>
    <n v="17"/>
    <x v="2"/>
    <x v="7"/>
    <x v="0"/>
    <x v="396"/>
    <x v="437"/>
    <x v="5"/>
    <x v="14"/>
    <x v="25"/>
    <n v="0.34842519685039369"/>
  </r>
  <r>
    <s v="B-25465"/>
    <n v="508"/>
    <n v="177"/>
    <n v="17"/>
    <x v="2"/>
    <x v="7"/>
    <x v="0"/>
    <x v="397"/>
    <x v="438"/>
    <x v="0"/>
    <x v="0"/>
    <x v="53"/>
    <n v="0.34842519685039369"/>
  </r>
  <r>
    <s v="B-25465"/>
    <n v="508"/>
    <n v="177"/>
    <n v="17"/>
    <x v="2"/>
    <x v="7"/>
    <x v="0"/>
    <x v="56"/>
    <x v="439"/>
    <x v="2"/>
    <x v="2"/>
    <x v="29"/>
    <n v="0.34842519685039369"/>
  </r>
  <r>
    <s v="B-25465"/>
    <n v="508"/>
    <n v="177"/>
    <n v="17"/>
    <x v="2"/>
    <x v="7"/>
    <x v="0"/>
    <x v="398"/>
    <x v="440"/>
    <x v="2"/>
    <x v="5"/>
    <x v="46"/>
    <n v="0.34842519685039369"/>
  </r>
  <r>
    <s v="B-25465"/>
    <n v="508"/>
    <n v="177"/>
    <n v="17"/>
    <x v="2"/>
    <x v="7"/>
    <x v="0"/>
    <x v="399"/>
    <x v="441"/>
    <x v="0"/>
    <x v="3"/>
    <x v="11"/>
    <n v="0.34842519685039369"/>
  </r>
  <r>
    <s v="B-25465"/>
    <n v="508"/>
    <n v="177"/>
    <n v="17"/>
    <x v="2"/>
    <x v="7"/>
    <x v="0"/>
    <x v="400"/>
    <x v="442"/>
    <x v="2"/>
    <x v="7"/>
    <x v="59"/>
    <n v="0.34842519685039369"/>
  </r>
  <r>
    <s v="B-26352"/>
    <n v="9382"/>
    <n v="1085"/>
    <n v="3"/>
    <x v="0"/>
    <x v="1"/>
    <x v="1"/>
    <x v="401"/>
    <x v="443"/>
    <x v="1"/>
    <x v="1"/>
    <x v="17"/>
    <n v="0.11564698358558943"/>
  </r>
  <r>
    <s v="B-26352"/>
    <n v="9382"/>
    <n v="1085"/>
    <n v="3"/>
    <x v="0"/>
    <x v="1"/>
    <x v="1"/>
    <x v="52"/>
    <x v="444"/>
    <x v="2"/>
    <x v="7"/>
    <x v="37"/>
    <n v="0.11564698358558943"/>
  </r>
  <r>
    <s v="B-26352"/>
    <n v="4936"/>
    <n v="576"/>
    <n v="19"/>
    <x v="2"/>
    <x v="4"/>
    <x v="4"/>
    <x v="401"/>
    <x v="443"/>
    <x v="1"/>
    <x v="1"/>
    <x v="17"/>
    <n v="0.1166936790923825"/>
  </r>
  <r>
    <s v="B-26352"/>
    <n v="4936"/>
    <n v="576"/>
    <n v="19"/>
    <x v="2"/>
    <x v="4"/>
    <x v="4"/>
    <x v="52"/>
    <x v="444"/>
    <x v="2"/>
    <x v="7"/>
    <x v="37"/>
    <n v="0.1166936790923825"/>
  </r>
  <r>
    <s v="B-26528"/>
    <n v="2663"/>
    <n v="64"/>
    <n v="19"/>
    <x v="2"/>
    <x v="7"/>
    <x v="4"/>
    <x v="194"/>
    <x v="445"/>
    <x v="3"/>
    <x v="11"/>
    <x v="47"/>
    <n v="2.403304543747653E-2"/>
  </r>
  <r>
    <s v="B-26528"/>
    <n v="2663"/>
    <n v="64"/>
    <n v="19"/>
    <x v="2"/>
    <x v="7"/>
    <x v="4"/>
    <x v="204"/>
    <x v="446"/>
    <x v="5"/>
    <x v="14"/>
    <x v="4"/>
    <n v="2.403304543747653E-2"/>
  </r>
  <r>
    <s v="B-26670"/>
    <n v="5151"/>
    <n v="1680"/>
    <n v="5"/>
    <x v="0"/>
    <x v="1"/>
    <x v="2"/>
    <x v="402"/>
    <x v="447"/>
    <x v="4"/>
    <x v="15"/>
    <x v="15"/>
    <n v="0.32615026208503201"/>
  </r>
  <r>
    <s v="B-25331"/>
    <n v="2514"/>
    <n v="95"/>
    <n v="8"/>
    <x v="1"/>
    <x v="2"/>
    <x v="0"/>
    <x v="403"/>
    <x v="448"/>
    <x v="2"/>
    <x v="7"/>
    <x v="17"/>
    <n v="3.7788385043754973E-2"/>
  </r>
  <r>
    <s v="B-25832"/>
    <n v="6129"/>
    <n v="2976"/>
    <n v="2"/>
    <x v="0"/>
    <x v="3"/>
    <x v="2"/>
    <x v="404"/>
    <x v="449"/>
    <x v="2"/>
    <x v="5"/>
    <x v="9"/>
    <n v="0.48556045031815959"/>
  </r>
  <r>
    <s v="B-25832"/>
    <n v="4395"/>
    <n v="1663"/>
    <n v="3"/>
    <x v="2"/>
    <x v="11"/>
    <x v="4"/>
    <x v="404"/>
    <x v="449"/>
    <x v="2"/>
    <x v="5"/>
    <x v="9"/>
    <n v="0.37838452787258248"/>
  </r>
  <r>
    <s v="B-25897"/>
    <n v="5393"/>
    <n v="2642"/>
    <n v="8"/>
    <x v="2"/>
    <x v="5"/>
    <x v="0"/>
    <x v="405"/>
    <x v="450"/>
    <x v="5"/>
    <x v="13"/>
    <x v="34"/>
    <n v="0.48989430743556461"/>
  </r>
  <r>
    <s v="B-25713"/>
    <n v="2280"/>
    <n v="509"/>
    <n v="8"/>
    <x v="0"/>
    <x v="10"/>
    <x v="3"/>
    <x v="125"/>
    <x v="451"/>
    <x v="2"/>
    <x v="2"/>
    <x v="49"/>
    <n v="0.22324561403508772"/>
  </r>
  <r>
    <s v="B-25065"/>
    <n v="6596"/>
    <n v="1439"/>
    <n v="9"/>
    <x v="1"/>
    <x v="8"/>
    <x v="1"/>
    <x v="355"/>
    <x v="452"/>
    <x v="5"/>
    <x v="13"/>
    <x v="23"/>
    <n v="0.21816252274105519"/>
  </r>
  <r>
    <s v="B-25949"/>
    <n v="4510"/>
    <n v="1896"/>
    <n v="5"/>
    <x v="1"/>
    <x v="8"/>
    <x v="2"/>
    <x v="406"/>
    <x v="453"/>
    <x v="3"/>
    <x v="4"/>
    <x v="59"/>
    <n v="0.42039911308203992"/>
  </r>
  <r>
    <s v="B-26033"/>
    <n v="6077"/>
    <n v="2378"/>
    <n v="18"/>
    <x v="0"/>
    <x v="10"/>
    <x v="4"/>
    <x v="232"/>
    <x v="454"/>
    <x v="2"/>
    <x v="5"/>
    <x v="40"/>
    <n v="0.39131150238604573"/>
  </r>
  <r>
    <s v="B-26017"/>
    <n v="5379"/>
    <n v="2510"/>
    <n v="17"/>
    <x v="0"/>
    <x v="1"/>
    <x v="4"/>
    <x v="211"/>
    <x v="455"/>
    <x v="5"/>
    <x v="12"/>
    <x v="39"/>
    <n v="0.466629485034393"/>
  </r>
  <r>
    <s v="B-26926"/>
    <n v="4629"/>
    <n v="1660"/>
    <n v="16"/>
    <x v="1"/>
    <x v="6"/>
    <x v="2"/>
    <x v="407"/>
    <x v="456"/>
    <x v="3"/>
    <x v="9"/>
    <x v="28"/>
    <n v="0.35860877079282782"/>
  </r>
  <r>
    <s v="B-26258"/>
    <n v="2710"/>
    <n v="555"/>
    <n v="20"/>
    <x v="0"/>
    <x v="3"/>
    <x v="1"/>
    <x v="408"/>
    <x v="457"/>
    <x v="1"/>
    <x v="1"/>
    <x v="56"/>
    <n v="0.20479704797047971"/>
  </r>
  <r>
    <s v="B-26258"/>
    <n v="3224"/>
    <n v="1018"/>
    <n v="14"/>
    <x v="1"/>
    <x v="9"/>
    <x v="0"/>
    <x v="408"/>
    <x v="457"/>
    <x v="1"/>
    <x v="1"/>
    <x v="56"/>
    <n v="0.31575682382133996"/>
  </r>
  <r>
    <s v="B-26240"/>
    <n v="8042"/>
    <n v="936"/>
    <n v="15"/>
    <x v="1"/>
    <x v="6"/>
    <x v="2"/>
    <x v="409"/>
    <x v="458"/>
    <x v="1"/>
    <x v="6"/>
    <x v="2"/>
    <n v="0.11638895797065407"/>
  </r>
  <r>
    <s v="B-26240"/>
    <n v="8042"/>
    <n v="936"/>
    <n v="15"/>
    <x v="1"/>
    <x v="6"/>
    <x v="2"/>
    <x v="410"/>
    <x v="459"/>
    <x v="3"/>
    <x v="4"/>
    <x v="39"/>
    <n v="0.11638895797065407"/>
  </r>
  <r>
    <s v="B-26922"/>
    <n v="3957"/>
    <n v="151"/>
    <n v="10"/>
    <x v="1"/>
    <x v="9"/>
    <x v="2"/>
    <x v="411"/>
    <x v="460"/>
    <x v="4"/>
    <x v="10"/>
    <x v="39"/>
    <n v="3.8160222390700028E-2"/>
  </r>
  <r>
    <s v="B-26894"/>
    <n v="8769"/>
    <n v="3178"/>
    <n v="16"/>
    <x v="1"/>
    <x v="6"/>
    <x v="1"/>
    <x v="412"/>
    <x v="461"/>
    <x v="1"/>
    <x v="1"/>
    <x v="54"/>
    <n v="0.36241304595734974"/>
  </r>
  <r>
    <s v="B-25330"/>
    <n v="2957"/>
    <n v="917"/>
    <n v="16"/>
    <x v="1"/>
    <x v="2"/>
    <x v="1"/>
    <x v="413"/>
    <x v="462"/>
    <x v="1"/>
    <x v="1"/>
    <x v="46"/>
    <n v="0.31011159959418327"/>
  </r>
  <r>
    <s v="B-26288"/>
    <n v="5344"/>
    <n v="2607"/>
    <n v="6"/>
    <x v="1"/>
    <x v="8"/>
    <x v="1"/>
    <x v="414"/>
    <x v="463"/>
    <x v="4"/>
    <x v="8"/>
    <x v="39"/>
    <n v="0.48783682634730541"/>
  </r>
  <r>
    <s v="B-26288"/>
    <n v="5344"/>
    <n v="2607"/>
    <n v="6"/>
    <x v="1"/>
    <x v="8"/>
    <x v="1"/>
    <x v="415"/>
    <x v="464"/>
    <x v="2"/>
    <x v="7"/>
    <x v="9"/>
    <n v="0.48783682634730541"/>
  </r>
  <r>
    <s v="B-25228"/>
    <n v="6061"/>
    <n v="2121"/>
    <n v="19"/>
    <x v="0"/>
    <x v="3"/>
    <x v="2"/>
    <x v="416"/>
    <x v="465"/>
    <x v="5"/>
    <x v="14"/>
    <x v="18"/>
    <n v="0.34994225375350602"/>
  </r>
  <r>
    <s v="B-25228"/>
    <n v="6061"/>
    <n v="2121"/>
    <n v="19"/>
    <x v="0"/>
    <x v="3"/>
    <x v="2"/>
    <x v="417"/>
    <x v="466"/>
    <x v="3"/>
    <x v="9"/>
    <x v="12"/>
    <n v="0.34994225375350602"/>
  </r>
  <r>
    <s v="B-26457"/>
    <n v="5376"/>
    <n v="1928"/>
    <n v="7"/>
    <x v="2"/>
    <x v="4"/>
    <x v="3"/>
    <x v="418"/>
    <x v="467"/>
    <x v="2"/>
    <x v="5"/>
    <x v="52"/>
    <n v="0.35863095238095238"/>
  </r>
  <r>
    <s v="B-25790"/>
    <n v="2792"/>
    <n v="1008"/>
    <n v="8"/>
    <x v="0"/>
    <x v="1"/>
    <x v="4"/>
    <x v="419"/>
    <x v="468"/>
    <x v="0"/>
    <x v="0"/>
    <x v="51"/>
    <n v="0.36103151862464183"/>
  </r>
  <r>
    <s v="B-25868"/>
    <n v="2944"/>
    <n v="249"/>
    <n v="5"/>
    <x v="1"/>
    <x v="9"/>
    <x v="3"/>
    <x v="420"/>
    <x v="469"/>
    <x v="5"/>
    <x v="12"/>
    <x v="19"/>
    <n v="8.4578804347826081E-2"/>
  </r>
  <r>
    <s v="B-25868"/>
    <n v="2944"/>
    <n v="249"/>
    <n v="5"/>
    <x v="1"/>
    <x v="9"/>
    <x v="3"/>
    <x v="421"/>
    <x v="470"/>
    <x v="4"/>
    <x v="8"/>
    <x v="29"/>
    <n v="8.4578804347826081E-2"/>
  </r>
  <r>
    <s v="B-25381"/>
    <n v="4220"/>
    <n v="945"/>
    <n v="13"/>
    <x v="1"/>
    <x v="6"/>
    <x v="2"/>
    <x v="422"/>
    <x v="471"/>
    <x v="1"/>
    <x v="6"/>
    <x v="55"/>
    <n v="0.22393364928909953"/>
  </r>
  <r>
    <s v="B-25381"/>
    <n v="4220"/>
    <n v="945"/>
    <n v="13"/>
    <x v="1"/>
    <x v="6"/>
    <x v="2"/>
    <x v="295"/>
    <x v="472"/>
    <x v="1"/>
    <x v="17"/>
    <x v="50"/>
    <n v="0.22393364928909953"/>
  </r>
  <r>
    <s v="B-25153"/>
    <n v="8526"/>
    <n v="1704"/>
    <n v="4"/>
    <x v="1"/>
    <x v="9"/>
    <x v="1"/>
    <x v="150"/>
    <x v="473"/>
    <x v="4"/>
    <x v="10"/>
    <x v="45"/>
    <n v="0.19985925404644617"/>
  </r>
  <r>
    <s v="B-26576"/>
    <n v="8218"/>
    <n v="1430"/>
    <n v="19"/>
    <x v="2"/>
    <x v="11"/>
    <x v="3"/>
    <x v="123"/>
    <x v="474"/>
    <x v="3"/>
    <x v="11"/>
    <x v="0"/>
    <n v="0.17400827451934778"/>
  </r>
  <r>
    <s v="B-26526"/>
    <n v="599"/>
    <n v="265"/>
    <n v="4"/>
    <x v="0"/>
    <x v="10"/>
    <x v="3"/>
    <x v="423"/>
    <x v="475"/>
    <x v="2"/>
    <x v="2"/>
    <x v="58"/>
    <n v="0.44240400667779634"/>
  </r>
  <r>
    <s v="B-26526"/>
    <n v="599"/>
    <n v="265"/>
    <n v="4"/>
    <x v="0"/>
    <x v="10"/>
    <x v="3"/>
    <x v="424"/>
    <x v="476"/>
    <x v="2"/>
    <x v="7"/>
    <x v="1"/>
    <n v="0.44240400667779634"/>
  </r>
  <r>
    <s v="B-26526"/>
    <n v="2727"/>
    <n v="543"/>
    <n v="10"/>
    <x v="2"/>
    <x v="11"/>
    <x v="3"/>
    <x v="423"/>
    <x v="475"/>
    <x v="2"/>
    <x v="2"/>
    <x v="58"/>
    <n v="0.19911991199119913"/>
  </r>
  <r>
    <s v="B-26526"/>
    <n v="2727"/>
    <n v="543"/>
    <n v="10"/>
    <x v="2"/>
    <x v="11"/>
    <x v="3"/>
    <x v="424"/>
    <x v="476"/>
    <x v="2"/>
    <x v="7"/>
    <x v="1"/>
    <n v="0.19911991199119913"/>
  </r>
  <r>
    <s v="B-25819"/>
    <n v="2589"/>
    <n v="605"/>
    <n v="11"/>
    <x v="1"/>
    <x v="2"/>
    <x v="2"/>
    <x v="425"/>
    <x v="477"/>
    <x v="3"/>
    <x v="11"/>
    <x v="6"/>
    <n v="0.23368095789880264"/>
  </r>
  <r>
    <s v="B-25819"/>
    <n v="2589"/>
    <n v="605"/>
    <n v="11"/>
    <x v="1"/>
    <x v="2"/>
    <x v="2"/>
    <x v="366"/>
    <x v="478"/>
    <x v="5"/>
    <x v="14"/>
    <x v="56"/>
    <n v="0.23368095789880264"/>
  </r>
  <r>
    <s v="B-25698"/>
    <n v="3776"/>
    <n v="1100"/>
    <n v="9"/>
    <x v="0"/>
    <x v="0"/>
    <x v="2"/>
    <x v="426"/>
    <x v="479"/>
    <x v="4"/>
    <x v="10"/>
    <x v="5"/>
    <n v="0.2913135593220339"/>
  </r>
  <r>
    <s v="B-25698"/>
    <n v="3776"/>
    <n v="1100"/>
    <n v="9"/>
    <x v="0"/>
    <x v="0"/>
    <x v="2"/>
    <x v="427"/>
    <x v="480"/>
    <x v="1"/>
    <x v="17"/>
    <x v="29"/>
    <n v="0.2913135593220339"/>
  </r>
  <r>
    <s v="B-26820"/>
    <n v="5402"/>
    <n v="1666"/>
    <n v="12"/>
    <x v="2"/>
    <x v="11"/>
    <x v="2"/>
    <x v="428"/>
    <x v="481"/>
    <x v="5"/>
    <x v="14"/>
    <x v="9"/>
    <n v="0.30840429470566455"/>
  </r>
  <r>
    <s v="B-25396"/>
    <n v="5165"/>
    <n v="885"/>
    <n v="16"/>
    <x v="1"/>
    <x v="2"/>
    <x v="2"/>
    <x v="429"/>
    <x v="482"/>
    <x v="1"/>
    <x v="17"/>
    <x v="5"/>
    <n v="0.17134559535333979"/>
  </r>
  <r>
    <s v="B-25396"/>
    <n v="4863"/>
    <n v="2394"/>
    <n v="4"/>
    <x v="2"/>
    <x v="11"/>
    <x v="2"/>
    <x v="429"/>
    <x v="482"/>
    <x v="1"/>
    <x v="17"/>
    <x v="5"/>
    <n v="0.49228871067242441"/>
  </r>
  <r>
    <s v="B-25529"/>
    <n v="1626"/>
    <n v="258"/>
    <n v="15"/>
    <x v="1"/>
    <x v="2"/>
    <x v="2"/>
    <x v="430"/>
    <x v="483"/>
    <x v="0"/>
    <x v="3"/>
    <x v="22"/>
    <n v="0.15867158671586715"/>
  </r>
  <r>
    <s v="B-26501"/>
    <n v="8851"/>
    <n v="3962"/>
    <n v="7"/>
    <x v="2"/>
    <x v="4"/>
    <x v="2"/>
    <x v="161"/>
    <x v="484"/>
    <x v="0"/>
    <x v="0"/>
    <x v="57"/>
    <n v="0.44763303581516212"/>
  </r>
  <r>
    <s v="B-26910"/>
    <n v="9680"/>
    <n v="3295"/>
    <n v="9"/>
    <x v="2"/>
    <x v="4"/>
    <x v="4"/>
    <x v="81"/>
    <x v="485"/>
    <x v="2"/>
    <x v="7"/>
    <x v="44"/>
    <n v="0.34039256198347106"/>
  </r>
  <r>
    <s v="B-26910"/>
    <n v="8468"/>
    <n v="3666"/>
    <n v="8"/>
    <x v="1"/>
    <x v="2"/>
    <x v="0"/>
    <x v="81"/>
    <x v="485"/>
    <x v="2"/>
    <x v="7"/>
    <x v="44"/>
    <n v="0.43292394898441189"/>
  </r>
  <r>
    <s v="B-26910"/>
    <n v="4441"/>
    <n v="314"/>
    <n v="14"/>
    <x v="2"/>
    <x v="5"/>
    <x v="1"/>
    <x v="81"/>
    <x v="485"/>
    <x v="2"/>
    <x v="7"/>
    <x v="44"/>
    <n v="7.0704796217068225E-2"/>
  </r>
  <r>
    <s v="B-25978"/>
    <n v="6622"/>
    <n v="2673"/>
    <n v="8"/>
    <x v="2"/>
    <x v="7"/>
    <x v="4"/>
    <x v="431"/>
    <x v="486"/>
    <x v="2"/>
    <x v="5"/>
    <x v="44"/>
    <n v="0.40365448504983387"/>
  </r>
  <r>
    <s v="B-26537"/>
    <n v="3260"/>
    <n v="207"/>
    <n v="17"/>
    <x v="2"/>
    <x v="4"/>
    <x v="0"/>
    <x v="432"/>
    <x v="487"/>
    <x v="3"/>
    <x v="9"/>
    <x v="16"/>
    <n v="6.3496932515337418E-2"/>
  </r>
  <r>
    <s v="B-25881"/>
    <n v="8709"/>
    <n v="2322"/>
    <n v="8"/>
    <x v="2"/>
    <x v="4"/>
    <x v="1"/>
    <x v="336"/>
    <x v="488"/>
    <x v="4"/>
    <x v="10"/>
    <x v="3"/>
    <n v="0.26662073716844642"/>
  </r>
  <r>
    <s v="B-25881"/>
    <n v="8709"/>
    <n v="2322"/>
    <n v="8"/>
    <x v="2"/>
    <x v="4"/>
    <x v="1"/>
    <x v="433"/>
    <x v="489"/>
    <x v="3"/>
    <x v="11"/>
    <x v="46"/>
    <n v="0.26662073716844642"/>
  </r>
  <r>
    <s v="B-25237"/>
    <n v="5250"/>
    <n v="187"/>
    <n v="1"/>
    <x v="1"/>
    <x v="9"/>
    <x v="4"/>
    <x v="434"/>
    <x v="490"/>
    <x v="5"/>
    <x v="13"/>
    <x v="25"/>
    <n v="3.561904761904762E-2"/>
  </r>
  <r>
    <s v="B-25237"/>
    <n v="5250"/>
    <n v="187"/>
    <n v="1"/>
    <x v="1"/>
    <x v="9"/>
    <x v="4"/>
    <x v="435"/>
    <x v="491"/>
    <x v="4"/>
    <x v="15"/>
    <x v="23"/>
    <n v="3.561904761904762E-2"/>
  </r>
  <r>
    <s v="B-26122"/>
    <n v="4116"/>
    <n v="921"/>
    <n v="20"/>
    <x v="1"/>
    <x v="8"/>
    <x v="0"/>
    <x v="436"/>
    <x v="492"/>
    <x v="3"/>
    <x v="4"/>
    <x v="56"/>
    <n v="0.22376093294460642"/>
  </r>
  <r>
    <s v="B-26122"/>
    <n v="4116"/>
    <n v="921"/>
    <n v="20"/>
    <x v="1"/>
    <x v="8"/>
    <x v="0"/>
    <x v="437"/>
    <x v="493"/>
    <x v="1"/>
    <x v="6"/>
    <x v="57"/>
    <n v="0.22376093294460642"/>
  </r>
  <r>
    <s v="B-25709"/>
    <n v="1109"/>
    <n v="418"/>
    <n v="15"/>
    <x v="1"/>
    <x v="8"/>
    <x v="0"/>
    <x v="438"/>
    <x v="494"/>
    <x v="3"/>
    <x v="4"/>
    <x v="36"/>
    <n v="0.37691614066726781"/>
  </r>
  <r>
    <s v="B-26656"/>
    <n v="3573"/>
    <n v="562"/>
    <n v="7"/>
    <x v="1"/>
    <x v="2"/>
    <x v="2"/>
    <x v="352"/>
    <x v="201"/>
    <x v="2"/>
    <x v="7"/>
    <x v="15"/>
    <n v="0.15729079205149735"/>
  </r>
  <r>
    <s v="B-26656"/>
    <n v="3573"/>
    <n v="562"/>
    <n v="7"/>
    <x v="1"/>
    <x v="2"/>
    <x v="2"/>
    <x v="439"/>
    <x v="495"/>
    <x v="3"/>
    <x v="9"/>
    <x v="8"/>
    <n v="0.15729079205149735"/>
  </r>
  <r>
    <s v="B-26656"/>
    <n v="3573"/>
    <n v="562"/>
    <n v="7"/>
    <x v="1"/>
    <x v="2"/>
    <x v="2"/>
    <x v="440"/>
    <x v="496"/>
    <x v="0"/>
    <x v="16"/>
    <x v="32"/>
    <n v="0.15729079205149735"/>
  </r>
  <r>
    <s v="B-26656"/>
    <n v="8055"/>
    <n v="661"/>
    <n v="10"/>
    <x v="0"/>
    <x v="10"/>
    <x v="2"/>
    <x v="352"/>
    <x v="201"/>
    <x v="2"/>
    <x v="7"/>
    <x v="15"/>
    <n v="8.2060831781502169E-2"/>
  </r>
  <r>
    <s v="B-26656"/>
    <n v="8055"/>
    <n v="661"/>
    <n v="10"/>
    <x v="0"/>
    <x v="10"/>
    <x v="2"/>
    <x v="439"/>
    <x v="495"/>
    <x v="3"/>
    <x v="9"/>
    <x v="8"/>
    <n v="8.2060831781502169E-2"/>
  </r>
  <r>
    <s v="B-26656"/>
    <n v="8055"/>
    <n v="661"/>
    <n v="10"/>
    <x v="0"/>
    <x v="10"/>
    <x v="2"/>
    <x v="440"/>
    <x v="496"/>
    <x v="0"/>
    <x v="16"/>
    <x v="32"/>
    <n v="8.2060831781502169E-2"/>
  </r>
  <r>
    <s v="B-25801"/>
    <n v="6829"/>
    <n v="2609"/>
    <n v="2"/>
    <x v="0"/>
    <x v="3"/>
    <x v="2"/>
    <x v="441"/>
    <x v="497"/>
    <x v="3"/>
    <x v="11"/>
    <x v="33"/>
    <n v="0.38204715185239418"/>
  </r>
  <r>
    <s v="B-25801"/>
    <n v="6390"/>
    <n v="3089"/>
    <n v="12"/>
    <x v="1"/>
    <x v="8"/>
    <x v="4"/>
    <x v="441"/>
    <x v="497"/>
    <x v="3"/>
    <x v="11"/>
    <x v="33"/>
    <n v="0.4834115805946792"/>
  </r>
  <r>
    <s v="B-25006"/>
    <n v="5831"/>
    <n v="1574"/>
    <n v="17"/>
    <x v="1"/>
    <x v="2"/>
    <x v="1"/>
    <x v="442"/>
    <x v="498"/>
    <x v="3"/>
    <x v="11"/>
    <x v="5"/>
    <n v="0.26993654604699024"/>
  </r>
  <r>
    <s v="B-25006"/>
    <n v="5831"/>
    <n v="1574"/>
    <n v="17"/>
    <x v="1"/>
    <x v="2"/>
    <x v="1"/>
    <x v="114"/>
    <x v="499"/>
    <x v="3"/>
    <x v="9"/>
    <x v="41"/>
    <n v="0.26993654604699024"/>
  </r>
  <r>
    <s v="B-25006"/>
    <n v="5831"/>
    <n v="1574"/>
    <n v="17"/>
    <x v="1"/>
    <x v="2"/>
    <x v="1"/>
    <x v="53"/>
    <x v="500"/>
    <x v="0"/>
    <x v="0"/>
    <x v="17"/>
    <n v="0.26993654604699024"/>
  </r>
  <r>
    <s v="B-26106"/>
    <n v="7952"/>
    <n v="3865"/>
    <n v="8"/>
    <x v="2"/>
    <x v="7"/>
    <x v="1"/>
    <x v="443"/>
    <x v="501"/>
    <x v="1"/>
    <x v="17"/>
    <x v="38"/>
    <n v="0.48604124748490946"/>
  </r>
  <r>
    <s v="B-25789"/>
    <n v="3659"/>
    <n v="379"/>
    <n v="5"/>
    <x v="2"/>
    <x v="11"/>
    <x v="0"/>
    <x v="444"/>
    <x v="502"/>
    <x v="3"/>
    <x v="4"/>
    <x v="47"/>
    <n v="0.10358021317299809"/>
  </r>
  <r>
    <s v="B-26292"/>
    <n v="4183"/>
    <n v="1159"/>
    <n v="4"/>
    <x v="1"/>
    <x v="2"/>
    <x v="1"/>
    <x v="445"/>
    <x v="503"/>
    <x v="1"/>
    <x v="6"/>
    <x v="60"/>
    <n v="0.27707387042792253"/>
  </r>
  <r>
    <s v="B-25895"/>
    <n v="7478"/>
    <n v="1381"/>
    <n v="11"/>
    <x v="0"/>
    <x v="10"/>
    <x v="2"/>
    <x v="198"/>
    <x v="504"/>
    <x v="4"/>
    <x v="15"/>
    <x v="44"/>
    <n v="0.18467504680395827"/>
  </r>
  <r>
    <s v="B-25813"/>
    <n v="702"/>
    <n v="238"/>
    <n v="9"/>
    <x v="0"/>
    <x v="10"/>
    <x v="4"/>
    <x v="446"/>
    <x v="505"/>
    <x v="0"/>
    <x v="16"/>
    <x v="34"/>
    <n v="0.33903133903133903"/>
  </r>
  <r>
    <s v="B-26863"/>
    <n v="4037"/>
    <n v="1494"/>
    <n v="15"/>
    <x v="2"/>
    <x v="5"/>
    <x v="2"/>
    <x v="447"/>
    <x v="506"/>
    <x v="3"/>
    <x v="11"/>
    <x v="28"/>
    <n v="0.37007678969531832"/>
  </r>
  <r>
    <s v="B-25759"/>
    <n v="5014"/>
    <n v="2332"/>
    <n v="2"/>
    <x v="2"/>
    <x v="5"/>
    <x v="4"/>
    <x v="448"/>
    <x v="507"/>
    <x v="1"/>
    <x v="1"/>
    <x v="11"/>
    <n v="0.46509772636617469"/>
  </r>
  <r>
    <s v="B-26357"/>
    <n v="9879"/>
    <n v="4930"/>
    <n v="15"/>
    <x v="0"/>
    <x v="3"/>
    <x v="1"/>
    <x v="123"/>
    <x v="508"/>
    <x v="2"/>
    <x v="7"/>
    <x v="0"/>
    <n v="0.49903836420690351"/>
  </r>
  <r>
    <s v="B-26819"/>
    <n v="8762"/>
    <n v="3502"/>
    <n v="1"/>
    <x v="0"/>
    <x v="10"/>
    <x v="1"/>
    <x v="51"/>
    <x v="509"/>
    <x v="0"/>
    <x v="16"/>
    <x v="36"/>
    <n v="0.39968043825610589"/>
  </r>
  <r>
    <s v="B-25502"/>
    <n v="8490"/>
    <n v="800"/>
    <n v="1"/>
    <x v="1"/>
    <x v="2"/>
    <x v="2"/>
    <x v="389"/>
    <x v="510"/>
    <x v="2"/>
    <x v="5"/>
    <x v="8"/>
    <n v="9.4228504122497059E-2"/>
  </r>
  <r>
    <s v="B-25258"/>
    <n v="6951"/>
    <n v="164"/>
    <n v="10"/>
    <x v="2"/>
    <x v="7"/>
    <x v="0"/>
    <x v="106"/>
    <x v="511"/>
    <x v="2"/>
    <x v="2"/>
    <x v="36"/>
    <n v="2.3593727521219968E-2"/>
  </r>
  <r>
    <s v="B-26878"/>
    <n v="1078"/>
    <n v="309"/>
    <n v="3"/>
    <x v="0"/>
    <x v="10"/>
    <x v="3"/>
    <x v="449"/>
    <x v="512"/>
    <x v="5"/>
    <x v="14"/>
    <x v="24"/>
    <n v="0.28664192949907236"/>
  </r>
  <r>
    <s v="B-26878"/>
    <n v="1078"/>
    <n v="309"/>
    <n v="3"/>
    <x v="0"/>
    <x v="10"/>
    <x v="3"/>
    <x v="450"/>
    <x v="513"/>
    <x v="1"/>
    <x v="1"/>
    <x v="20"/>
    <n v="0.28664192949907236"/>
  </r>
  <r>
    <s v="B-25170"/>
    <n v="8560"/>
    <n v="2166"/>
    <n v="19"/>
    <x v="1"/>
    <x v="9"/>
    <x v="2"/>
    <x v="451"/>
    <x v="514"/>
    <x v="0"/>
    <x v="16"/>
    <x v="37"/>
    <n v="0.25303738317757007"/>
  </r>
  <r>
    <s v="B-25170"/>
    <n v="1031"/>
    <n v="318"/>
    <n v="20"/>
    <x v="0"/>
    <x v="0"/>
    <x v="0"/>
    <x v="451"/>
    <x v="514"/>
    <x v="0"/>
    <x v="16"/>
    <x v="37"/>
    <n v="0.30843840931134819"/>
  </r>
  <r>
    <s v="B-26842"/>
    <n v="6402"/>
    <n v="2770"/>
    <n v="19"/>
    <x v="1"/>
    <x v="6"/>
    <x v="1"/>
    <x v="452"/>
    <x v="515"/>
    <x v="0"/>
    <x v="3"/>
    <x v="55"/>
    <n v="0.43267728834739144"/>
  </r>
  <r>
    <s v="B-26842"/>
    <n v="6402"/>
    <n v="2770"/>
    <n v="19"/>
    <x v="1"/>
    <x v="6"/>
    <x v="1"/>
    <x v="347"/>
    <x v="516"/>
    <x v="0"/>
    <x v="3"/>
    <x v="59"/>
    <n v="0.43267728834739144"/>
  </r>
  <r>
    <s v="B-26842"/>
    <n v="5916"/>
    <n v="1594"/>
    <n v="19"/>
    <x v="0"/>
    <x v="1"/>
    <x v="1"/>
    <x v="452"/>
    <x v="515"/>
    <x v="0"/>
    <x v="3"/>
    <x v="55"/>
    <n v="0.26943881000676134"/>
  </r>
  <r>
    <s v="B-26842"/>
    <n v="5916"/>
    <n v="1594"/>
    <n v="19"/>
    <x v="0"/>
    <x v="1"/>
    <x v="1"/>
    <x v="347"/>
    <x v="516"/>
    <x v="0"/>
    <x v="3"/>
    <x v="59"/>
    <n v="0.26943881000676134"/>
  </r>
  <r>
    <s v="B-26599"/>
    <n v="4015"/>
    <n v="1751"/>
    <n v="15"/>
    <x v="2"/>
    <x v="5"/>
    <x v="1"/>
    <x v="453"/>
    <x v="517"/>
    <x v="3"/>
    <x v="11"/>
    <x v="40"/>
    <n v="0.4361145703611457"/>
  </r>
  <r>
    <s v="B-26599"/>
    <n v="4015"/>
    <n v="1751"/>
    <n v="15"/>
    <x v="2"/>
    <x v="5"/>
    <x v="1"/>
    <x v="437"/>
    <x v="518"/>
    <x v="2"/>
    <x v="5"/>
    <x v="57"/>
    <n v="0.4361145703611457"/>
  </r>
  <r>
    <s v="B-25705"/>
    <n v="9335"/>
    <n v="557"/>
    <n v="11"/>
    <x v="0"/>
    <x v="0"/>
    <x v="4"/>
    <x v="454"/>
    <x v="519"/>
    <x v="3"/>
    <x v="4"/>
    <x v="27"/>
    <n v="5.966791644349223E-2"/>
  </r>
  <r>
    <s v="B-26366"/>
    <n v="4706"/>
    <n v="594"/>
    <n v="11"/>
    <x v="1"/>
    <x v="9"/>
    <x v="4"/>
    <x v="455"/>
    <x v="520"/>
    <x v="5"/>
    <x v="14"/>
    <x v="36"/>
    <n v="0.12622184445388865"/>
  </r>
  <r>
    <s v="B-26366"/>
    <n v="4706"/>
    <n v="594"/>
    <n v="11"/>
    <x v="1"/>
    <x v="9"/>
    <x v="4"/>
    <x v="456"/>
    <x v="521"/>
    <x v="5"/>
    <x v="12"/>
    <x v="18"/>
    <n v="0.12622184445388865"/>
  </r>
  <r>
    <s v="B-26366"/>
    <n v="6584"/>
    <n v="371"/>
    <n v="6"/>
    <x v="1"/>
    <x v="6"/>
    <x v="0"/>
    <x v="455"/>
    <x v="520"/>
    <x v="5"/>
    <x v="14"/>
    <x v="36"/>
    <n v="5.634872417982989E-2"/>
  </r>
  <r>
    <s v="B-26366"/>
    <n v="6584"/>
    <n v="371"/>
    <n v="6"/>
    <x v="1"/>
    <x v="6"/>
    <x v="0"/>
    <x v="456"/>
    <x v="521"/>
    <x v="5"/>
    <x v="12"/>
    <x v="18"/>
    <n v="5.634872417982989E-2"/>
  </r>
  <r>
    <s v="B-26116"/>
    <n v="6389"/>
    <n v="734"/>
    <n v="1"/>
    <x v="2"/>
    <x v="7"/>
    <x v="2"/>
    <x v="19"/>
    <x v="522"/>
    <x v="4"/>
    <x v="8"/>
    <x v="12"/>
    <n v="0.11488495852246047"/>
  </r>
  <r>
    <s v="B-26443"/>
    <n v="9869"/>
    <n v="4299"/>
    <n v="12"/>
    <x v="0"/>
    <x v="1"/>
    <x v="1"/>
    <x v="150"/>
    <x v="523"/>
    <x v="3"/>
    <x v="9"/>
    <x v="45"/>
    <n v="0.43560644442192725"/>
  </r>
  <r>
    <s v="B-26443"/>
    <n v="9869"/>
    <n v="4299"/>
    <n v="12"/>
    <x v="0"/>
    <x v="1"/>
    <x v="1"/>
    <x v="382"/>
    <x v="524"/>
    <x v="2"/>
    <x v="2"/>
    <x v="16"/>
    <n v="0.43560644442192725"/>
  </r>
  <r>
    <s v="B-25955"/>
    <n v="655"/>
    <n v="297"/>
    <n v="4"/>
    <x v="1"/>
    <x v="6"/>
    <x v="1"/>
    <x v="457"/>
    <x v="525"/>
    <x v="2"/>
    <x v="2"/>
    <x v="26"/>
    <n v="0.45343511450381679"/>
  </r>
  <r>
    <s v="B-25955"/>
    <n v="655"/>
    <n v="297"/>
    <n v="4"/>
    <x v="1"/>
    <x v="6"/>
    <x v="1"/>
    <x v="458"/>
    <x v="526"/>
    <x v="0"/>
    <x v="3"/>
    <x v="6"/>
    <n v="0.45343511450381679"/>
  </r>
  <r>
    <s v="B-26383"/>
    <n v="798"/>
    <n v="308"/>
    <n v="10"/>
    <x v="0"/>
    <x v="10"/>
    <x v="1"/>
    <x v="459"/>
    <x v="527"/>
    <x v="2"/>
    <x v="2"/>
    <x v="54"/>
    <n v="0.38596491228070173"/>
  </r>
  <r>
    <s v="B-26383"/>
    <n v="798"/>
    <n v="308"/>
    <n v="10"/>
    <x v="0"/>
    <x v="10"/>
    <x v="1"/>
    <x v="460"/>
    <x v="528"/>
    <x v="5"/>
    <x v="14"/>
    <x v="23"/>
    <n v="0.38596491228070173"/>
  </r>
  <r>
    <s v="B-26383"/>
    <n v="7967"/>
    <n v="2504"/>
    <n v="13"/>
    <x v="0"/>
    <x v="1"/>
    <x v="2"/>
    <x v="459"/>
    <x v="527"/>
    <x v="2"/>
    <x v="2"/>
    <x v="54"/>
    <n v="0.31429647295092256"/>
  </r>
  <r>
    <s v="B-26383"/>
    <n v="7967"/>
    <n v="2504"/>
    <n v="13"/>
    <x v="0"/>
    <x v="1"/>
    <x v="2"/>
    <x v="460"/>
    <x v="528"/>
    <x v="5"/>
    <x v="14"/>
    <x v="23"/>
    <n v="0.31429647295092256"/>
  </r>
  <r>
    <s v="B-26999"/>
    <n v="3756"/>
    <n v="1318"/>
    <n v="5"/>
    <x v="2"/>
    <x v="4"/>
    <x v="0"/>
    <x v="461"/>
    <x v="529"/>
    <x v="0"/>
    <x v="0"/>
    <x v="42"/>
    <n v="0.35090521831735888"/>
  </r>
  <r>
    <s v="B-26712"/>
    <n v="5196"/>
    <n v="2477"/>
    <n v="1"/>
    <x v="1"/>
    <x v="6"/>
    <x v="0"/>
    <x v="462"/>
    <x v="530"/>
    <x v="4"/>
    <x v="10"/>
    <x v="13"/>
    <n v="0.47671285604311009"/>
  </r>
  <r>
    <s v="B-26712"/>
    <n v="6586"/>
    <n v="1794"/>
    <n v="19"/>
    <x v="2"/>
    <x v="11"/>
    <x v="1"/>
    <x v="462"/>
    <x v="530"/>
    <x v="4"/>
    <x v="10"/>
    <x v="13"/>
    <n v="0.27239599149711508"/>
  </r>
  <r>
    <s v="B-26066"/>
    <n v="6673"/>
    <n v="950"/>
    <n v="19"/>
    <x v="1"/>
    <x v="6"/>
    <x v="2"/>
    <x v="209"/>
    <x v="531"/>
    <x v="2"/>
    <x v="2"/>
    <x v="1"/>
    <n v="0.14236475348419003"/>
  </r>
  <r>
    <s v="B-25996"/>
    <n v="714"/>
    <n v="232"/>
    <n v="14"/>
    <x v="2"/>
    <x v="4"/>
    <x v="0"/>
    <x v="463"/>
    <x v="532"/>
    <x v="5"/>
    <x v="12"/>
    <x v="54"/>
    <n v="0.32492997198879553"/>
  </r>
  <r>
    <s v="B-25996"/>
    <n v="714"/>
    <n v="232"/>
    <n v="14"/>
    <x v="2"/>
    <x v="4"/>
    <x v="0"/>
    <x v="464"/>
    <x v="533"/>
    <x v="4"/>
    <x v="10"/>
    <x v="50"/>
    <n v="0.32492997198879553"/>
  </r>
  <r>
    <s v="B-26924"/>
    <n v="1083"/>
    <n v="501"/>
    <n v="6"/>
    <x v="1"/>
    <x v="2"/>
    <x v="4"/>
    <x v="465"/>
    <x v="534"/>
    <x v="4"/>
    <x v="10"/>
    <x v="51"/>
    <n v="0.46260387811634351"/>
  </r>
  <r>
    <s v="B-25541"/>
    <n v="2401"/>
    <n v="1163"/>
    <n v="10"/>
    <x v="2"/>
    <x v="11"/>
    <x v="0"/>
    <x v="230"/>
    <x v="535"/>
    <x v="5"/>
    <x v="14"/>
    <x v="23"/>
    <n v="0.48438150770512284"/>
  </r>
  <r>
    <s v="B-25541"/>
    <n v="2401"/>
    <n v="1163"/>
    <n v="10"/>
    <x v="2"/>
    <x v="11"/>
    <x v="0"/>
    <x v="466"/>
    <x v="536"/>
    <x v="3"/>
    <x v="4"/>
    <x v="32"/>
    <n v="0.48438150770512284"/>
  </r>
  <r>
    <s v="B-25541"/>
    <n v="2401"/>
    <n v="1163"/>
    <n v="10"/>
    <x v="2"/>
    <x v="11"/>
    <x v="0"/>
    <x v="467"/>
    <x v="537"/>
    <x v="2"/>
    <x v="7"/>
    <x v="36"/>
    <n v="0.48438150770512284"/>
  </r>
  <r>
    <s v="B-25541"/>
    <n v="1045"/>
    <n v="267"/>
    <n v="11"/>
    <x v="0"/>
    <x v="10"/>
    <x v="1"/>
    <x v="230"/>
    <x v="535"/>
    <x v="5"/>
    <x v="14"/>
    <x v="23"/>
    <n v="0.25550239234449762"/>
  </r>
  <r>
    <s v="B-25541"/>
    <n v="1045"/>
    <n v="267"/>
    <n v="11"/>
    <x v="0"/>
    <x v="10"/>
    <x v="1"/>
    <x v="466"/>
    <x v="536"/>
    <x v="3"/>
    <x v="4"/>
    <x v="32"/>
    <n v="0.25550239234449762"/>
  </r>
  <r>
    <s v="B-25541"/>
    <n v="1045"/>
    <n v="267"/>
    <n v="11"/>
    <x v="0"/>
    <x v="10"/>
    <x v="1"/>
    <x v="467"/>
    <x v="537"/>
    <x v="2"/>
    <x v="7"/>
    <x v="36"/>
    <n v="0.25550239234449762"/>
  </r>
  <r>
    <s v="B-25196"/>
    <n v="7806"/>
    <n v="1127"/>
    <n v="1"/>
    <x v="1"/>
    <x v="6"/>
    <x v="3"/>
    <x v="468"/>
    <x v="538"/>
    <x v="4"/>
    <x v="8"/>
    <x v="17"/>
    <n v="0.14437612093261593"/>
  </r>
  <r>
    <s v="B-25855"/>
    <n v="5263"/>
    <n v="1743"/>
    <n v="19"/>
    <x v="2"/>
    <x v="7"/>
    <x v="3"/>
    <x v="453"/>
    <x v="539"/>
    <x v="0"/>
    <x v="0"/>
    <x v="40"/>
    <n v="0.33117993539806195"/>
  </r>
  <r>
    <s v="B-25071"/>
    <n v="6147"/>
    <n v="2526"/>
    <n v="6"/>
    <x v="1"/>
    <x v="2"/>
    <x v="1"/>
    <x v="469"/>
    <x v="540"/>
    <x v="4"/>
    <x v="8"/>
    <x v="45"/>
    <n v="0.41093216203025867"/>
  </r>
  <r>
    <s v="B-26159"/>
    <n v="7484"/>
    <n v="2871"/>
    <n v="15"/>
    <x v="0"/>
    <x v="10"/>
    <x v="0"/>
    <x v="470"/>
    <x v="541"/>
    <x v="0"/>
    <x v="3"/>
    <x v="6"/>
    <n v="0.38361838588989844"/>
  </r>
  <r>
    <s v="B-26159"/>
    <n v="7484"/>
    <n v="2871"/>
    <n v="15"/>
    <x v="0"/>
    <x v="10"/>
    <x v="0"/>
    <x v="198"/>
    <x v="542"/>
    <x v="1"/>
    <x v="1"/>
    <x v="44"/>
    <n v="0.38361838588989844"/>
  </r>
  <r>
    <s v="B-26159"/>
    <n v="7700"/>
    <n v="2712"/>
    <n v="1"/>
    <x v="2"/>
    <x v="7"/>
    <x v="3"/>
    <x v="470"/>
    <x v="541"/>
    <x v="0"/>
    <x v="3"/>
    <x v="6"/>
    <n v="0.35220779220779219"/>
  </r>
  <r>
    <s v="B-26159"/>
    <n v="7700"/>
    <n v="2712"/>
    <n v="1"/>
    <x v="2"/>
    <x v="7"/>
    <x v="3"/>
    <x v="198"/>
    <x v="542"/>
    <x v="1"/>
    <x v="1"/>
    <x v="44"/>
    <n v="0.35220779220779219"/>
  </r>
  <r>
    <s v="B-26228"/>
    <n v="8537"/>
    <n v="3586"/>
    <n v="13"/>
    <x v="1"/>
    <x v="6"/>
    <x v="0"/>
    <x v="111"/>
    <x v="543"/>
    <x v="2"/>
    <x v="7"/>
    <x v="24"/>
    <n v="0.42005388309710673"/>
  </r>
  <r>
    <s v="B-25888"/>
    <n v="8858"/>
    <n v="3394"/>
    <n v="6"/>
    <x v="2"/>
    <x v="5"/>
    <x v="4"/>
    <x v="471"/>
    <x v="544"/>
    <x v="3"/>
    <x v="9"/>
    <x v="56"/>
    <n v="0.38315646872883269"/>
  </r>
  <r>
    <s v="B-25574"/>
    <n v="5313"/>
    <n v="2037"/>
    <n v="7"/>
    <x v="0"/>
    <x v="1"/>
    <x v="1"/>
    <x v="260"/>
    <x v="545"/>
    <x v="3"/>
    <x v="11"/>
    <x v="46"/>
    <n v="0.38339920948616601"/>
  </r>
  <r>
    <s v="B-25574"/>
    <n v="5313"/>
    <n v="2037"/>
    <n v="7"/>
    <x v="0"/>
    <x v="1"/>
    <x v="1"/>
    <x v="472"/>
    <x v="546"/>
    <x v="4"/>
    <x v="15"/>
    <x v="4"/>
    <n v="0.38339920948616601"/>
  </r>
  <r>
    <s v="B-26938"/>
    <n v="3281"/>
    <n v="471"/>
    <n v="7"/>
    <x v="2"/>
    <x v="7"/>
    <x v="2"/>
    <x v="473"/>
    <x v="547"/>
    <x v="3"/>
    <x v="4"/>
    <x v="16"/>
    <n v="0.14355379457482476"/>
  </r>
  <r>
    <s v="B-26938"/>
    <n v="3281"/>
    <n v="471"/>
    <n v="7"/>
    <x v="2"/>
    <x v="7"/>
    <x v="2"/>
    <x v="474"/>
    <x v="548"/>
    <x v="1"/>
    <x v="17"/>
    <x v="0"/>
    <n v="0.14355379457482476"/>
  </r>
  <r>
    <s v="B-26379"/>
    <n v="8681"/>
    <n v="2458"/>
    <n v="9"/>
    <x v="1"/>
    <x v="2"/>
    <x v="3"/>
    <x v="475"/>
    <x v="549"/>
    <x v="2"/>
    <x v="5"/>
    <x v="57"/>
    <n v="0.28314710286833317"/>
  </r>
  <r>
    <s v="B-26623"/>
    <n v="6195"/>
    <n v="1556"/>
    <n v="18"/>
    <x v="2"/>
    <x v="7"/>
    <x v="2"/>
    <x v="476"/>
    <x v="550"/>
    <x v="1"/>
    <x v="6"/>
    <x v="9"/>
    <n v="0.25117029862792573"/>
  </r>
  <r>
    <s v="B-25566"/>
    <n v="3877"/>
    <n v="481"/>
    <n v="16"/>
    <x v="2"/>
    <x v="5"/>
    <x v="1"/>
    <x v="477"/>
    <x v="551"/>
    <x v="2"/>
    <x v="7"/>
    <x v="17"/>
    <n v="0.12406499871034304"/>
  </r>
  <r>
    <s v="B-25566"/>
    <n v="3877"/>
    <n v="481"/>
    <n v="16"/>
    <x v="2"/>
    <x v="5"/>
    <x v="1"/>
    <x v="478"/>
    <x v="552"/>
    <x v="2"/>
    <x v="5"/>
    <x v="26"/>
    <n v="0.12406499871034304"/>
  </r>
  <r>
    <s v="B-26740"/>
    <n v="9369"/>
    <n v="3297"/>
    <n v="6"/>
    <x v="0"/>
    <x v="1"/>
    <x v="1"/>
    <x v="479"/>
    <x v="553"/>
    <x v="0"/>
    <x v="3"/>
    <x v="48"/>
    <n v="0.35190521934037783"/>
  </r>
  <r>
    <s v="B-26740"/>
    <n v="9369"/>
    <n v="3297"/>
    <n v="6"/>
    <x v="0"/>
    <x v="1"/>
    <x v="1"/>
    <x v="480"/>
    <x v="554"/>
    <x v="2"/>
    <x v="5"/>
    <x v="52"/>
    <n v="0.35190521934037783"/>
  </r>
  <r>
    <s v="B-26740"/>
    <n v="8680"/>
    <n v="4068"/>
    <n v="20"/>
    <x v="0"/>
    <x v="1"/>
    <x v="3"/>
    <x v="479"/>
    <x v="553"/>
    <x v="0"/>
    <x v="3"/>
    <x v="48"/>
    <n v="0.46866359447004607"/>
  </r>
  <r>
    <s v="B-26740"/>
    <n v="8680"/>
    <n v="4068"/>
    <n v="20"/>
    <x v="0"/>
    <x v="1"/>
    <x v="3"/>
    <x v="480"/>
    <x v="554"/>
    <x v="2"/>
    <x v="5"/>
    <x v="52"/>
    <n v="0.46866359447004607"/>
  </r>
  <r>
    <s v="B-26740"/>
    <n v="3067"/>
    <n v="1475"/>
    <n v="8"/>
    <x v="0"/>
    <x v="3"/>
    <x v="0"/>
    <x v="479"/>
    <x v="553"/>
    <x v="0"/>
    <x v="3"/>
    <x v="48"/>
    <n v="0.48092598630583633"/>
  </r>
  <r>
    <s v="B-26740"/>
    <n v="3067"/>
    <n v="1475"/>
    <n v="8"/>
    <x v="0"/>
    <x v="3"/>
    <x v="0"/>
    <x v="480"/>
    <x v="554"/>
    <x v="2"/>
    <x v="5"/>
    <x v="52"/>
    <n v="0.48092598630583633"/>
  </r>
  <r>
    <s v="B-25024"/>
    <n v="9002"/>
    <n v="4197"/>
    <n v="2"/>
    <x v="1"/>
    <x v="6"/>
    <x v="2"/>
    <x v="418"/>
    <x v="555"/>
    <x v="5"/>
    <x v="13"/>
    <x v="52"/>
    <n v="0.46622972672739393"/>
  </r>
  <r>
    <s v="B-25024"/>
    <n v="9002"/>
    <n v="4197"/>
    <n v="2"/>
    <x v="1"/>
    <x v="6"/>
    <x v="2"/>
    <x v="481"/>
    <x v="556"/>
    <x v="5"/>
    <x v="12"/>
    <x v="34"/>
    <n v="0.46622972672739393"/>
  </r>
  <r>
    <s v="B-26367"/>
    <n v="7105"/>
    <n v="2782"/>
    <n v="19"/>
    <x v="1"/>
    <x v="2"/>
    <x v="4"/>
    <x v="482"/>
    <x v="557"/>
    <x v="5"/>
    <x v="12"/>
    <x v="13"/>
    <n v="0.3915552427867699"/>
  </r>
  <r>
    <s v="B-26353"/>
    <n v="5317"/>
    <n v="1345"/>
    <n v="18"/>
    <x v="2"/>
    <x v="5"/>
    <x v="1"/>
    <x v="17"/>
    <x v="558"/>
    <x v="5"/>
    <x v="12"/>
    <x v="14"/>
    <n v="0.25296219672747788"/>
  </r>
  <r>
    <s v="B-26353"/>
    <n v="5317"/>
    <n v="1345"/>
    <n v="18"/>
    <x v="2"/>
    <x v="5"/>
    <x v="1"/>
    <x v="135"/>
    <x v="559"/>
    <x v="0"/>
    <x v="3"/>
    <x v="28"/>
    <n v="0.25296219672747788"/>
  </r>
  <r>
    <s v="B-26353"/>
    <n v="5317"/>
    <n v="1345"/>
    <n v="18"/>
    <x v="2"/>
    <x v="5"/>
    <x v="1"/>
    <x v="483"/>
    <x v="560"/>
    <x v="3"/>
    <x v="11"/>
    <x v="46"/>
    <n v="0.25296219672747788"/>
  </r>
  <r>
    <s v="B-26353"/>
    <n v="6304"/>
    <n v="766"/>
    <n v="14"/>
    <x v="2"/>
    <x v="4"/>
    <x v="2"/>
    <x v="17"/>
    <x v="558"/>
    <x v="5"/>
    <x v="12"/>
    <x v="14"/>
    <n v="0.12151015228426396"/>
  </r>
  <r>
    <s v="B-26353"/>
    <n v="6304"/>
    <n v="766"/>
    <n v="14"/>
    <x v="2"/>
    <x v="4"/>
    <x v="2"/>
    <x v="135"/>
    <x v="559"/>
    <x v="0"/>
    <x v="3"/>
    <x v="28"/>
    <n v="0.12151015228426396"/>
  </r>
  <r>
    <s v="B-26353"/>
    <n v="6304"/>
    <n v="766"/>
    <n v="14"/>
    <x v="2"/>
    <x v="4"/>
    <x v="2"/>
    <x v="483"/>
    <x v="560"/>
    <x v="3"/>
    <x v="11"/>
    <x v="46"/>
    <n v="0.12151015228426396"/>
  </r>
  <r>
    <s v="B-25742"/>
    <n v="9565"/>
    <n v="1691"/>
    <n v="3"/>
    <x v="1"/>
    <x v="8"/>
    <x v="1"/>
    <x v="71"/>
    <x v="561"/>
    <x v="1"/>
    <x v="6"/>
    <x v="41"/>
    <n v="0.1767903815995818"/>
  </r>
  <r>
    <s v="B-25742"/>
    <n v="8245"/>
    <n v="324"/>
    <n v="11"/>
    <x v="1"/>
    <x v="8"/>
    <x v="2"/>
    <x v="71"/>
    <x v="561"/>
    <x v="1"/>
    <x v="6"/>
    <x v="41"/>
    <n v="3.9296543359611885E-2"/>
  </r>
  <r>
    <s v="B-26965"/>
    <n v="1592"/>
    <n v="480"/>
    <n v="13"/>
    <x v="0"/>
    <x v="3"/>
    <x v="1"/>
    <x v="138"/>
    <x v="562"/>
    <x v="5"/>
    <x v="14"/>
    <x v="12"/>
    <n v="0.30150753768844218"/>
  </r>
  <r>
    <s v="B-26038"/>
    <n v="8400"/>
    <n v="267"/>
    <n v="5"/>
    <x v="0"/>
    <x v="10"/>
    <x v="1"/>
    <x v="484"/>
    <x v="563"/>
    <x v="5"/>
    <x v="12"/>
    <x v="56"/>
    <n v="3.1785714285714285E-2"/>
  </r>
  <r>
    <s v="B-26038"/>
    <n v="4963"/>
    <n v="1254"/>
    <n v="15"/>
    <x v="1"/>
    <x v="8"/>
    <x v="2"/>
    <x v="484"/>
    <x v="563"/>
    <x v="5"/>
    <x v="12"/>
    <x v="56"/>
    <n v="0.2526697561958493"/>
  </r>
  <r>
    <s v="B-25317"/>
    <n v="2472"/>
    <n v="211"/>
    <n v="5"/>
    <x v="0"/>
    <x v="1"/>
    <x v="4"/>
    <x v="317"/>
    <x v="564"/>
    <x v="3"/>
    <x v="9"/>
    <x v="53"/>
    <n v="8.535598705501618E-2"/>
  </r>
  <r>
    <s v="B-25970"/>
    <n v="9132"/>
    <n v="3096"/>
    <n v="14"/>
    <x v="2"/>
    <x v="5"/>
    <x v="1"/>
    <x v="20"/>
    <x v="565"/>
    <x v="0"/>
    <x v="16"/>
    <x v="16"/>
    <n v="0.33902759526938236"/>
  </r>
  <r>
    <s v="B-25590"/>
    <n v="8305"/>
    <n v="1577"/>
    <n v="6"/>
    <x v="1"/>
    <x v="9"/>
    <x v="1"/>
    <x v="485"/>
    <x v="566"/>
    <x v="2"/>
    <x v="7"/>
    <x v="50"/>
    <n v="0.18988561107766405"/>
  </r>
  <r>
    <s v="B-25580"/>
    <n v="1010"/>
    <n v="58"/>
    <n v="19"/>
    <x v="0"/>
    <x v="0"/>
    <x v="4"/>
    <x v="486"/>
    <x v="567"/>
    <x v="0"/>
    <x v="16"/>
    <x v="30"/>
    <n v="5.7425742574257428E-2"/>
  </r>
  <r>
    <s v="B-25443"/>
    <n v="4544"/>
    <n v="1726"/>
    <n v="9"/>
    <x v="0"/>
    <x v="10"/>
    <x v="2"/>
    <x v="357"/>
    <x v="568"/>
    <x v="4"/>
    <x v="8"/>
    <x v="19"/>
    <n v="0.37984154929577463"/>
  </r>
  <r>
    <s v="B-25443"/>
    <n v="5900"/>
    <n v="1738"/>
    <n v="20"/>
    <x v="0"/>
    <x v="10"/>
    <x v="0"/>
    <x v="357"/>
    <x v="568"/>
    <x v="4"/>
    <x v="8"/>
    <x v="19"/>
    <n v="0.2945762711864407"/>
  </r>
  <r>
    <s v="B-25774"/>
    <n v="8861"/>
    <n v="3381"/>
    <n v="19"/>
    <x v="1"/>
    <x v="6"/>
    <x v="3"/>
    <x v="416"/>
    <x v="569"/>
    <x v="3"/>
    <x v="9"/>
    <x v="18"/>
    <n v="0.3815596433811082"/>
  </r>
  <r>
    <s v="B-26505"/>
    <n v="8158"/>
    <n v="2052"/>
    <n v="13"/>
    <x v="0"/>
    <x v="10"/>
    <x v="1"/>
    <x v="487"/>
    <x v="570"/>
    <x v="5"/>
    <x v="13"/>
    <x v="57"/>
    <n v="0.25153223829369942"/>
  </r>
  <r>
    <s v="B-25163"/>
    <n v="3411"/>
    <n v="1704"/>
    <n v="14"/>
    <x v="1"/>
    <x v="2"/>
    <x v="0"/>
    <x v="488"/>
    <x v="571"/>
    <x v="3"/>
    <x v="4"/>
    <x v="52"/>
    <n v="0.49956024626209322"/>
  </r>
  <r>
    <s v="B-26095"/>
    <n v="9406"/>
    <n v="1137"/>
    <n v="16"/>
    <x v="1"/>
    <x v="6"/>
    <x v="0"/>
    <x v="489"/>
    <x v="572"/>
    <x v="4"/>
    <x v="15"/>
    <x v="4"/>
    <n v="0.12088028917712099"/>
  </r>
  <r>
    <s v="B-26095"/>
    <n v="1156"/>
    <n v="74"/>
    <n v="15"/>
    <x v="0"/>
    <x v="1"/>
    <x v="2"/>
    <x v="489"/>
    <x v="572"/>
    <x v="4"/>
    <x v="15"/>
    <x v="4"/>
    <n v="6.4013840830449822E-2"/>
  </r>
  <r>
    <s v="B-25768"/>
    <n v="5354"/>
    <n v="743"/>
    <n v="10"/>
    <x v="2"/>
    <x v="11"/>
    <x v="0"/>
    <x v="490"/>
    <x v="573"/>
    <x v="1"/>
    <x v="6"/>
    <x v="4"/>
    <n v="0.13877474785207322"/>
  </r>
  <r>
    <s v="B-25328"/>
    <n v="8780"/>
    <n v="3430"/>
    <n v="4"/>
    <x v="0"/>
    <x v="0"/>
    <x v="3"/>
    <x v="491"/>
    <x v="574"/>
    <x v="4"/>
    <x v="10"/>
    <x v="41"/>
    <n v="0.39066059225512528"/>
  </r>
  <r>
    <s v="B-25328"/>
    <n v="8780"/>
    <n v="3430"/>
    <n v="4"/>
    <x v="0"/>
    <x v="0"/>
    <x v="3"/>
    <x v="492"/>
    <x v="575"/>
    <x v="4"/>
    <x v="10"/>
    <x v="17"/>
    <n v="0.39066059225512528"/>
  </r>
  <r>
    <s v="B-26573"/>
    <n v="6783"/>
    <n v="3306"/>
    <n v="8"/>
    <x v="2"/>
    <x v="7"/>
    <x v="1"/>
    <x v="493"/>
    <x v="576"/>
    <x v="5"/>
    <x v="12"/>
    <x v="32"/>
    <n v="0.48739495798319327"/>
  </r>
  <r>
    <s v="B-25138"/>
    <n v="1778"/>
    <n v="285"/>
    <n v="4"/>
    <x v="1"/>
    <x v="2"/>
    <x v="3"/>
    <x v="494"/>
    <x v="577"/>
    <x v="2"/>
    <x v="5"/>
    <x v="60"/>
    <n v="0.16029246344206974"/>
  </r>
  <r>
    <s v="B-26803"/>
    <n v="9399"/>
    <n v="1949"/>
    <n v="12"/>
    <x v="0"/>
    <x v="1"/>
    <x v="0"/>
    <x v="52"/>
    <x v="578"/>
    <x v="2"/>
    <x v="7"/>
    <x v="37"/>
    <n v="0.20736248537078414"/>
  </r>
  <r>
    <s v="B-26803"/>
    <n v="7957"/>
    <n v="965"/>
    <n v="4"/>
    <x v="2"/>
    <x v="7"/>
    <x v="3"/>
    <x v="52"/>
    <x v="578"/>
    <x v="2"/>
    <x v="7"/>
    <x v="37"/>
    <n v="0.12127686313937414"/>
  </r>
  <r>
    <s v="B-25101"/>
    <n v="1638"/>
    <n v="661"/>
    <n v="13"/>
    <x v="2"/>
    <x v="5"/>
    <x v="2"/>
    <x v="495"/>
    <x v="579"/>
    <x v="1"/>
    <x v="6"/>
    <x v="6"/>
    <n v="0.40354090354090355"/>
  </r>
  <r>
    <s v="B-25827"/>
    <n v="1786"/>
    <n v="224"/>
    <n v="4"/>
    <x v="2"/>
    <x v="4"/>
    <x v="4"/>
    <x v="51"/>
    <x v="580"/>
    <x v="4"/>
    <x v="8"/>
    <x v="36"/>
    <n v="0.12541993281075028"/>
  </r>
  <r>
    <s v="B-25792"/>
    <n v="4751"/>
    <n v="781"/>
    <n v="9"/>
    <x v="1"/>
    <x v="8"/>
    <x v="2"/>
    <x v="496"/>
    <x v="581"/>
    <x v="2"/>
    <x v="2"/>
    <x v="17"/>
    <n v="0.16438644495895602"/>
  </r>
  <r>
    <s v="B-25646"/>
    <n v="8979"/>
    <n v="4477"/>
    <n v="4"/>
    <x v="1"/>
    <x v="8"/>
    <x v="3"/>
    <x v="497"/>
    <x v="582"/>
    <x v="1"/>
    <x v="1"/>
    <x v="38"/>
    <n v="0.4986078627909567"/>
  </r>
  <r>
    <s v="B-25043"/>
    <n v="2727"/>
    <n v="663"/>
    <n v="8"/>
    <x v="0"/>
    <x v="10"/>
    <x v="3"/>
    <x v="498"/>
    <x v="583"/>
    <x v="0"/>
    <x v="0"/>
    <x v="5"/>
    <n v="0.24312431243124313"/>
  </r>
  <r>
    <s v="B-26598"/>
    <n v="1093"/>
    <n v="397"/>
    <n v="17"/>
    <x v="0"/>
    <x v="1"/>
    <x v="3"/>
    <x v="499"/>
    <x v="584"/>
    <x v="1"/>
    <x v="17"/>
    <x v="55"/>
    <n v="0.36322049405306495"/>
  </r>
  <r>
    <s v="B-26598"/>
    <n v="1093"/>
    <n v="397"/>
    <n v="17"/>
    <x v="0"/>
    <x v="1"/>
    <x v="3"/>
    <x v="500"/>
    <x v="585"/>
    <x v="2"/>
    <x v="2"/>
    <x v="31"/>
    <n v="0.36322049405306495"/>
  </r>
  <r>
    <s v="B-26598"/>
    <n v="1093"/>
    <n v="397"/>
    <n v="17"/>
    <x v="0"/>
    <x v="1"/>
    <x v="3"/>
    <x v="501"/>
    <x v="586"/>
    <x v="5"/>
    <x v="12"/>
    <x v="26"/>
    <n v="0.36322049405306495"/>
  </r>
  <r>
    <s v="B-26598"/>
    <n v="2636"/>
    <n v="88"/>
    <n v="11"/>
    <x v="1"/>
    <x v="8"/>
    <x v="1"/>
    <x v="499"/>
    <x v="584"/>
    <x v="1"/>
    <x v="17"/>
    <x v="55"/>
    <n v="3.3383915022761758E-2"/>
  </r>
  <r>
    <s v="B-26598"/>
    <n v="2636"/>
    <n v="88"/>
    <n v="11"/>
    <x v="1"/>
    <x v="8"/>
    <x v="1"/>
    <x v="500"/>
    <x v="585"/>
    <x v="2"/>
    <x v="2"/>
    <x v="31"/>
    <n v="3.3383915022761758E-2"/>
  </r>
  <r>
    <s v="B-26598"/>
    <n v="2636"/>
    <n v="88"/>
    <n v="11"/>
    <x v="1"/>
    <x v="8"/>
    <x v="1"/>
    <x v="501"/>
    <x v="586"/>
    <x v="5"/>
    <x v="12"/>
    <x v="26"/>
    <n v="3.3383915022761758E-2"/>
  </r>
  <r>
    <s v="B-26643"/>
    <n v="7344"/>
    <n v="2251"/>
    <n v="7"/>
    <x v="0"/>
    <x v="0"/>
    <x v="1"/>
    <x v="502"/>
    <x v="587"/>
    <x v="0"/>
    <x v="0"/>
    <x v="26"/>
    <n v="0.30650871459694989"/>
  </r>
  <r>
    <s v="B-26643"/>
    <n v="7306"/>
    <n v="1547"/>
    <n v="3"/>
    <x v="1"/>
    <x v="8"/>
    <x v="4"/>
    <x v="502"/>
    <x v="587"/>
    <x v="0"/>
    <x v="0"/>
    <x v="26"/>
    <n v="0.21174377224199289"/>
  </r>
  <r>
    <s v="B-26643"/>
    <n v="5832"/>
    <n v="2588"/>
    <n v="10"/>
    <x v="0"/>
    <x v="1"/>
    <x v="4"/>
    <x v="502"/>
    <x v="587"/>
    <x v="0"/>
    <x v="0"/>
    <x v="26"/>
    <n v="0.44375857338820301"/>
  </r>
  <r>
    <s v="B-25992"/>
    <n v="8572"/>
    <n v="2041"/>
    <n v="8"/>
    <x v="2"/>
    <x v="4"/>
    <x v="2"/>
    <x v="416"/>
    <x v="588"/>
    <x v="1"/>
    <x v="6"/>
    <x v="18"/>
    <n v="0.23810079328044798"/>
  </r>
  <r>
    <s v="B-25992"/>
    <n v="8572"/>
    <n v="2041"/>
    <n v="8"/>
    <x v="2"/>
    <x v="4"/>
    <x v="2"/>
    <x v="503"/>
    <x v="589"/>
    <x v="1"/>
    <x v="6"/>
    <x v="17"/>
    <n v="0.23810079328044798"/>
  </r>
  <r>
    <s v="B-25992"/>
    <n v="8572"/>
    <n v="2041"/>
    <n v="8"/>
    <x v="2"/>
    <x v="4"/>
    <x v="2"/>
    <x v="504"/>
    <x v="590"/>
    <x v="3"/>
    <x v="9"/>
    <x v="20"/>
    <n v="0.23810079328044798"/>
  </r>
  <r>
    <s v="B-25992"/>
    <n v="8059"/>
    <n v="1834"/>
    <n v="10"/>
    <x v="0"/>
    <x v="1"/>
    <x v="3"/>
    <x v="416"/>
    <x v="588"/>
    <x v="1"/>
    <x v="6"/>
    <x v="18"/>
    <n v="0.22757165901476609"/>
  </r>
  <r>
    <s v="B-25992"/>
    <n v="8059"/>
    <n v="1834"/>
    <n v="10"/>
    <x v="0"/>
    <x v="1"/>
    <x v="3"/>
    <x v="503"/>
    <x v="589"/>
    <x v="1"/>
    <x v="6"/>
    <x v="17"/>
    <n v="0.22757165901476609"/>
  </r>
  <r>
    <s v="B-25992"/>
    <n v="8059"/>
    <n v="1834"/>
    <n v="10"/>
    <x v="0"/>
    <x v="1"/>
    <x v="3"/>
    <x v="504"/>
    <x v="590"/>
    <x v="3"/>
    <x v="9"/>
    <x v="20"/>
    <n v="0.22757165901476609"/>
  </r>
  <r>
    <s v="B-25532"/>
    <n v="3661"/>
    <n v="436"/>
    <n v="13"/>
    <x v="2"/>
    <x v="7"/>
    <x v="2"/>
    <x v="505"/>
    <x v="591"/>
    <x v="4"/>
    <x v="10"/>
    <x v="54"/>
    <n v="0.11909314394974051"/>
  </r>
  <r>
    <s v="B-25564"/>
    <n v="2451"/>
    <n v="342"/>
    <n v="8"/>
    <x v="1"/>
    <x v="8"/>
    <x v="2"/>
    <x v="506"/>
    <x v="592"/>
    <x v="3"/>
    <x v="4"/>
    <x v="43"/>
    <n v="0.13953488372093023"/>
  </r>
  <r>
    <s v="B-25564"/>
    <n v="2451"/>
    <n v="342"/>
    <n v="8"/>
    <x v="1"/>
    <x v="8"/>
    <x v="2"/>
    <x v="50"/>
    <x v="593"/>
    <x v="5"/>
    <x v="13"/>
    <x v="35"/>
    <n v="0.13953488372093023"/>
  </r>
  <r>
    <s v="B-25564"/>
    <n v="2451"/>
    <n v="342"/>
    <n v="8"/>
    <x v="1"/>
    <x v="8"/>
    <x v="2"/>
    <x v="507"/>
    <x v="594"/>
    <x v="4"/>
    <x v="15"/>
    <x v="41"/>
    <n v="0.13953488372093023"/>
  </r>
  <r>
    <s v="B-26543"/>
    <n v="7067"/>
    <n v="1943"/>
    <n v="16"/>
    <x v="2"/>
    <x v="4"/>
    <x v="3"/>
    <x v="508"/>
    <x v="595"/>
    <x v="3"/>
    <x v="11"/>
    <x v="25"/>
    <n v="0.27493986132729586"/>
  </r>
  <r>
    <s v="B-25976"/>
    <n v="4307"/>
    <n v="615"/>
    <n v="3"/>
    <x v="0"/>
    <x v="0"/>
    <x v="0"/>
    <x v="509"/>
    <x v="596"/>
    <x v="2"/>
    <x v="5"/>
    <x v="55"/>
    <n v="0.1427908056651962"/>
  </r>
  <r>
    <s v="B-25976"/>
    <n v="4307"/>
    <n v="615"/>
    <n v="3"/>
    <x v="0"/>
    <x v="0"/>
    <x v="0"/>
    <x v="448"/>
    <x v="597"/>
    <x v="1"/>
    <x v="6"/>
    <x v="11"/>
    <n v="0.1427908056651962"/>
  </r>
  <r>
    <s v="B-25976"/>
    <n v="5694"/>
    <n v="1134"/>
    <n v="5"/>
    <x v="2"/>
    <x v="5"/>
    <x v="2"/>
    <x v="509"/>
    <x v="596"/>
    <x v="2"/>
    <x v="5"/>
    <x v="55"/>
    <n v="0.19915700737618547"/>
  </r>
  <r>
    <s v="B-25976"/>
    <n v="5694"/>
    <n v="1134"/>
    <n v="5"/>
    <x v="2"/>
    <x v="5"/>
    <x v="2"/>
    <x v="448"/>
    <x v="597"/>
    <x v="1"/>
    <x v="6"/>
    <x v="11"/>
    <n v="0.19915700737618547"/>
  </r>
  <r>
    <s v="B-25929"/>
    <n v="962"/>
    <n v="298"/>
    <n v="18"/>
    <x v="1"/>
    <x v="9"/>
    <x v="3"/>
    <x v="510"/>
    <x v="598"/>
    <x v="1"/>
    <x v="6"/>
    <x v="58"/>
    <n v="0.30977130977130979"/>
  </r>
  <r>
    <s v="B-25497"/>
    <n v="2995"/>
    <n v="220"/>
    <n v="14"/>
    <x v="2"/>
    <x v="11"/>
    <x v="3"/>
    <x v="511"/>
    <x v="599"/>
    <x v="2"/>
    <x v="2"/>
    <x v="31"/>
    <n v="7.3455759599332218E-2"/>
  </r>
  <r>
    <s v="B-25497"/>
    <n v="2047"/>
    <n v="914"/>
    <n v="5"/>
    <x v="1"/>
    <x v="6"/>
    <x v="1"/>
    <x v="511"/>
    <x v="599"/>
    <x v="2"/>
    <x v="2"/>
    <x v="31"/>
    <n v="0.44650708353688323"/>
  </r>
  <r>
    <s v="B-26735"/>
    <n v="2078"/>
    <n v="612"/>
    <n v="6"/>
    <x v="0"/>
    <x v="3"/>
    <x v="4"/>
    <x v="512"/>
    <x v="600"/>
    <x v="4"/>
    <x v="10"/>
    <x v="12"/>
    <n v="0.29451395572666023"/>
  </r>
  <r>
    <s v="B-25036"/>
    <n v="2737"/>
    <n v="1253"/>
    <n v="3"/>
    <x v="0"/>
    <x v="1"/>
    <x v="2"/>
    <x v="513"/>
    <x v="601"/>
    <x v="2"/>
    <x v="5"/>
    <x v="27"/>
    <n v="0.4578005115089514"/>
  </r>
  <r>
    <s v="B-25971"/>
    <n v="8194"/>
    <n v="2881"/>
    <n v="6"/>
    <x v="1"/>
    <x v="8"/>
    <x v="1"/>
    <x v="196"/>
    <x v="602"/>
    <x v="4"/>
    <x v="15"/>
    <x v="2"/>
    <n v="0.35159873077861853"/>
  </r>
  <r>
    <s v="B-25441"/>
    <n v="9914"/>
    <n v="3858"/>
    <n v="16"/>
    <x v="2"/>
    <x v="7"/>
    <x v="3"/>
    <x v="514"/>
    <x v="603"/>
    <x v="2"/>
    <x v="2"/>
    <x v="33"/>
    <n v="0.38914666128706882"/>
  </r>
  <r>
    <s v="B-25441"/>
    <n v="9914"/>
    <n v="3858"/>
    <n v="16"/>
    <x v="2"/>
    <x v="7"/>
    <x v="3"/>
    <x v="515"/>
    <x v="604"/>
    <x v="2"/>
    <x v="7"/>
    <x v="47"/>
    <n v="0.38914666128706882"/>
  </r>
  <r>
    <s v="B-25441"/>
    <n v="5470"/>
    <n v="292"/>
    <n v="7"/>
    <x v="1"/>
    <x v="2"/>
    <x v="1"/>
    <x v="514"/>
    <x v="603"/>
    <x v="2"/>
    <x v="2"/>
    <x v="33"/>
    <n v="5.3382084095063988E-2"/>
  </r>
  <r>
    <s v="B-25441"/>
    <n v="5470"/>
    <n v="292"/>
    <n v="7"/>
    <x v="1"/>
    <x v="2"/>
    <x v="1"/>
    <x v="515"/>
    <x v="604"/>
    <x v="2"/>
    <x v="7"/>
    <x v="47"/>
    <n v="5.3382084095063988E-2"/>
  </r>
  <r>
    <s v="B-25441"/>
    <n v="1496"/>
    <n v="662"/>
    <n v="17"/>
    <x v="2"/>
    <x v="11"/>
    <x v="0"/>
    <x v="514"/>
    <x v="603"/>
    <x v="2"/>
    <x v="2"/>
    <x v="33"/>
    <n v="0.44251336898395721"/>
  </r>
  <r>
    <s v="B-25441"/>
    <n v="1496"/>
    <n v="662"/>
    <n v="17"/>
    <x v="2"/>
    <x v="11"/>
    <x v="0"/>
    <x v="515"/>
    <x v="604"/>
    <x v="2"/>
    <x v="7"/>
    <x v="47"/>
    <n v="0.44251336898395721"/>
  </r>
  <r>
    <s v="B-25823"/>
    <n v="3228"/>
    <n v="476"/>
    <n v="9"/>
    <x v="1"/>
    <x v="8"/>
    <x v="4"/>
    <x v="516"/>
    <x v="605"/>
    <x v="2"/>
    <x v="5"/>
    <x v="24"/>
    <n v="0.14745972738537794"/>
  </r>
  <r>
    <s v="B-25363"/>
    <n v="3918"/>
    <n v="749"/>
    <n v="8"/>
    <x v="0"/>
    <x v="3"/>
    <x v="3"/>
    <x v="517"/>
    <x v="606"/>
    <x v="3"/>
    <x v="9"/>
    <x v="23"/>
    <n v="0.19116896375701889"/>
  </r>
  <r>
    <s v="B-25363"/>
    <n v="3918"/>
    <n v="749"/>
    <n v="8"/>
    <x v="0"/>
    <x v="3"/>
    <x v="3"/>
    <x v="222"/>
    <x v="607"/>
    <x v="4"/>
    <x v="15"/>
    <x v="8"/>
    <n v="0.19116896375701889"/>
  </r>
  <r>
    <s v="B-26445"/>
    <n v="9921"/>
    <n v="1451"/>
    <n v="15"/>
    <x v="2"/>
    <x v="7"/>
    <x v="2"/>
    <x v="518"/>
    <x v="608"/>
    <x v="1"/>
    <x v="1"/>
    <x v="27"/>
    <n v="0.14625541780062493"/>
  </r>
  <r>
    <s v="B-26724"/>
    <n v="9694"/>
    <n v="4361"/>
    <n v="1"/>
    <x v="2"/>
    <x v="5"/>
    <x v="2"/>
    <x v="519"/>
    <x v="609"/>
    <x v="1"/>
    <x v="6"/>
    <x v="6"/>
    <n v="0.44986589643078195"/>
  </r>
  <r>
    <s v="B-25447"/>
    <n v="5028"/>
    <n v="1553"/>
    <n v="13"/>
    <x v="1"/>
    <x v="8"/>
    <x v="2"/>
    <x v="8"/>
    <x v="610"/>
    <x v="0"/>
    <x v="16"/>
    <x v="8"/>
    <n v="0.3088703261734288"/>
  </r>
  <r>
    <s v="B-26904"/>
    <n v="594"/>
    <n v="67"/>
    <n v="19"/>
    <x v="1"/>
    <x v="8"/>
    <x v="1"/>
    <x v="520"/>
    <x v="611"/>
    <x v="2"/>
    <x v="2"/>
    <x v="48"/>
    <n v="0.11279461279461279"/>
  </r>
  <r>
    <s v="B-26904"/>
    <n v="594"/>
    <n v="67"/>
    <n v="19"/>
    <x v="1"/>
    <x v="8"/>
    <x v="1"/>
    <x v="521"/>
    <x v="612"/>
    <x v="0"/>
    <x v="0"/>
    <x v="10"/>
    <n v="0.11279461279461279"/>
  </r>
  <r>
    <s v="B-26904"/>
    <n v="594"/>
    <n v="67"/>
    <n v="19"/>
    <x v="1"/>
    <x v="8"/>
    <x v="1"/>
    <x v="522"/>
    <x v="613"/>
    <x v="4"/>
    <x v="10"/>
    <x v="3"/>
    <n v="0.11279461279461279"/>
  </r>
  <r>
    <s v="B-26456"/>
    <n v="5954"/>
    <n v="2618"/>
    <n v="11"/>
    <x v="2"/>
    <x v="4"/>
    <x v="4"/>
    <x v="244"/>
    <x v="614"/>
    <x v="5"/>
    <x v="13"/>
    <x v="55"/>
    <n v="0.43970440040309033"/>
  </r>
  <r>
    <s v="B-25435"/>
    <n v="3518"/>
    <n v="1051"/>
    <n v="3"/>
    <x v="2"/>
    <x v="11"/>
    <x v="0"/>
    <x v="523"/>
    <x v="615"/>
    <x v="3"/>
    <x v="11"/>
    <x v="57"/>
    <n v="0.29874928936895961"/>
  </r>
  <r>
    <s v="B-25435"/>
    <n v="4157"/>
    <n v="1874"/>
    <n v="8"/>
    <x v="0"/>
    <x v="3"/>
    <x v="2"/>
    <x v="523"/>
    <x v="615"/>
    <x v="3"/>
    <x v="11"/>
    <x v="57"/>
    <n v="0.45080586961751262"/>
  </r>
  <r>
    <s v="B-26279"/>
    <n v="3747"/>
    <n v="410"/>
    <n v="5"/>
    <x v="1"/>
    <x v="6"/>
    <x v="3"/>
    <x v="524"/>
    <x v="616"/>
    <x v="1"/>
    <x v="6"/>
    <x v="60"/>
    <n v="0.10942087002935681"/>
  </r>
  <r>
    <s v="B-26279"/>
    <n v="3747"/>
    <n v="410"/>
    <n v="5"/>
    <x v="1"/>
    <x v="6"/>
    <x v="3"/>
    <x v="174"/>
    <x v="617"/>
    <x v="2"/>
    <x v="2"/>
    <x v="29"/>
    <n v="0.10942087002935681"/>
  </r>
  <r>
    <s v="B-26279"/>
    <n v="3747"/>
    <n v="410"/>
    <n v="5"/>
    <x v="1"/>
    <x v="6"/>
    <x v="3"/>
    <x v="499"/>
    <x v="618"/>
    <x v="5"/>
    <x v="12"/>
    <x v="55"/>
    <n v="0.10942087002935681"/>
  </r>
  <r>
    <s v="B-26279"/>
    <n v="3747"/>
    <n v="410"/>
    <n v="5"/>
    <x v="1"/>
    <x v="6"/>
    <x v="3"/>
    <x v="525"/>
    <x v="619"/>
    <x v="1"/>
    <x v="1"/>
    <x v="14"/>
    <n v="0.10942087002935681"/>
  </r>
  <r>
    <s v="B-26279"/>
    <n v="3747"/>
    <n v="410"/>
    <n v="5"/>
    <x v="1"/>
    <x v="6"/>
    <x v="3"/>
    <x v="526"/>
    <x v="620"/>
    <x v="3"/>
    <x v="4"/>
    <x v="2"/>
    <n v="0.10942087002935681"/>
  </r>
  <r>
    <s v="B-26279"/>
    <n v="3194"/>
    <n v="534"/>
    <n v="4"/>
    <x v="1"/>
    <x v="9"/>
    <x v="0"/>
    <x v="524"/>
    <x v="616"/>
    <x v="1"/>
    <x v="6"/>
    <x v="60"/>
    <n v="0.16718847839699436"/>
  </r>
  <r>
    <s v="B-26279"/>
    <n v="3194"/>
    <n v="534"/>
    <n v="4"/>
    <x v="1"/>
    <x v="9"/>
    <x v="0"/>
    <x v="174"/>
    <x v="617"/>
    <x v="2"/>
    <x v="2"/>
    <x v="29"/>
    <n v="0.16718847839699436"/>
  </r>
  <r>
    <s v="B-26279"/>
    <n v="3194"/>
    <n v="534"/>
    <n v="4"/>
    <x v="1"/>
    <x v="9"/>
    <x v="0"/>
    <x v="499"/>
    <x v="618"/>
    <x v="5"/>
    <x v="12"/>
    <x v="55"/>
    <n v="0.16718847839699436"/>
  </r>
  <r>
    <s v="B-26279"/>
    <n v="3194"/>
    <n v="534"/>
    <n v="4"/>
    <x v="1"/>
    <x v="9"/>
    <x v="0"/>
    <x v="525"/>
    <x v="619"/>
    <x v="1"/>
    <x v="1"/>
    <x v="14"/>
    <n v="0.16718847839699436"/>
  </r>
  <r>
    <s v="B-26279"/>
    <n v="3194"/>
    <n v="534"/>
    <n v="4"/>
    <x v="1"/>
    <x v="9"/>
    <x v="0"/>
    <x v="526"/>
    <x v="620"/>
    <x v="3"/>
    <x v="4"/>
    <x v="2"/>
    <n v="0.16718847839699436"/>
  </r>
  <r>
    <s v="B-25770"/>
    <n v="8548"/>
    <n v="2305"/>
    <n v="1"/>
    <x v="1"/>
    <x v="9"/>
    <x v="4"/>
    <x v="18"/>
    <x v="621"/>
    <x v="0"/>
    <x v="16"/>
    <x v="15"/>
    <n v="0.26965372016846045"/>
  </r>
  <r>
    <s v="B-25715"/>
    <n v="6089"/>
    <n v="139"/>
    <n v="19"/>
    <x v="2"/>
    <x v="4"/>
    <x v="1"/>
    <x v="527"/>
    <x v="622"/>
    <x v="5"/>
    <x v="13"/>
    <x v="50"/>
    <n v="2.282805058301856E-2"/>
  </r>
  <r>
    <s v="B-25715"/>
    <n v="6089"/>
    <n v="139"/>
    <n v="19"/>
    <x v="2"/>
    <x v="4"/>
    <x v="1"/>
    <x v="67"/>
    <x v="623"/>
    <x v="5"/>
    <x v="14"/>
    <x v="39"/>
    <n v="2.282805058301856E-2"/>
  </r>
  <r>
    <s v="B-25715"/>
    <n v="6089"/>
    <n v="139"/>
    <n v="19"/>
    <x v="2"/>
    <x v="4"/>
    <x v="1"/>
    <x v="528"/>
    <x v="624"/>
    <x v="1"/>
    <x v="1"/>
    <x v="28"/>
    <n v="2.282805058301856E-2"/>
  </r>
  <r>
    <s v="B-25715"/>
    <n v="2586"/>
    <n v="800"/>
    <n v="16"/>
    <x v="2"/>
    <x v="4"/>
    <x v="0"/>
    <x v="527"/>
    <x v="622"/>
    <x v="5"/>
    <x v="13"/>
    <x v="50"/>
    <n v="0.30935808197989173"/>
  </r>
  <r>
    <s v="B-25715"/>
    <n v="2586"/>
    <n v="800"/>
    <n v="16"/>
    <x v="2"/>
    <x v="4"/>
    <x v="0"/>
    <x v="67"/>
    <x v="623"/>
    <x v="5"/>
    <x v="14"/>
    <x v="39"/>
    <n v="0.30935808197989173"/>
  </r>
  <r>
    <s v="B-25715"/>
    <n v="2586"/>
    <n v="800"/>
    <n v="16"/>
    <x v="2"/>
    <x v="4"/>
    <x v="0"/>
    <x v="528"/>
    <x v="624"/>
    <x v="1"/>
    <x v="1"/>
    <x v="28"/>
    <n v="0.30935808197989173"/>
  </r>
  <r>
    <s v="B-25715"/>
    <n v="3757"/>
    <n v="1626"/>
    <n v="9"/>
    <x v="1"/>
    <x v="8"/>
    <x v="0"/>
    <x v="527"/>
    <x v="622"/>
    <x v="5"/>
    <x v="13"/>
    <x v="50"/>
    <n v="0.43279212137343626"/>
  </r>
  <r>
    <s v="B-25715"/>
    <n v="3757"/>
    <n v="1626"/>
    <n v="9"/>
    <x v="1"/>
    <x v="8"/>
    <x v="0"/>
    <x v="67"/>
    <x v="623"/>
    <x v="5"/>
    <x v="14"/>
    <x v="39"/>
    <n v="0.43279212137343626"/>
  </r>
  <r>
    <s v="B-25715"/>
    <n v="3757"/>
    <n v="1626"/>
    <n v="9"/>
    <x v="1"/>
    <x v="8"/>
    <x v="0"/>
    <x v="528"/>
    <x v="624"/>
    <x v="1"/>
    <x v="1"/>
    <x v="28"/>
    <n v="0.43279212137343626"/>
  </r>
  <r>
    <s v="B-26961"/>
    <n v="5193"/>
    <n v="2530"/>
    <n v="5"/>
    <x v="2"/>
    <x v="7"/>
    <x v="1"/>
    <x v="472"/>
    <x v="625"/>
    <x v="3"/>
    <x v="9"/>
    <x v="4"/>
    <n v="0.48719430001925668"/>
  </r>
  <r>
    <s v="B-26961"/>
    <n v="5193"/>
    <n v="2530"/>
    <n v="5"/>
    <x v="2"/>
    <x v="7"/>
    <x v="1"/>
    <x v="529"/>
    <x v="626"/>
    <x v="0"/>
    <x v="0"/>
    <x v="1"/>
    <n v="0.48719430001925668"/>
  </r>
  <r>
    <s v="B-25902"/>
    <n v="7493"/>
    <n v="96"/>
    <n v="3"/>
    <x v="0"/>
    <x v="0"/>
    <x v="0"/>
    <x v="530"/>
    <x v="627"/>
    <x v="5"/>
    <x v="14"/>
    <x v="38"/>
    <n v="1.2811957827305485E-2"/>
  </r>
  <r>
    <s v="B-26321"/>
    <n v="2062"/>
    <n v="848"/>
    <n v="6"/>
    <x v="1"/>
    <x v="6"/>
    <x v="3"/>
    <x v="531"/>
    <x v="628"/>
    <x v="0"/>
    <x v="16"/>
    <x v="55"/>
    <n v="0.41125121241513096"/>
  </r>
  <r>
    <s v="B-25612"/>
    <n v="7163"/>
    <n v="1536"/>
    <n v="1"/>
    <x v="0"/>
    <x v="10"/>
    <x v="2"/>
    <x v="384"/>
    <x v="629"/>
    <x v="3"/>
    <x v="9"/>
    <x v="59"/>
    <n v="0.21443529247521989"/>
  </r>
  <r>
    <s v="B-25605"/>
    <n v="4026"/>
    <n v="163"/>
    <n v="6"/>
    <x v="0"/>
    <x v="10"/>
    <x v="4"/>
    <x v="532"/>
    <x v="630"/>
    <x v="2"/>
    <x v="5"/>
    <x v="17"/>
    <n v="4.0486835568802781E-2"/>
  </r>
  <r>
    <s v="B-25810"/>
    <n v="1894"/>
    <n v="275"/>
    <n v="5"/>
    <x v="2"/>
    <x v="5"/>
    <x v="3"/>
    <x v="533"/>
    <x v="631"/>
    <x v="0"/>
    <x v="0"/>
    <x v="35"/>
    <n v="0.14519535374868003"/>
  </r>
  <r>
    <s v="B-25810"/>
    <n v="7144"/>
    <n v="192"/>
    <n v="13"/>
    <x v="0"/>
    <x v="0"/>
    <x v="3"/>
    <x v="533"/>
    <x v="631"/>
    <x v="0"/>
    <x v="0"/>
    <x v="35"/>
    <n v="2.6875699888017916E-2"/>
  </r>
  <r>
    <s v="B-25935"/>
    <n v="3482"/>
    <n v="1554"/>
    <n v="15"/>
    <x v="0"/>
    <x v="3"/>
    <x v="1"/>
    <x v="534"/>
    <x v="632"/>
    <x v="5"/>
    <x v="12"/>
    <x v="57"/>
    <n v="0.44629523262492821"/>
  </r>
  <r>
    <s v="B-26245"/>
    <n v="4172"/>
    <n v="235"/>
    <n v="5"/>
    <x v="1"/>
    <x v="8"/>
    <x v="2"/>
    <x v="535"/>
    <x v="633"/>
    <x v="5"/>
    <x v="14"/>
    <x v="22"/>
    <n v="5.6327900287631828E-2"/>
  </r>
  <r>
    <s v="B-26245"/>
    <n v="4172"/>
    <n v="235"/>
    <n v="5"/>
    <x v="1"/>
    <x v="8"/>
    <x v="2"/>
    <x v="536"/>
    <x v="634"/>
    <x v="0"/>
    <x v="3"/>
    <x v="40"/>
    <n v="5.6327900287631828E-2"/>
  </r>
  <r>
    <s v="B-26245"/>
    <n v="4172"/>
    <n v="235"/>
    <n v="5"/>
    <x v="1"/>
    <x v="8"/>
    <x v="2"/>
    <x v="198"/>
    <x v="635"/>
    <x v="1"/>
    <x v="6"/>
    <x v="44"/>
    <n v="5.6327900287631828E-2"/>
  </r>
  <r>
    <s v="B-25346"/>
    <n v="6265"/>
    <n v="155"/>
    <n v="8"/>
    <x v="2"/>
    <x v="7"/>
    <x v="4"/>
    <x v="157"/>
    <x v="636"/>
    <x v="5"/>
    <x v="13"/>
    <x v="40"/>
    <n v="2.4740622505985636E-2"/>
  </r>
  <r>
    <s v="B-25346"/>
    <n v="6265"/>
    <n v="155"/>
    <n v="8"/>
    <x v="2"/>
    <x v="7"/>
    <x v="4"/>
    <x v="537"/>
    <x v="637"/>
    <x v="5"/>
    <x v="14"/>
    <x v="34"/>
    <n v="2.4740622505985636E-2"/>
  </r>
  <r>
    <s v="B-25594"/>
    <n v="2931"/>
    <n v="212"/>
    <n v="7"/>
    <x v="0"/>
    <x v="0"/>
    <x v="3"/>
    <x v="538"/>
    <x v="638"/>
    <x v="1"/>
    <x v="17"/>
    <x v="47"/>
    <n v="7.2330262708973053E-2"/>
  </r>
  <r>
    <s v="B-25594"/>
    <n v="2931"/>
    <n v="212"/>
    <n v="7"/>
    <x v="0"/>
    <x v="0"/>
    <x v="3"/>
    <x v="539"/>
    <x v="639"/>
    <x v="0"/>
    <x v="16"/>
    <x v="16"/>
    <n v="7.2330262708973053E-2"/>
  </r>
  <r>
    <s v="B-25471"/>
    <n v="1146"/>
    <n v="188"/>
    <n v="9"/>
    <x v="2"/>
    <x v="5"/>
    <x v="1"/>
    <x v="540"/>
    <x v="640"/>
    <x v="0"/>
    <x v="16"/>
    <x v="46"/>
    <n v="0.16404886561954624"/>
  </r>
  <r>
    <s v="B-25398"/>
    <n v="9215"/>
    <n v="767"/>
    <n v="13"/>
    <x v="0"/>
    <x v="1"/>
    <x v="4"/>
    <x v="541"/>
    <x v="641"/>
    <x v="0"/>
    <x v="16"/>
    <x v="12"/>
    <n v="8.3233857840477488E-2"/>
  </r>
  <r>
    <s v="B-25398"/>
    <n v="9215"/>
    <n v="767"/>
    <n v="13"/>
    <x v="0"/>
    <x v="1"/>
    <x v="4"/>
    <x v="542"/>
    <x v="642"/>
    <x v="3"/>
    <x v="11"/>
    <x v="35"/>
    <n v="8.3233857840477488E-2"/>
  </r>
  <r>
    <s v="B-25999"/>
    <n v="7895"/>
    <n v="1005"/>
    <n v="1"/>
    <x v="2"/>
    <x v="5"/>
    <x v="3"/>
    <x v="543"/>
    <x v="643"/>
    <x v="5"/>
    <x v="13"/>
    <x v="59"/>
    <n v="0.1272957568081064"/>
  </r>
  <r>
    <s v="B-25999"/>
    <n v="7895"/>
    <n v="1005"/>
    <n v="1"/>
    <x v="2"/>
    <x v="5"/>
    <x v="3"/>
    <x v="544"/>
    <x v="644"/>
    <x v="3"/>
    <x v="9"/>
    <x v="30"/>
    <n v="0.1272957568081064"/>
  </r>
  <r>
    <s v="B-25999"/>
    <n v="2740"/>
    <n v="558"/>
    <n v="8"/>
    <x v="1"/>
    <x v="2"/>
    <x v="0"/>
    <x v="543"/>
    <x v="643"/>
    <x v="5"/>
    <x v="13"/>
    <x v="59"/>
    <n v="0.20364963503649636"/>
  </r>
  <r>
    <s v="B-25999"/>
    <n v="2740"/>
    <n v="558"/>
    <n v="8"/>
    <x v="1"/>
    <x v="2"/>
    <x v="0"/>
    <x v="544"/>
    <x v="644"/>
    <x v="3"/>
    <x v="9"/>
    <x v="30"/>
    <n v="0.20364963503649636"/>
  </r>
  <r>
    <s v="B-25159"/>
    <n v="5338"/>
    <n v="1354"/>
    <n v="16"/>
    <x v="1"/>
    <x v="6"/>
    <x v="0"/>
    <x v="545"/>
    <x v="645"/>
    <x v="1"/>
    <x v="17"/>
    <x v="19"/>
    <n v="0.25365305357811913"/>
  </r>
  <r>
    <s v="B-25159"/>
    <n v="5338"/>
    <n v="1354"/>
    <n v="16"/>
    <x v="1"/>
    <x v="6"/>
    <x v="0"/>
    <x v="546"/>
    <x v="646"/>
    <x v="2"/>
    <x v="2"/>
    <x v="0"/>
    <n v="0.25365305357811913"/>
  </r>
  <r>
    <s v="B-25159"/>
    <n v="5338"/>
    <n v="1354"/>
    <n v="16"/>
    <x v="1"/>
    <x v="6"/>
    <x v="0"/>
    <x v="408"/>
    <x v="647"/>
    <x v="0"/>
    <x v="3"/>
    <x v="56"/>
    <n v="0.25365305357811913"/>
  </r>
  <r>
    <s v="B-25159"/>
    <n v="5338"/>
    <n v="1354"/>
    <n v="16"/>
    <x v="1"/>
    <x v="6"/>
    <x v="0"/>
    <x v="547"/>
    <x v="648"/>
    <x v="2"/>
    <x v="2"/>
    <x v="49"/>
    <n v="0.25365305357811913"/>
  </r>
  <r>
    <s v="B-25496"/>
    <n v="3095"/>
    <n v="941"/>
    <n v="2"/>
    <x v="1"/>
    <x v="2"/>
    <x v="2"/>
    <x v="55"/>
    <x v="649"/>
    <x v="5"/>
    <x v="14"/>
    <x v="39"/>
    <n v="0.30403877221324715"/>
  </r>
  <r>
    <s v="B-25496"/>
    <n v="3095"/>
    <n v="941"/>
    <n v="2"/>
    <x v="1"/>
    <x v="2"/>
    <x v="2"/>
    <x v="98"/>
    <x v="650"/>
    <x v="4"/>
    <x v="10"/>
    <x v="40"/>
    <n v="0.30403877221324715"/>
  </r>
  <r>
    <s v="B-25401"/>
    <n v="6017"/>
    <n v="2230"/>
    <n v="13"/>
    <x v="0"/>
    <x v="1"/>
    <x v="1"/>
    <x v="166"/>
    <x v="651"/>
    <x v="1"/>
    <x v="17"/>
    <x v="21"/>
    <n v="0.37061658633870698"/>
  </r>
  <r>
    <s v="B-25707"/>
    <n v="4904"/>
    <n v="469"/>
    <n v="2"/>
    <x v="1"/>
    <x v="2"/>
    <x v="1"/>
    <x v="395"/>
    <x v="652"/>
    <x v="4"/>
    <x v="8"/>
    <x v="32"/>
    <n v="9.5636215334420877E-2"/>
  </r>
  <r>
    <s v="B-25707"/>
    <n v="3080"/>
    <n v="737"/>
    <n v="6"/>
    <x v="1"/>
    <x v="9"/>
    <x v="0"/>
    <x v="395"/>
    <x v="652"/>
    <x v="4"/>
    <x v="8"/>
    <x v="32"/>
    <n v="0.2392857142857143"/>
  </r>
  <r>
    <s v="B-26225"/>
    <n v="1992"/>
    <n v="355"/>
    <n v="2"/>
    <x v="0"/>
    <x v="10"/>
    <x v="4"/>
    <x v="548"/>
    <x v="653"/>
    <x v="0"/>
    <x v="16"/>
    <x v="1"/>
    <n v="0.17821285140562249"/>
  </r>
  <r>
    <s v="B-25662"/>
    <n v="5346"/>
    <n v="1246"/>
    <n v="17"/>
    <x v="2"/>
    <x v="7"/>
    <x v="2"/>
    <x v="549"/>
    <x v="654"/>
    <x v="0"/>
    <x v="3"/>
    <x v="58"/>
    <n v="0.23307145529367751"/>
  </r>
  <r>
    <s v="B-25662"/>
    <n v="5346"/>
    <n v="1246"/>
    <n v="17"/>
    <x v="2"/>
    <x v="7"/>
    <x v="2"/>
    <x v="550"/>
    <x v="655"/>
    <x v="0"/>
    <x v="0"/>
    <x v="37"/>
    <n v="0.23307145529367751"/>
  </r>
  <r>
    <s v="B-26752"/>
    <n v="8422"/>
    <n v="893"/>
    <n v="18"/>
    <x v="0"/>
    <x v="1"/>
    <x v="1"/>
    <x v="98"/>
    <x v="656"/>
    <x v="3"/>
    <x v="11"/>
    <x v="40"/>
    <n v="0.10603182142009024"/>
  </r>
  <r>
    <s v="B-26752"/>
    <n v="8422"/>
    <n v="893"/>
    <n v="18"/>
    <x v="0"/>
    <x v="1"/>
    <x v="1"/>
    <x v="126"/>
    <x v="657"/>
    <x v="5"/>
    <x v="12"/>
    <x v="40"/>
    <n v="0.10603182142009024"/>
  </r>
  <r>
    <s v="B-26752"/>
    <n v="6105"/>
    <n v="1447"/>
    <n v="8"/>
    <x v="2"/>
    <x v="11"/>
    <x v="3"/>
    <x v="98"/>
    <x v="656"/>
    <x v="3"/>
    <x v="11"/>
    <x v="40"/>
    <n v="0.23701883701883703"/>
  </r>
  <r>
    <s v="B-26752"/>
    <n v="6105"/>
    <n v="1447"/>
    <n v="8"/>
    <x v="2"/>
    <x v="11"/>
    <x v="3"/>
    <x v="126"/>
    <x v="657"/>
    <x v="5"/>
    <x v="12"/>
    <x v="40"/>
    <n v="0.23701883701883703"/>
  </r>
  <r>
    <s v="B-25640"/>
    <n v="670"/>
    <n v="85"/>
    <n v="9"/>
    <x v="1"/>
    <x v="2"/>
    <x v="2"/>
    <x v="27"/>
    <x v="658"/>
    <x v="4"/>
    <x v="15"/>
    <x v="21"/>
    <n v="0.12686567164179105"/>
  </r>
  <r>
    <s v="B-25030"/>
    <n v="4057"/>
    <n v="1012"/>
    <n v="6"/>
    <x v="0"/>
    <x v="3"/>
    <x v="3"/>
    <x v="551"/>
    <x v="659"/>
    <x v="3"/>
    <x v="9"/>
    <x v="24"/>
    <n v="0.24944540300714813"/>
  </r>
  <r>
    <s v="B-25504"/>
    <n v="8178"/>
    <n v="2462"/>
    <n v="10"/>
    <x v="1"/>
    <x v="2"/>
    <x v="0"/>
    <x v="552"/>
    <x v="660"/>
    <x v="3"/>
    <x v="4"/>
    <x v="21"/>
    <n v="0.30105160185864516"/>
  </r>
  <r>
    <s v="B-26912"/>
    <n v="8752"/>
    <n v="1686"/>
    <n v="9"/>
    <x v="2"/>
    <x v="4"/>
    <x v="1"/>
    <x v="553"/>
    <x v="661"/>
    <x v="5"/>
    <x v="13"/>
    <x v="50"/>
    <n v="0.1926416819012797"/>
  </r>
  <r>
    <s v="B-26912"/>
    <n v="8752"/>
    <n v="1686"/>
    <n v="9"/>
    <x v="2"/>
    <x v="4"/>
    <x v="1"/>
    <x v="554"/>
    <x v="662"/>
    <x v="1"/>
    <x v="17"/>
    <x v="48"/>
    <n v="0.1926416819012797"/>
  </r>
  <r>
    <s v="B-26912"/>
    <n v="8752"/>
    <n v="1686"/>
    <n v="9"/>
    <x v="2"/>
    <x v="4"/>
    <x v="1"/>
    <x v="555"/>
    <x v="663"/>
    <x v="1"/>
    <x v="1"/>
    <x v="12"/>
    <n v="0.1926416819012797"/>
  </r>
  <r>
    <s v="B-25193"/>
    <n v="8974"/>
    <n v="4441"/>
    <n v="16"/>
    <x v="0"/>
    <x v="1"/>
    <x v="2"/>
    <x v="556"/>
    <x v="664"/>
    <x v="2"/>
    <x v="5"/>
    <x v="0"/>
    <n v="0.49487408067751282"/>
  </r>
  <r>
    <s v="B-25106"/>
    <n v="9090"/>
    <n v="3098"/>
    <n v="16"/>
    <x v="0"/>
    <x v="10"/>
    <x v="3"/>
    <x v="557"/>
    <x v="665"/>
    <x v="4"/>
    <x v="8"/>
    <x v="27"/>
    <n v="0.34081408140814079"/>
  </r>
  <r>
    <s v="B-25106"/>
    <n v="9090"/>
    <n v="3098"/>
    <n v="16"/>
    <x v="0"/>
    <x v="10"/>
    <x v="3"/>
    <x v="558"/>
    <x v="666"/>
    <x v="1"/>
    <x v="6"/>
    <x v="3"/>
    <n v="0.34081408140814079"/>
  </r>
  <r>
    <s v="B-25106"/>
    <n v="851"/>
    <n v="356"/>
    <n v="11"/>
    <x v="0"/>
    <x v="0"/>
    <x v="3"/>
    <x v="557"/>
    <x v="665"/>
    <x v="4"/>
    <x v="8"/>
    <x v="27"/>
    <n v="0.418331374853114"/>
  </r>
  <r>
    <s v="B-25106"/>
    <n v="851"/>
    <n v="356"/>
    <n v="11"/>
    <x v="0"/>
    <x v="0"/>
    <x v="3"/>
    <x v="558"/>
    <x v="666"/>
    <x v="1"/>
    <x v="6"/>
    <x v="3"/>
    <n v="0.418331374853114"/>
  </r>
  <r>
    <s v="B-26835"/>
    <n v="5427"/>
    <n v="728"/>
    <n v="3"/>
    <x v="0"/>
    <x v="10"/>
    <x v="0"/>
    <x v="559"/>
    <x v="667"/>
    <x v="0"/>
    <x v="0"/>
    <x v="45"/>
    <n v="0.13414409434309932"/>
  </r>
  <r>
    <s v="B-25836"/>
    <n v="2695"/>
    <n v="914"/>
    <n v="15"/>
    <x v="2"/>
    <x v="11"/>
    <x v="1"/>
    <x v="560"/>
    <x v="668"/>
    <x v="1"/>
    <x v="17"/>
    <x v="58"/>
    <n v="0.33914656771799628"/>
  </r>
  <r>
    <s v="B-25836"/>
    <n v="2695"/>
    <n v="914"/>
    <n v="15"/>
    <x v="2"/>
    <x v="11"/>
    <x v="1"/>
    <x v="561"/>
    <x v="669"/>
    <x v="3"/>
    <x v="4"/>
    <x v="22"/>
    <n v="0.33914656771799628"/>
  </r>
  <r>
    <s v="B-26661"/>
    <n v="2386"/>
    <n v="999"/>
    <n v="3"/>
    <x v="1"/>
    <x v="2"/>
    <x v="4"/>
    <x v="562"/>
    <x v="670"/>
    <x v="0"/>
    <x v="0"/>
    <x v="42"/>
    <n v="0.41869237217099747"/>
  </r>
  <r>
    <s v="B-26317"/>
    <n v="2284"/>
    <n v="149"/>
    <n v="20"/>
    <x v="1"/>
    <x v="2"/>
    <x v="1"/>
    <x v="563"/>
    <x v="671"/>
    <x v="2"/>
    <x v="7"/>
    <x v="36"/>
    <n v="6.523642732049037E-2"/>
  </r>
  <r>
    <s v="B-26839"/>
    <n v="6034"/>
    <n v="608"/>
    <n v="8"/>
    <x v="0"/>
    <x v="10"/>
    <x v="2"/>
    <x v="564"/>
    <x v="672"/>
    <x v="4"/>
    <x v="15"/>
    <x v="37"/>
    <n v="0.10076234670202187"/>
  </r>
  <r>
    <s v="B-26839"/>
    <n v="8956"/>
    <n v="3359"/>
    <n v="13"/>
    <x v="2"/>
    <x v="11"/>
    <x v="3"/>
    <x v="564"/>
    <x v="672"/>
    <x v="4"/>
    <x v="15"/>
    <x v="37"/>
    <n v="0.3750558284948638"/>
  </r>
  <r>
    <s v="B-25735"/>
    <n v="7122"/>
    <n v="1982"/>
    <n v="7"/>
    <x v="1"/>
    <x v="6"/>
    <x v="2"/>
    <x v="565"/>
    <x v="673"/>
    <x v="1"/>
    <x v="17"/>
    <x v="55"/>
    <n v="0.27829261443414771"/>
  </r>
  <r>
    <s v="B-25387"/>
    <n v="9775"/>
    <n v="4507"/>
    <n v="5"/>
    <x v="1"/>
    <x v="6"/>
    <x v="0"/>
    <x v="566"/>
    <x v="674"/>
    <x v="5"/>
    <x v="13"/>
    <x v="60"/>
    <n v="0.46107416879795399"/>
  </r>
  <r>
    <s v="B-25192"/>
    <n v="3309"/>
    <n v="177"/>
    <n v="13"/>
    <x v="2"/>
    <x v="11"/>
    <x v="2"/>
    <x v="567"/>
    <x v="675"/>
    <x v="5"/>
    <x v="14"/>
    <x v="50"/>
    <n v="5.3490480507706259E-2"/>
  </r>
  <r>
    <s v="B-26844"/>
    <n v="4163"/>
    <n v="897"/>
    <n v="14"/>
    <x v="0"/>
    <x v="0"/>
    <x v="4"/>
    <x v="303"/>
    <x v="676"/>
    <x v="1"/>
    <x v="6"/>
    <x v="40"/>
    <n v="0.21546961325966851"/>
  </r>
  <r>
    <s v="B-26844"/>
    <n v="4163"/>
    <n v="897"/>
    <n v="14"/>
    <x v="0"/>
    <x v="0"/>
    <x v="4"/>
    <x v="568"/>
    <x v="677"/>
    <x v="5"/>
    <x v="14"/>
    <x v="9"/>
    <n v="0.21546961325966851"/>
  </r>
  <r>
    <s v="B-26844"/>
    <n v="4163"/>
    <n v="897"/>
    <n v="14"/>
    <x v="0"/>
    <x v="0"/>
    <x v="4"/>
    <x v="569"/>
    <x v="678"/>
    <x v="0"/>
    <x v="3"/>
    <x v="22"/>
    <n v="0.21546961325966851"/>
  </r>
  <r>
    <s v="B-25236"/>
    <n v="5518"/>
    <n v="867"/>
    <n v="7"/>
    <x v="2"/>
    <x v="7"/>
    <x v="0"/>
    <x v="570"/>
    <x v="679"/>
    <x v="4"/>
    <x v="15"/>
    <x v="29"/>
    <n v="0.15712214570496558"/>
  </r>
  <r>
    <s v="B-25940"/>
    <n v="7566"/>
    <n v="606"/>
    <n v="6"/>
    <x v="0"/>
    <x v="10"/>
    <x v="1"/>
    <x v="571"/>
    <x v="680"/>
    <x v="5"/>
    <x v="12"/>
    <x v="52"/>
    <n v="8.009516256938938E-2"/>
  </r>
  <r>
    <s v="B-25940"/>
    <n v="7566"/>
    <n v="606"/>
    <n v="6"/>
    <x v="0"/>
    <x v="10"/>
    <x v="1"/>
    <x v="572"/>
    <x v="681"/>
    <x v="3"/>
    <x v="9"/>
    <x v="9"/>
    <n v="8.009516256938938E-2"/>
  </r>
  <r>
    <s v="B-26765"/>
    <n v="762"/>
    <n v="92"/>
    <n v="11"/>
    <x v="0"/>
    <x v="1"/>
    <x v="4"/>
    <x v="573"/>
    <x v="682"/>
    <x v="1"/>
    <x v="6"/>
    <x v="54"/>
    <n v="0.12073490813648294"/>
  </r>
  <r>
    <s v="B-26817"/>
    <n v="3316"/>
    <n v="126"/>
    <n v="6"/>
    <x v="0"/>
    <x v="3"/>
    <x v="4"/>
    <x v="574"/>
    <x v="683"/>
    <x v="5"/>
    <x v="13"/>
    <x v="20"/>
    <n v="3.7997587454764774E-2"/>
  </r>
  <r>
    <s v="B-26522"/>
    <n v="5994"/>
    <n v="2826"/>
    <n v="9"/>
    <x v="2"/>
    <x v="11"/>
    <x v="2"/>
    <x v="249"/>
    <x v="684"/>
    <x v="3"/>
    <x v="11"/>
    <x v="23"/>
    <n v="0.47147147147147145"/>
  </r>
  <r>
    <s v="B-26522"/>
    <n v="5994"/>
    <n v="2826"/>
    <n v="9"/>
    <x v="2"/>
    <x v="11"/>
    <x v="2"/>
    <x v="575"/>
    <x v="685"/>
    <x v="3"/>
    <x v="4"/>
    <x v="55"/>
    <n v="0.47147147147147145"/>
  </r>
  <r>
    <s v="B-26522"/>
    <n v="5994"/>
    <n v="2826"/>
    <n v="9"/>
    <x v="2"/>
    <x v="11"/>
    <x v="2"/>
    <x v="147"/>
    <x v="686"/>
    <x v="2"/>
    <x v="5"/>
    <x v="55"/>
    <n v="0.47147147147147145"/>
  </r>
  <r>
    <s v="B-25681"/>
    <n v="3854"/>
    <n v="245"/>
    <n v="19"/>
    <x v="0"/>
    <x v="3"/>
    <x v="4"/>
    <x v="576"/>
    <x v="687"/>
    <x v="5"/>
    <x v="12"/>
    <x v="37"/>
    <n v="6.3570316554229372E-2"/>
  </r>
  <r>
    <s v="B-25382"/>
    <n v="7019"/>
    <n v="2677"/>
    <n v="15"/>
    <x v="1"/>
    <x v="6"/>
    <x v="0"/>
    <x v="107"/>
    <x v="688"/>
    <x v="0"/>
    <x v="0"/>
    <x v="50"/>
    <n v="0.38139336087761788"/>
  </r>
  <r>
    <s v="B-25944"/>
    <n v="5954"/>
    <n v="2640"/>
    <n v="14"/>
    <x v="0"/>
    <x v="3"/>
    <x v="3"/>
    <x v="577"/>
    <x v="689"/>
    <x v="2"/>
    <x v="5"/>
    <x v="36"/>
    <n v="0.44339939536446088"/>
  </r>
  <r>
    <s v="B-25944"/>
    <n v="5954"/>
    <n v="2640"/>
    <n v="14"/>
    <x v="0"/>
    <x v="3"/>
    <x v="3"/>
    <x v="402"/>
    <x v="690"/>
    <x v="4"/>
    <x v="8"/>
    <x v="15"/>
    <n v="0.44339939536446088"/>
  </r>
  <r>
    <s v="B-26980"/>
    <n v="9752"/>
    <n v="3618"/>
    <n v="5"/>
    <x v="2"/>
    <x v="11"/>
    <x v="1"/>
    <x v="578"/>
    <x v="691"/>
    <x v="2"/>
    <x v="7"/>
    <x v="42"/>
    <n v="0.37100082034454474"/>
  </r>
  <r>
    <s v="B-26980"/>
    <n v="9752"/>
    <n v="3618"/>
    <n v="5"/>
    <x v="2"/>
    <x v="11"/>
    <x v="1"/>
    <x v="283"/>
    <x v="692"/>
    <x v="1"/>
    <x v="17"/>
    <x v="15"/>
    <n v="0.37100082034454474"/>
  </r>
  <r>
    <s v="B-25780"/>
    <n v="5335"/>
    <n v="322"/>
    <n v="15"/>
    <x v="0"/>
    <x v="0"/>
    <x v="4"/>
    <x v="579"/>
    <x v="693"/>
    <x v="2"/>
    <x v="5"/>
    <x v="37"/>
    <n v="6.0356138706654169E-2"/>
  </r>
  <r>
    <s v="B-25964"/>
    <n v="1454"/>
    <n v="80"/>
    <n v="20"/>
    <x v="0"/>
    <x v="0"/>
    <x v="3"/>
    <x v="580"/>
    <x v="694"/>
    <x v="2"/>
    <x v="7"/>
    <x v="58"/>
    <n v="5.5020632737276476E-2"/>
  </r>
  <r>
    <s v="B-26767"/>
    <n v="6724"/>
    <n v="1539"/>
    <n v="19"/>
    <x v="2"/>
    <x v="11"/>
    <x v="4"/>
    <x v="581"/>
    <x v="695"/>
    <x v="3"/>
    <x v="11"/>
    <x v="13"/>
    <n v="0.22888161808447352"/>
  </r>
  <r>
    <s v="B-26767"/>
    <n v="6724"/>
    <n v="1539"/>
    <n v="19"/>
    <x v="2"/>
    <x v="11"/>
    <x v="4"/>
    <x v="582"/>
    <x v="696"/>
    <x v="4"/>
    <x v="8"/>
    <x v="22"/>
    <n v="0.22888161808447352"/>
  </r>
  <r>
    <s v="B-25501"/>
    <n v="9874"/>
    <n v="3895"/>
    <n v="4"/>
    <x v="1"/>
    <x v="9"/>
    <x v="2"/>
    <x v="404"/>
    <x v="697"/>
    <x v="5"/>
    <x v="14"/>
    <x v="9"/>
    <n v="0.39447032610897304"/>
  </r>
  <r>
    <s v="B-26029"/>
    <n v="4918"/>
    <n v="1485"/>
    <n v="7"/>
    <x v="0"/>
    <x v="10"/>
    <x v="0"/>
    <x v="583"/>
    <x v="698"/>
    <x v="0"/>
    <x v="16"/>
    <x v="14"/>
    <n v="0.30195201301342006"/>
  </r>
  <r>
    <s v="B-25292"/>
    <n v="3189"/>
    <n v="1180"/>
    <n v="19"/>
    <x v="1"/>
    <x v="8"/>
    <x v="3"/>
    <x v="168"/>
    <x v="699"/>
    <x v="2"/>
    <x v="5"/>
    <x v="13"/>
    <n v="0.370021950454688"/>
  </r>
  <r>
    <s v="B-25873"/>
    <n v="2684"/>
    <n v="713"/>
    <n v="2"/>
    <x v="0"/>
    <x v="0"/>
    <x v="0"/>
    <x v="208"/>
    <x v="700"/>
    <x v="2"/>
    <x v="5"/>
    <x v="47"/>
    <n v="0.2656482861400894"/>
  </r>
  <r>
    <s v="B-25873"/>
    <n v="2684"/>
    <n v="713"/>
    <n v="2"/>
    <x v="0"/>
    <x v="0"/>
    <x v="0"/>
    <x v="584"/>
    <x v="701"/>
    <x v="2"/>
    <x v="2"/>
    <x v="33"/>
    <n v="0.2656482861400894"/>
  </r>
  <r>
    <s v="B-25873"/>
    <n v="2684"/>
    <n v="713"/>
    <n v="2"/>
    <x v="0"/>
    <x v="0"/>
    <x v="0"/>
    <x v="585"/>
    <x v="702"/>
    <x v="4"/>
    <x v="8"/>
    <x v="8"/>
    <n v="0.2656482861400894"/>
  </r>
  <r>
    <s v="B-25444"/>
    <n v="7626"/>
    <n v="229"/>
    <n v="5"/>
    <x v="1"/>
    <x v="2"/>
    <x v="2"/>
    <x v="350"/>
    <x v="703"/>
    <x v="1"/>
    <x v="6"/>
    <x v="42"/>
    <n v="3.002884867558353E-2"/>
  </r>
  <r>
    <s v="B-25444"/>
    <n v="7626"/>
    <n v="229"/>
    <n v="5"/>
    <x v="1"/>
    <x v="2"/>
    <x v="2"/>
    <x v="586"/>
    <x v="704"/>
    <x v="5"/>
    <x v="12"/>
    <x v="11"/>
    <n v="3.002884867558353E-2"/>
  </r>
  <r>
    <s v="B-26796"/>
    <n v="6669"/>
    <n v="3063"/>
    <n v="19"/>
    <x v="0"/>
    <x v="1"/>
    <x v="0"/>
    <x v="587"/>
    <x v="705"/>
    <x v="5"/>
    <x v="13"/>
    <x v="21"/>
    <n v="0.45928924876293298"/>
  </r>
  <r>
    <s v="B-25537"/>
    <n v="6123"/>
    <n v="1686"/>
    <n v="3"/>
    <x v="1"/>
    <x v="6"/>
    <x v="3"/>
    <x v="112"/>
    <x v="706"/>
    <x v="5"/>
    <x v="13"/>
    <x v="37"/>
    <n v="0.27535521803037727"/>
  </r>
  <r>
    <s v="B-26083"/>
    <n v="3265"/>
    <n v="1390"/>
    <n v="16"/>
    <x v="1"/>
    <x v="8"/>
    <x v="3"/>
    <x v="588"/>
    <x v="707"/>
    <x v="3"/>
    <x v="4"/>
    <x v="10"/>
    <n v="0.42572741194486985"/>
  </r>
  <r>
    <s v="B-25298"/>
    <n v="8104"/>
    <n v="1039"/>
    <n v="6"/>
    <x v="1"/>
    <x v="6"/>
    <x v="4"/>
    <x v="589"/>
    <x v="708"/>
    <x v="0"/>
    <x v="3"/>
    <x v="35"/>
    <n v="0.12820829220138202"/>
  </r>
  <r>
    <s v="B-25298"/>
    <n v="8104"/>
    <n v="1039"/>
    <n v="6"/>
    <x v="1"/>
    <x v="6"/>
    <x v="4"/>
    <x v="590"/>
    <x v="709"/>
    <x v="0"/>
    <x v="0"/>
    <x v="4"/>
    <n v="0.12820829220138202"/>
  </r>
  <r>
    <s v="B-25298"/>
    <n v="8104"/>
    <n v="1039"/>
    <n v="6"/>
    <x v="1"/>
    <x v="6"/>
    <x v="4"/>
    <x v="330"/>
    <x v="710"/>
    <x v="3"/>
    <x v="11"/>
    <x v="52"/>
    <n v="0.12820829220138202"/>
  </r>
  <r>
    <s v="B-26734"/>
    <n v="847"/>
    <n v="355"/>
    <n v="17"/>
    <x v="2"/>
    <x v="4"/>
    <x v="4"/>
    <x v="591"/>
    <x v="711"/>
    <x v="2"/>
    <x v="2"/>
    <x v="37"/>
    <n v="0.41912632821723733"/>
  </r>
  <r>
    <s v="B-26734"/>
    <n v="847"/>
    <n v="355"/>
    <n v="17"/>
    <x v="2"/>
    <x v="4"/>
    <x v="4"/>
    <x v="394"/>
    <x v="712"/>
    <x v="4"/>
    <x v="10"/>
    <x v="6"/>
    <n v="0.41912632821723733"/>
  </r>
  <r>
    <s v="B-26734"/>
    <n v="847"/>
    <n v="355"/>
    <n v="17"/>
    <x v="2"/>
    <x v="4"/>
    <x v="4"/>
    <x v="463"/>
    <x v="713"/>
    <x v="3"/>
    <x v="11"/>
    <x v="54"/>
    <n v="0.41912632821723733"/>
  </r>
  <r>
    <s v="B-25483"/>
    <n v="3129"/>
    <n v="55"/>
    <n v="9"/>
    <x v="2"/>
    <x v="11"/>
    <x v="1"/>
    <x v="506"/>
    <x v="714"/>
    <x v="1"/>
    <x v="17"/>
    <x v="43"/>
    <n v="1.7577500798977311E-2"/>
  </r>
  <r>
    <s v="B-25483"/>
    <n v="7821"/>
    <n v="3821"/>
    <n v="13"/>
    <x v="0"/>
    <x v="3"/>
    <x v="2"/>
    <x v="506"/>
    <x v="714"/>
    <x v="1"/>
    <x v="17"/>
    <x v="43"/>
    <n v="0.48855645058176705"/>
  </r>
  <r>
    <s v="B-26041"/>
    <n v="9498"/>
    <n v="256"/>
    <n v="12"/>
    <x v="0"/>
    <x v="10"/>
    <x v="4"/>
    <x v="592"/>
    <x v="715"/>
    <x v="1"/>
    <x v="17"/>
    <x v="51"/>
    <n v="2.6953042745841229E-2"/>
  </r>
  <r>
    <s v="B-26041"/>
    <n v="9498"/>
    <n v="256"/>
    <n v="12"/>
    <x v="0"/>
    <x v="10"/>
    <x v="4"/>
    <x v="590"/>
    <x v="716"/>
    <x v="2"/>
    <x v="5"/>
    <x v="4"/>
    <n v="2.6953042745841229E-2"/>
  </r>
  <r>
    <s v="B-26750"/>
    <n v="5461"/>
    <n v="1214"/>
    <n v="7"/>
    <x v="2"/>
    <x v="7"/>
    <x v="3"/>
    <x v="593"/>
    <x v="717"/>
    <x v="2"/>
    <x v="7"/>
    <x v="53"/>
    <n v="0.22230360739791247"/>
  </r>
  <r>
    <s v="B-26138"/>
    <n v="3084"/>
    <n v="611"/>
    <n v="19"/>
    <x v="2"/>
    <x v="11"/>
    <x v="0"/>
    <x v="594"/>
    <x v="718"/>
    <x v="4"/>
    <x v="8"/>
    <x v="3"/>
    <n v="0.19811932555123216"/>
  </r>
  <r>
    <s v="B-26929"/>
    <n v="6087"/>
    <n v="3043"/>
    <n v="1"/>
    <x v="2"/>
    <x v="7"/>
    <x v="4"/>
    <x v="595"/>
    <x v="719"/>
    <x v="2"/>
    <x v="2"/>
    <x v="38"/>
    <n v="0.49991785772958763"/>
  </r>
  <r>
    <s v="B-25359"/>
    <n v="611"/>
    <n v="300"/>
    <n v="3"/>
    <x v="2"/>
    <x v="11"/>
    <x v="3"/>
    <x v="596"/>
    <x v="720"/>
    <x v="1"/>
    <x v="17"/>
    <x v="20"/>
    <n v="0.49099836333878888"/>
  </r>
  <r>
    <s v="B-25738"/>
    <n v="9909"/>
    <n v="2999"/>
    <n v="18"/>
    <x v="1"/>
    <x v="6"/>
    <x v="4"/>
    <x v="597"/>
    <x v="721"/>
    <x v="5"/>
    <x v="14"/>
    <x v="18"/>
    <n v="0.30265415279039259"/>
  </r>
  <r>
    <s v="B-25738"/>
    <n v="9909"/>
    <n v="2999"/>
    <n v="18"/>
    <x v="1"/>
    <x v="6"/>
    <x v="4"/>
    <x v="598"/>
    <x v="722"/>
    <x v="4"/>
    <x v="10"/>
    <x v="12"/>
    <n v="0.30265415279039259"/>
  </r>
  <r>
    <s v="B-25931"/>
    <n v="6485"/>
    <n v="3178"/>
    <n v="18"/>
    <x v="2"/>
    <x v="7"/>
    <x v="0"/>
    <x v="401"/>
    <x v="723"/>
    <x v="5"/>
    <x v="12"/>
    <x v="17"/>
    <n v="0.4900539707016191"/>
  </r>
  <r>
    <s v="B-25706"/>
    <n v="7259"/>
    <n v="1969"/>
    <n v="10"/>
    <x v="0"/>
    <x v="3"/>
    <x v="3"/>
    <x v="174"/>
    <x v="724"/>
    <x v="1"/>
    <x v="6"/>
    <x v="29"/>
    <n v="0.27124948339991733"/>
  </r>
  <r>
    <s v="B-25352"/>
    <n v="3333"/>
    <n v="700"/>
    <n v="18"/>
    <x v="0"/>
    <x v="1"/>
    <x v="4"/>
    <x v="103"/>
    <x v="725"/>
    <x v="0"/>
    <x v="0"/>
    <x v="28"/>
    <n v="0.21002100210021002"/>
  </r>
  <r>
    <s v="B-26909"/>
    <n v="7786"/>
    <n v="1202"/>
    <n v="4"/>
    <x v="2"/>
    <x v="7"/>
    <x v="2"/>
    <x v="219"/>
    <x v="726"/>
    <x v="1"/>
    <x v="17"/>
    <x v="53"/>
    <n v="0.15437965579244797"/>
  </r>
  <r>
    <s v="B-26296"/>
    <n v="7644"/>
    <n v="2428"/>
    <n v="6"/>
    <x v="0"/>
    <x v="10"/>
    <x v="1"/>
    <x v="332"/>
    <x v="727"/>
    <x v="1"/>
    <x v="6"/>
    <x v="12"/>
    <n v="0.31763474620617477"/>
  </r>
  <r>
    <s v="B-26112"/>
    <n v="1476"/>
    <n v="247"/>
    <n v="5"/>
    <x v="2"/>
    <x v="11"/>
    <x v="4"/>
    <x v="599"/>
    <x v="728"/>
    <x v="3"/>
    <x v="4"/>
    <x v="6"/>
    <n v="0.16734417344173441"/>
  </r>
  <r>
    <s v="B-26112"/>
    <n v="1476"/>
    <n v="247"/>
    <n v="5"/>
    <x v="2"/>
    <x v="11"/>
    <x v="4"/>
    <x v="600"/>
    <x v="729"/>
    <x v="3"/>
    <x v="9"/>
    <x v="12"/>
    <n v="0.16734417344173441"/>
  </r>
  <r>
    <s v="B-26790"/>
    <n v="3445"/>
    <n v="1405"/>
    <n v="16"/>
    <x v="2"/>
    <x v="7"/>
    <x v="2"/>
    <x v="487"/>
    <x v="730"/>
    <x v="3"/>
    <x v="11"/>
    <x v="57"/>
    <n v="0.40783744557329465"/>
  </r>
  <r>
    <s v="B-26790"/>
    <n v="9837"/>
    <n v="384"/>
    <n v="1"/>
    <x v="0"/>
    <x v="3"/>
    <x v="0"/>
    <x v="487"/>
    <x v="730"/>
    <x v="3"/>
    <x v="11"/>
    <x v="57"/>
    <n v="3.9036291552302531E-2"/>
  </r>
  <r>
    <s v="B-25986"/>
    <n v="1314"/>
    <n v="457"/>
    <n v="8"/>
    <x v="2"/>
    <x v="7"/>
    <x v="2"/>
    <x v="281"/>
    <x v="731"/>
    <x v="3"/>
    <x v="9"/>
    <x v="22"/>
    <n v="0.34779299847792999"/>
  </r>
  <r>
    <s v="B-25630"/>
    <n v="5951"/>
    <n v="936"/>
    <n v="6"/>
    <x v="0"/>
    <x v="3"/>
    <x v="1"/>
    <x v="601"/>
    <x v="732"/>
    <x v="4"/>
    <x v="8"/>
    <x v="19"/>
    <n v="0.15728449000168038"/>
  </r>
  <r>
    <s v="B-25630"/>
    <n v="5951"/>
    <n v="936"/>
    <n v="6"/>
    <x v="0"/>
    <x v="3"/>
    <x v="1"/>
    <x v="602"/>
    <x v="733"/>
    <x v="5"/>
    <x v="12"/>
    <x v="58"/>
    <n v="0.15728449000168038"/>
  </r>
  <r>
    <s v="B-26872"/>
    <n v="992"/>
    <n v="177"/>
    <n v="6"/>
    <x v="0"/>
    <x v="10"/>
    <x v="0"/>
    <x v="603"/>
    <x v="734"/>
    <x v="3"/>
    <x v="4"/>
    <x v="10"/>
    <n v="0.17842741935483872"/>
  </r>
  <r>
    <s v="B-26872"/>
    <n v="4699"/>
    <n v="625"/>
    <n v="18"/>
    <x v="1"/>
    <x v="6"/>
    <x v="2"/>
    <x v="603"/>
    <x v="734"/>
    <x v="3"/>
    <x v="4"/>
    <x v="10"/>
    <n v="0.13300702277080229"/>
  </r>
  <r>
    <s v="B-25870"/>
    <n v="5557"/>
    <n v="2114"/>
    <n v="17"/>
    <x v="0"/>
    <x v="3"/>
    <x v="2"/>
    <x v="113"/>
    <x v="735"/>
    <x v="5"/>
    <x v="14"/>
    <x v="18"/>
    <n v="0.38042109051646572"/>
  </r>
  <r>
    <s v="B-25991"/>
    <n v="3436"/>
    <n v="933"/>
    <n v="3"/>
    <x v="0"/>
    <x v="0"/>
    <x v="3"/>
    <x v="340"/>
    <x v="736"/>
    <x v="4"/>
    <x v="8"/>
    <x v="22"/>
    <n v="0.27153667054714786"/>
  </r>
  <r>
    <s v="B-25198"/>
    <n v="9840"/>
    <n v="3870"/>
    <n v="11"/>
    <x v="0"/>
    <x v="1"/>
    <x v="1"/>
    <x v="604"/>
    <x v="737"/>
    <x v="4"/>
    <x v="10"/>
    <x v="28"/>
    <n v="0.39329268292682928"/>
  </r>
  <r>
    <s v="B-25189"/>
    <n v="7620"/>
    <n v="125"/>
    <n v="4"/>
    <x v="1"/>
    <x v="8"/>
    <x v="2"/>
    <x v="605"/>
    <x v="738"/>
    <x v="3"/>
    <x v="11"/>
    <x v="2"/>
    <n v="1.6404199475065617E-2"/>
  </r>
  <r>
    <s v="B-25189"/>
    <n v="7620"/>
    <n v="125"/>
    <n v="4"/>
    <x v="1"/>
    <x v="8"/>
    <x v="2"/>
    <x v="606"/>
    <x v="739"/>
    <x v="3"/>
    <x v="11"/>
    <x v="56"/>
    <n v="1.6404199475065617E-2"/>
  </r>
  <r>
    <s v="B-26563"/>
    <n v="4314"/>
    <n v="1591"/>
    <n v="5"/>
    <x v="2"/>
    <x v="4"/>
    <x v="1"/>
    <x v="178"/>
    <x v="740"/>
    <x v="2"/>
    <x v="2"/>
    <x v="4"/>
    <n v="0.36879925822902176"/>
  </r>
  <r>
    <s v="B-25548"/>
    <n v="8851"/>
    <n v="999"/>
    <n v="12"/>
    <x v="0"/>
    <x v="3"/>
    <x v="0"/>
    <x v="607"/>
    <x v="741"/>
    <x v="5"/>
    <x v="13"/>
    <x v="42"/>
    <n v="0.1128686024178059"/>
  </r>
  <r>
    <s v="B-25965"/>
    <n v="544"/>
    <n v="272"/>
    <n v="2"/>
    <x v="0"/>
    <x v="3"/>
    <x v="1"/>
    <x v="608"/>
    <x v="742"/>
    <x v="4"/>
    <x v="15"/>
    <x v="34"/>
    <n v="0.5"/>
  </r>
  <r>
    <s v="B-25965"/>
    <n v="544"/>
    <n v="272"/>
    <n v="2"/>
    <x v="0"/>
    <x v="3"/>
    <x v="1"/>
    <x v="474"/>
    <x v="743"/>
    <x v="2"/>
    <x v="2"/>
    <x v="0"/>
    <n v="0.5"/>
  </r>
  <r>
    <s v="B-26545"/>
    <n v="537"/>
    <n v="142"/>
    <n v="20"/>
    <x v="1"/>
    <x v="6"/>
    <x v="2"/>
    <x v="609"/>
    <x v="744"/>
    <x v="1"/>
    <x v="17"/>
    <x v="36"/>
    <n v="0.26443202979515829"/>
  </r>
  <r>
    <s v="B-26603"/>
    <n v="5944"/>
    <n v="2661"/>
    <n v="7"/>
    <x v="0"/>
    <x v="3"/>
    <x v="2"/>
    <x v="434"/>
    <x v="745"/>
    <x v="4"/>
    <x v="10"/>
    <x v="25"/>
    <n v="0.44767833109017496"/>
  </r>
  <r>
    <s v="B-26393"/>
    <n v="2258"/>
    <n v="135"/>
    <n v="18"/>
    <x v="0"/>
    <x v="1"/>
    <x v="3"/>
    <x v="607"/>
    <x v="746"/>
    <x v="0"/>
    <x v="0"/>
    <x v="42"/>
    <n v="5.9787422497785653E-2"/>
  </r>
  <r>
    <s v="B-26393"/>
    <n v="2258"/>
    <n v="135"/>
    <n v="18"/>
    <x v="0"/>
    <x v="1"/>
    <x v="3"/>
    <x v="610"/>
    <x v="747"/>
    <x v="3"/>
    <x v="9"/>
    <x v="40"/>
    <n v="5.9787422497785653E-2"/>
  </r>
  <r>
    <s v="B-26628"/>
    <n v="9609"/>
    <n v="4339"/>
    <n v="3"/>
    <x v="2"/>
    <x v="7"/>
    <x v="1"/>
    <x v="611"/>
    <x v="748"/>
    <x v="4"/>
    <x v="15"/>
    <x v="31"/>
    <n v="0.45155583307316061"/>
  </r>
  <r>
    <s v="B-26628"/>
    <n v="9609"/>
    <n v="4339"/>
    <n v="3"/>
    <x v="2"/>
    <x v="7"/>
    <x v="1"/>
    <x v="612"/>
    <x v="749"/>
    <x v="5"/>
    <x v="13"/>
    <x v="32"/>
    <n v="0.45155583307316061"/>
  </r>
  <r>
    <s v="B-25945"/>
    <n v="9952"/>
    <n v="3301"/>
    <n v="15"/>
    <x v="0"/>
    <x v="0"/>
    <x v="1"/>
    <x v="362"/>
    <x v="750"/>
    <x v="4"/>
    <x v="8"/>
    <x v="45"/>
    <n v="0.33169212218649519"/>
  </r>
  <r>
    <s v="B-26565"/>
    <n v="9873"/>
    <n v="4585"/>
    <n v="7"/>
    <x v="1"/>
    <x v="8"/>
    <x v="3"/>
    <x v="443"/>
    <x v="751"/>
    <x v="5"/>
    <x v="12"/>
    <x v="38"/>
    <n v="0.46439785272966677"/>
  </r>
  <r>
    <s v="B-25684"/>
    <n v="3560"/>
    <n v="1335"/>
    <n v="15"/>
    <x v="0"/>
    <x v="0"/>
    <x v="4"/>
    <x v="294"/>
    <x v="752"/>
    <x v="2"/>
    <x v="5"/>
    <x v="32"/>
    <n v="0.375"/>
  </r>
  <r>
    <s v="B-25684"/>
    <n v="3560"/>
    <n v="1335"/>
    <n v="15"/>
    <x v="0"/>
    <x v="0"/>
    <x v="4"/>
    <x v="613"/>
    <x v="753"/>
    <x v="1"/>
    <x v="6"/>
    <x v="45"/>
    <n v="0.375"/>
  </r>
  <r>
    <s v="B-26612"/>
    <n v="6528"/>
    <n v="76"/>
    <n v="9"/>
    <x v="0"/>
    <x v="10"/>
    <x v="1"/>
    <x v="8"/>
    <x v="754"/>
    <x v="2"/>
    <x v="2"/>
    <x v="8"/>
    <n v="1.1642156862745098E-2"/>
  </r>
  <r>
    <s v="B-26612"/>
    <n v="8930"/>
    <n v="3374"/>
    <n v="12"/>
    <x v="2"/>
    <x v="7"/>
    <x v="1"/>
    <x v="8"/>
    <x v="754"/>
    <x v="2"/>
    <x v="2"/>
    <x v="8"/>
    <n v="0.37782754759238524"/>
  </r>
  <r>
    <s v="B-25839"/>
    <n v="4521"/>
    <n v="1778"/>
    <n v="9"/>
    <x v="1"/>
    <x v="8"/>
    <x v="1"/>
    <x v="614"/>
    <x v="755"/>
    <x v="0"/>
    <x v="16"/>
    <x v="56"/>
    <n v="0.39327582393275823"/>
  </r>
  <r>
    <s v="B-25898"/>
    <n v="7091"/>
    <n v="2317"/>
    <n v="10"/>
    <x v="2"/>
    <x v="7"/>
    <x v="3"/>
    <x v="615"/>
    <x v="756"/>
    <x v="3"/>
    <x v="9"/>
    <x v="33"/>
    <n v="0.32675222112537017"/>
  </r>
  <r>
    <s v="B-26120"/>
    <n v="2101"/>
    <n v="287"/>
    <n v="8"/>
    <x v="1"/>
    <x v="2"/>
    <x v="4"/>
    <x v="494"/>
    <x v="349"/>
    <x v="5"/>
    <x v="14"/>
    <x v="60"/>
    <n v="0.13660161827701095"/>
  </r>
  <r>
    <s v="B-26120"/>
    <n v="2101"/>
    <n v="287"/>
    <n v="8"/>
    <x v="1"/>
    <x v="2"/>
    <x v="4"/>
    <x v="616"/>
    <x v="757"/>
    <x v="1"/>
    <x v="1"/>
    <x v="28"/>
    <n v="0.13660161827701095"/>
  </r>
  <r>
    <s v="B-26426"/>
    <n v="8644"/>
    <n v="1968"/>
    <n v="9"/>
    <x v="1"/>
    <x v="8"/>
    <x v="1"/>
    <x v="617"/>
    <x v="758"/>
    <x v="1"/>
    <x v="1"/>
    <x v="6"/>
    <n v="0.22767237390097178"/>
  </r>
  <r>
    <s v="B-26309"/>
    <n v="6672"/>
    <n v="3319"/>
    <n v="4"/>
    <x v="2"/>
    <x v="4"/>
    <x v="0"/>
    <x v="618"/>
    <x v="759"/>
    <x v="4"/>
    <x v="8"/>
    <x v="6"/>
    <n v="0.49745203836930457"/>
  </r>
  <r>
    <s v="B-26309"/>
    <n v="6672"/>
    <n v="3319"/>
    <n v="4"/>
    <x v="2"/>
    <x v="4"/>
    <x v="0"/>
    <x v="619"/>
    <x v="760"/>
    <x v="3"/>
    <x v="9"/>
    <x v="3"/>
    <n v="0.49745203836930457"/>
  </r>
  <r>
    <s v="B-26789"/>
    <n v="4699"/>
    <n v="103"/>
    <n v="12"/>
    <x v="1"/>
    <x v="9"/>
    <x v="0"/>
    <x v="594"/>
    <x v="761"/>
    <x v="5"/>
    <x v="13"/>
    <x v="3"/>
    <n v="2.1919557352628218E-2"/>
  </r>
  <r>
    <s v="B-26420"/>
    <n v="4897"/>
    <n v="1001"/>
    <n v="14"/>
    <x v="2"/>
    <x v="7"/>
    <x v="1"/>
    <x v="376"/>
    <x v="762"/>
    <x v="4"/>
    <x v="15"/>
    <x v="13"/>
    <n v="0.20441086379415968"/>
  </r>
  <r>
    <s v="B-26420"/>
    <n v="4897"/>
    <n v="1001"/>
    <n v="14"/>
    <x v="2"/>
    <x v="7"/>
    <x v="1"/>
    <x v="119"/>
    <x v="763"/>
    <x v="5"/>
    <x v="13"/>
    <x v="52"/>
    <n v="0.20441086379415968"/>
  </r>
  <r>
    <s v="B-26257"/>
    <n v="5460"/>
    <n v="2088"/>
    <n v="14"/>
    <x v="2"/>
    <x v="4"/>
    <x v="1"/>
    <x v="620"/>
    <x v="764"/>
    <x v="2"/>
    <x v="2"/>
    <x v="58"/>
    <n v="0.38241758241758239"/>
  </r>
  <r>
    <s v="B-26257"/>
    <n v="5460"/>
    <n v="2088"/>
    <n v="14"/>
    <x v="2"/>
    <x v="4"/>
    <x v="1"/>
    <x v="621"/>
    <x v="765"/>
    <x v="5"/>
    <x v="13"/>
    <x v="32"/>
    <n v="0.38241758241758239"/>
  </r>
  <r>
    <s v="B-25603"/>
    <n v="9272"/>
    <n v="1771"/>
    <n v="19"/>
    <x v="1"/>
    <x v="6"/>
    <x v="0"/>
    <x v="622"/>
    <x v="766"/>
    <x v="1"/>
    <x v="6"/>
    <x v="46"/>
    <n v="0.19100517687661778"/>
  </r>
  <r>
    <s v="B-25603"/>
    <n v="9272"/>
    <n v="1771"/>
    <n v="19"/>
    <x v="1"/>
    <x v="6"/>
    <x v="0"/>
    <x v="440"/>
    <x v="767"/>
    <x v="4"/>
    <x v="8"/>
    <x v="32"/>
    <n v="0.19100517687661778"/>
  </r>
  <r>
    <s v="B-25010"/>
    <n v="7870"/>
    <n v="1057"/>
    <n v="15"/>
    <x v="1"/>
    <x v="2"/>
    <x v="3"/>
    <x v="236"/>
    <x v="768"/>
    <x v="4"/>
    <x v="15"/>
    <x v="59"/>
    <n v="0.13430749682337992"/>
  </r>
  <r>
    <s v="B-25010"/>
    <n v="7870"/>
    <n v="1057"/>
    <n v="15"/>
    <x v="1"/>
    <x v="2"/>
    <x v="3"/>
    <x v="623"/>
    <x v="769"/>
    <x v="5"/>
    <x v="14"/>
    <x v="34"/>
    <n v="0.13430749682337992"/>
  </r>
  <r>
    <s v="B-25889"/>
    <n v="7992"/>
    <n v="893"/>
    <n v="12"/>
    <x v="0"/>
    <x v="3"/>
    <x v="3"/>
    <x v="511"/>
    <x v="770"/>
    <x v="5"/>
    <x v="14"/>
    <x v="31"/>
    <n v="0.11173673673673673"/>
  </r>
  <r>
    <s v="B-25889"/>
    <n v="7992"/>
    <n v="893"/>
    <n v="12"/>
    <x v="0"/>
    <x v="3"/>
    <x v="3"/>
    <x v="230"/>
    <x v="771"/>
    <x v="2"/>
    <x v="5"/>
    <x v="23"/>
    <n v="0.11173673673673673"/>
  </r>
  <r>
    <s v="B-25889"/>
    <n v="7992"/>
    <n v="893"/>
    <n v="12"/>
    <x v="0"/>
    <x v="3"/>
    <x v="3"/>
    <x v="624"/>
    <x v="772"/>
    <x v="1"/>
    <x v="1"/>
    <x v="23"/>
    <n v="0.11173673673673673"/>
  </r>
  <r>
    <s v="B-26675"/>
    <n v="6499"/>
    <n v="2189"/>
    <n v="18"/>
    <x v="0"/>
    <x v="0"/>
    <x v="2"/>
    <x v="208"/>
    <x v="773"/>
    <x v="2"/>
    <x v="5"/>
    <x v="47"/>
    <n v="0.33682104939221419"/>
  </r>
  <r>
    <s v="B-26675"/>
    <n v="6499"/>
    <n v="2189"/>
    <n v="18"/>
    <x v="0"/>
    <x v="0"/>
    <x v="2"/>
    <x v="348"/>
    <x v="774"/>
    <x v="0"/>
    <x v="3"/>
    <x v="27"/>
    <n v="0.33682104939221419"/>
  </r>
  <r>
    <s v="B-26168"/>
    <n v="8848"/>
    <n v="2090"/>
    <n v="9"/>
    <x v="1"/>
    <x v="2"/>
    <x v="1"/>
    <x v="625"/>
    <x v="775"/>
    <x v="3"/>
    <x v="9"/>
    <x v="52"/>
    <n v="0.23621157323688968"/>
  </r>
  <r>
    <s v="B-25436"/>
    <n v="8044"/>
    <n v="3634"/>
    <n v="3"/>
    <x v="1"/>
    <x v="6"/>
    <x v="4"/>
    <x v="626"/>
    <x v="776"/>
    <x v="0"/>
    <x v="3"/>
    <x v="50"/>
    <n v="0.45176529090004974"/>
  </r>
  <r>
    <s v="B-25436"/>
    <n v="8044"/>
    <n v="3634"/>
    <n v="3"/>
    <x v="1"/>
    <x v="6"/>
    <x v="4"/>
    <x v="23"/>
    <x v="777"/>
    <x v="3"/>
    <x v="9"/>
    <x v="15"/>
    <n v="0.45176529090004974"/>
  </r>
  <r>
    <s v="B-25794"/>
    <n v="7417"/>
    <n v="1334"/>
    <n v="16"/>
    <x v="2"/>
    <x v="11"/>
    <x v="4"/>
    <x v="627"/>
    <x v="778"/>
    <x v="0"/>
    <x v="16"/>
    <x v="4"/>
    <n v="0.17985708507482809"/>
  </r>
  <r>
    <s v="B-26495"/>
    <n v="3451"/>
    <n v="658"/>
    <n v="3"/>
    <x v="1"/>
    <x v="6"/>
    <x v="0"/>
    <x v="628"/>
    <x v="779"/>
    <x v="1"/>
    <x v="1"/>
    <x v="1"/>
    <n v="0.19066937119675456"/>
  </r>
  <r>
    <s v="B-25815"/>
    <n v="8531"/>
    <n v="2555"/>
    <n v="4"/>
    <x v="0"/>
    <x v="3"/>
    <x v="2"/>
    <x v="629"/>
    <x v="780"/>
    <x v="4"/>
    <x v="10"/>
    <x v="37"/>
    <n v="0.29949595592544836"/>
  </r>
  <r>
    <s v="B-25022"/>
    <n v="6646"/>
    <n v="848"/>
    <n v="15"/>
    <x v="2"/>
    <x v="7"/>
    <x v="1"/>
    <x v="630"/>
    <x v="781"/>
    <x v="2"/>
    <x v="5"/>
    <x v="21"/>
    <n v="0.12759554619319891"/>
  </r>
  <r>
    <s v="B-25022"/>
    <n v="6646"/>
    <n v="848"/>
    <n v="15"/>
    <x v="2"/>
    <x v="7"/>
    <x v="1"/>
    <x v="631"/>
    <x v="782"/>
    <x v="2"/>
    <x v="2"/>
    <x v="17"/>
    <n v="0.12759554619319891"/>
  </r>
  <r>
    <s v="B-26928"/>
    <n v="2553"/>
    <n v="907"/>
    <n v="6"/>
    <x v="0"/>
    <x v="3"/>
    <x v="3"/>
    <x v="632"/>
    <x v="783"/>
    <x v="4"/>
    <x v="8"/>
    <x v="0"/>
    <n v="0.35526831179005092"/>
  </r>
  <r>
    <s v="B-25905"/>
    <n v="8490"/>
    <n v="3485"/>
    <n v="3"/>
    <x v="0"/>
    <x v="10"/>
    <x v="3"/>
    <x v="150"/>
    <x v="784"/>
    <x v="2"/>
    <x v="5"/>
    <x v="45"/>
    <n v="0.41048292108362777"/>
  </r>
  <r>
    <s v="B-26739"/>
    <n v="2689"/>
    <n v="1330"/>
    <n v="3"/>
    <x v="2"/>
    <x v="4"/>
    <x v="0"/>
    <x v="162"/>
    <x v="785"/>
    <x v="3"/>
    <x v="4"/>
    <x v="50"/>
    <n v="0.49460766084046115"/>
  </r>
  <r>
    <s v="B-26739"/>
    <n v="2689"/>
    <n v="1330"/>
    <n v="3"/>
    <x v="2"/>
    <x v="4"/>
    <x v="0"/>
    <x v="334"/>
    <x v="786"/>
    <x v="0"/>
    <x v="0"/>
    <x v="3"/>
    <n v="0.49460766084046115"/>
  </r>
  <r>
    <s v="B-25697"/>
    <n v="815"/>
    <n v="54"/>
    <n v="14"/>
    <x v="2"/>
    <x v="4"/>
    <x v="1"/>
    <x v="633"/>
    <x v="787"/>
    <x v="3"/>
    <x v="11"/>
    <x v="18"/>
    <n v="6.6257668711656448E-2"/>
  </r>
  <r>
    <s v="B-25234"/>
    <n v="5024"/>
    <n v="379"/>
    <n v="2"/>
    <x v="1"/>
    <x v="8"/>
    <x v="0"/>
    <x v="634"/>
    <x v="788"/>
    <x v="4"/>
    <x v="8"/>
    <x v="44"/>
    <n v="7.5437898089171979E-2"/>
  </r>
  <r>
    <s v="B-25234"/>
    <n v="5024"/>
    <n v="379"/>
    <n v="2"/>
    <x v="1"/>
    <x v="8"/>
    <x v="0"/>
    <x v="635"/>
    <x v="789"/>
    <x v="1"/>
    <x v="17"/>
    <x v="29"/>
    <n v="7.5437898089171979E-2"/>
  </r>
  <r>
    <s v="B-25665"/>
    <n v="8962"/>
    <n v="2444"/>
    <n v="18"/>
    <x v="0"/>
    <x v="0"/>
    <x v="1"/>
    <x v="636"/>
    <x v="790"/>
    <x v="5"/>
    <x v="14"/>
    <x v="2"/>
    <n v="0.27270698504798035"/>
  </r>
  <r>
    <s v="B-25665"/>
    <n v="8962"/>
    <n v="2444"/>
    <n v="18"/>
    <x v="0"/>
    <x v="0"/>
    <x v="1"/>
    <x v="637"/>
    <x v="791"/>
    <x v="1"/>
    <x v="17"/>
    <x v="7"/>
    <n v="0.27270698504798035"/>
  </r>
  <r>
    <s v="B-25028"/>
    <n v="1961"/>
    <n v="59"/>
    <n v="12"/>
    <x v="1"/>
    <x v="9"/>
    <x v="0"/>
    <x v="638"/>
    <x v="792"/>
    <x v="0"/>
    <x v="3"/>
    <x v="38"/>
    <n v="3.0086690464048955E-2"/>
  </r>
  <r>
    <s v="B-26659"/>
    <n v="526"/>
    <n v="83"/>
    <n v="4"/>
    <x v="2"/>
    <x v="7"/>
    <x v="3"/>
    <x v="639"/>
    <x v="793"/>
    <x v="1"/>
    <x v="1"/>
    <x v="26"/>
    <n v="0.15779467680608364"/>
  </r>
  <r>
    <s v="B-25966"/>
    <n v="6093"/>
    <n v="3042"/>
    <n v="9"/>
    <x v="2"/>
    <x v="11"/>
    <x v="1"/>
    <x v="640"/>
    <x v="794"/>
    <x v="3"/>
    <x v="11"/>
    <x v="22"/>
    <n v="0.49926144756277696"/>
  </r>
  <r>
    <s v="B-25966"/>
    <n v="6093"/>
    <n v="3042"/>
    <n v="9"/>
    <x v="2"/>
    <x v="11"/>
    <x v="1"/>
    <x v="641"/>
    <x v="795"/>
    <x v="3"/>
    <x v="9"/>
    <x v="34"/>
    <n v="0.49926144756277696"/>
  </r>
  <r>
    <s v="B-25350"/>
    <n v="7699"/>
    <n v="246"/>
    <n v="5"/>
    <x v="0"/>
    <x v="0"/>
    <x v="1"/>
    <x v="642"/>
    <x v="796"/>
    <x v="4"/>
    <x v="10"/>
    <x v="48"/>
    <n v="3.1952201584621379E-2"/>
  </r>
  <r>
    <s v="B-26370"/>
    <n v="8825"/>
    <n v="3594"/>
    <n v="15"/>
    <x v="2"/>
    <x v="4"/>
    <x v="1"/>
    <x v="643"/>
    <x v="797"/>
    <x v="2"/>
    <x v="5"/>
    <x v="41"/>
    <n v="0.40725212464589233"/>
  </r>
  <r>
    <s v="B-26298"/>
    <n v="2082"/>
    <n v="642"/>
    <n v="8"/>
    <x v="0"/>
    <x v="10"/>
    <x v="2"/>
    <x v="644"/>
    <x v="798"/>
    <x v="2"/>
    <x v="7"/>
    <x v="53"/>
    <n v="0.30835734870317005"/>
  </r>
  <r>
    <s v="B-26298"/>
    <n v="2082"/>
    <n v="642"/>
    <n v="8"/>
    <x v="0"/>
    <x v="10"/>
    <x v="2"/>
    <x v="645"/>
    <x v="799"/>
    <x v="4"/>
    <x v="10"/>
    <x v="29"/>
    <n v="0.30835734870317005"/>
  </r>
  <r>
    <s v="B-26298"/>
    <n v="2082"/>
    <n v="642"/>
    <n v="8"/>
    <x v="0"/>
    <x v="10"/>
    <x v="2"/>
    <x v="646"/>
    <x v="800"/>
    <x v="2"/>
    <x v="2"/>
    <x v="38"/>
    <n v="0.30835734870317005"/>
  </r>
  <r>
    <s v="B-25068"/>
    <n v="914"/>
    <n v="163"/>
    <n v="13"/>
    <x v="1"/>
    <x v="6"/>
    <x v="0"/>
    <x v="647"/>
    <x v="801"/>
    <x v="1"/>
    <x v="1"/>
    <x v="56"/>
    <n v="0.178336980306345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E4EA2-9509-484A-866A-8AF5D15CBECA}" name="INDICADOR_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100:D107" firstHeaderRow="0" firstDataRow="1" firstDataCol="1"/>
  <pivotFields count="18">
    <pivotField showAll="0"/>
    <pivotField dataField="1" numFmtId="164" showAll="0"/>
    <pivotField dataField="1" numFmtId="165" showAll="0"/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axis="axisRow" showAll="0" measureFilter="1" sortType="descending">
      <items count="803">
        <item x="727"/>
        <item x="418"/>
        <item x="289"/>
        <item x="754"/>
        <item x="220"/>
        <item x="75"/>
        <item x="461"/>
        <item x="374"/>
        <item x="205"/>
        <item x="721"/>
        <item x="338"/>
        <item x="525"/>
        <item x="16"/>
        <item x="111"/>
        <item x="379"/>
        <item x="333"/>
        <item x="588"/>
        <item x="622"/>
        <item x="232"/>
        <item x="215"/>
        <item x="632"/>
        <item x="580"/>
        <item x="723"/>
        <item x="778"/>
        <item x="610"/>
        <item x="161"/>
        <item x="148"/>
        <item x="397"/>
        <item x="76"/>
        <item x="733"/>
        <item x="674"/>
        <item x="207"/>
        <item x="101"/>
        <item x="776"/>
        <item x="801"/>
        <item x="41"/>
        <item x="789"/>
        <item x="422"/>
        <item x="231"/>
        <item x="213"/>
        <item x="328"/>
        <item x="604"/>
        <item x="337"/>
        <item x="206"/>
        <item x="350"/>
        <item x="493"/>
        <item x="735"/>
        <item x="664"/>
        <item x="689"/>
        <item x="519"/>
        <item x="196"/>
        <item x="106"/>
        <item x="444"/>
        <item x="239"/>
        <item x="66"/>
        <item x="265"/>
        <item x="698"/>
        <item x="777"/>
        <item x="211"/>
        <item x="535"/>
        <item x="204"/>
        <item x="526"/>
        <item x="516"/>
        <item x="772"/>
        <item x="362"/>
        <item x="746"/>
        <item x="377"/>
        <item x="30"/>
        <item x="675"/>
        <item x="274"/>
        <item x="583"/>
        <item x="27"/>
        <item x="469"/>
        <item x="471"/>
        <item x="159"/>
        <item x="60"/>
        <item x="194"/>
        <item x="247"/>
        <item x="707"/>
        <item x="351"/>
        <item x="457"/>
        <item x="152"/>
        <item x="738"/>
        <item x="508"/>
        <item x="532"/>
        <item x="83"/>
        <item x="366"/>
        <item x="219"/>
        <item x="569"/>
        <item x="335"/>
        <item x="506"/>
        <item x="327"/>
        <item x="69"/>
        <item x="744"/>
        <item x="183"/>
        <item x="195"/>
        <item x="59"/>
        <item x="46"/>
        <item x="701"/>
        <item x="591"/>
        <item x="352"/>
        <item x="527"/>
        <item x="786"/>
        <item x="600"/>
        <item x="685"/>
        <item x="673"/>
        <item x="252"/>
        <item x="61"/>
        <item x="798"/>
        <item x="128"/>
        <item x="225"/>
        <item x="286"/>
        <item x="718"/>
        <item x="531"/>
        <item x="629"/>
        <item x="790"/>
        <item x="432"/>
        <item x="165"/>
        <item x="709"/>
        <item x="714"/>
        <item x="420"/>
        <item x="23"/>
        <item x="132"/>
        <item x="645"/>
        <item x="353"/>
        <item x="360"/>
        <item x="51"/>
        <item x="505"/>
        <item x="137"/>
        <item x="291"/>
        <item x="52"/>
        <item x="732"/>
        <item x="761"/>
        <item x="517"/>
        <item x="541"/>
        <item x="284"/>
        <item x="254"/>
        <item x="81"/>
        <item x="710"/>
        <item x="336"/>
        <item x="29"/>
        <item x="628"/>
        <item x="290"/>
        <item x="657"/>
        <item x="253"/>
        <item x="80"/>
        <item x="178"/>
        <item x="608"/>
        <item x="555"/>
        <item x="398"/>
        <item x="763"/>
        <item x="550"/>
        <item x="658"/>
        <item x="411"/>
        <item x="82"/>
        <item x="436"/>
        <item x="4"/>
        <item x="424"/>
        <item x="235"/>
        <item x="32"/>
        <item x="283"/>
        <item x="156"/>
        <item x="1"/>
        <item x="200"/>
        <item x="187"/>
        <item x="452"/>
        <item x="440"/>
        <item x="378"/>
        <item x="737"/>
        <item x="334"/>
        <item x="55"/>
        <item x="404"/>
        <item x="162"/>
        <item x="523"/>
        <item x="726"/>
        <item x="312"/>
        <item x="499"/>
        <item x="386"/>
        <item x="78"/>
        <item x="773"/>
        <item x="668"/>
        <item x="560"/>
        <item x="390"/>
        <item x="566"/>
        <item x="293"/>
        <item x="87"/>
        <item x="118"/>
        <item x="73"/>
        <item x="755"/>
        <item x="660"/>
        <item x="147"/>
        <item x="203"/>
        <item x="107"/>
        <item x="491"/>
        <item x="534"/>
        <item x="681"/>
        <item x="0"/>
        <item x="34"/>
        <item x="122"/>
        <item x="472"/>
        <item x="173"/>
        <item x="346"/>
        <item x="388"/>
        <item x="509"/>
        <item x="434"/>
        <item x="574"/>
        <item x="683"/>
        <item x="24"/>
        <item x="494"/>
        <item x="695"/>
        <item x="613"/>
        <item x="590"/>
        <item x="445"/>
        <item x="504"/>
        <item x="303"/>
        <item x="373"/>
        <item x="298"/>
        <item x="48"/>
        <item x="11"/>
        <item x="571"/>
        <item x="666"/>
        <item x="47"/>
        <item x="567"/>
        <item x="466"/>
        <item x="752"/>
        <item x="528"/>
        <item x="483"/>
        <item x="529"/>
        <item x="764"/>
        <item x="192"/>
        <item x="236"/>
        <item x="31"/>
        <item x="309"/>
        <item x="578"/>
        <item x="86"/>
        <item x="712"/>
        <item x="45"/>
        <item x="530"/>
        <item x="475"/>
        <item x="359"/>
        <item x="425"/>
        <item x="263"/>
        <item x="105"/>
        <item x="478"/>
        <item x="654"/>
        <item x="659"/>
        <item x="179"/>
        <item x="757"/>
        <item x="547"/>
        <item x="435"/>
        <item x="646"/>
        <item x="576"/>
        <item x="597"/>
        <item x="124"/>
        <item x="753"/>
        <item x="748"/>
        <item x="84"/>
        <item x="408"/>
        <item x="540"/>
        <item x="182"/>
        <item x="745"/>
        <item x="642"/>
        <item x="246"/>
        <item x="35"/>
        <item x="175"/>
        <item x="479"/>
        <item x="136"/>
        <item x="768"/>
        <item x="791"/>
        <item x="720"/>
        <item x="226"/>
        <item x="417"/>
        <item x="548"/>
        <item x="287"/>
        <item x="728"/>
        <item x="103"/>
        <item x="725"/>
        <item x="546"/>
        <item x="17"/>
        <item x="6"/>
        <item x="297"/>
        <item x="342"/>
        <item x="586"/>
        <item x="393"/>
        <item x="180"/>
        <item x="711"/>
        <item x="126"/>
        <item x="323"/>
        <item x="326"/>
        <item x="769"/>
        <item x="181"/>
        <item x="520"/>
        <item x="463"/>
        <item x="774"/>
        <item x="313"/>
        <item x="621"/>
        <item x="149"/>
        <item x="606"/>
        <item x="766"/>
        <item x="585"/>
        <item x="620"/>
        <item x="96"/>
        <item x="89"/>
        <item x="513"/>
        <item x="170"/>
        <item x="780"/>
        <item x="575"/>
        <item x="619"/>
        <item x="545"/>
        <item x="455"/>
        <item x="670"/>
        <item x="63"/>
        <item x="423"/>
        <item x="249"/>
        <item x="142"/>
        <item x="784"/>
        <item x="266"/>
        <item x="498"/>
        <item x="90"/>
        <item x="98"/>
        <item x="603"/>
        <item x="392"/>
        <item x="799"/>
        <item x="449"/>
        <item x="131"/>
        <item x="533"/>
        <item x="730"/>
        <item x="770"/>
        <item x="123"/>
        <item x="522"/>
        <item x="637"/>
        <item x="716"/>
        <item x="775"/>
        <item x="365"/>
        <item x="7"/>
        <item x="56"/>
        <item x="584"/>
        <item x="450"/>
        <item x="693"/>
        <item x="703"/>
        <item x="281"/>
        <item x="145"/>
        <item x="21"/>
        <item x="690"/>
        <item x="650"/>
        <item x="669"/>
        <item x="305"/>
        <item x="308"/>
        <item x="186"/>
        <item x="330"/>
        <item x="276"/>
        <item x="490"/>
        <item x="465"/>
        <item x="662"/>
        <item x="3"/>
        <item x="364"/>
        <item x="760"/>
        <item x="202"/>
        <item x="502"/>
        <item x="115"/>
        <item x="684"/>
        <item x="433"/>
        <item x="587"/>
        <item x="625"/>
        <item x="453"/>
        <item x="39"/>
        <item x="158"/>
        <item x="273"/>
        <item x="278"/>
        <item x="682"/>
        <item x="188"/>
        <item x="562"/>
        <item x="518"/>
        <item x="601"/>
        <item x="765"/>
        <item x="536"/>
        <item x="524"/>
        <item x="692"/>
        <item x="515"/>
        <item x="741"/>
        <item x="759"/>
        <item x="688"/>
        <item x="138"/>
        <item x="15"/>
        <item x="260"/>
        <item x="394"/>
        <item x="256"/>
        <item x="431"/>
        <item x="25"/>
        <item x="468"/>
        <item x="329"/>
        <item x="133"/>
        <item x="652"/>
        <item x="521"/>
        <item x="240"/>
        <item x="172"/>
        <item x="14"/>
        <item x="53"/>
        <item x="150"/>
        <item x="37"/>
        <item x="199"/>
        <item x="605"/>
        <item x="543"/>
        <item x="415"/>
        <item x="568"/>
        <item x="462"/>
        <item x="593"/>
        <item x="361"/>
        <item x="49"/>
        <item x="320"/>
        <item x="454"/>
        <item x="288"/>
        <item x="667"/>
        <item x="376"/>
        <item x="602"/>
        <item x="719"/>
        <item x="402"/>
        <item x="36"/>
        <item x="539"/>
        <item x="631"/>
        <item x="623"/>
        <item x="551"/>
        <item x="497"/>
        <item x="565"/>
        <item x="617"/>
        <item x="639"/>
        <item x="481"/>
        <item x="349"/>
        <item x="129"/>
        <item x="375"/>
        <item x="563"/>
        <item x="119"/>
        <item x="22"/>
        <item x="171"/>
        <item x="724"/>
        <item x="616"/>
        <item x="489"/>
        <item x="221"/>
        <item x="295"/>
        <item x="369"/>
        <item x="416"/>
        <item x="736"/>
        <item x="581"/>
        <item x="110"/>
        <item x="311"/>
        <item x="160"/>
        <item x="384"/>
        <item x="64"/>
        <item x="223"/>
        <item x="208"/>
        <item x="671"/>
        <item x="272"/>
        <item x="767"/>
        <item x="224"/>
        <item x="740"/>
        <item x="428"/>
        <item x="210"/>
        <item x="10"/>
        <item x="507"/>
        <item x="314"/>
        <item x="572"/>
        <item x="100"/>
        <item x="496"/>
        <item x="401"/>
        <item x="762"/>
        <item x="116"/>
        <item x="141"/>
        <item x="655"/>
        <item x="708"/>
        <item x="554"/>
        <item x="371"/>
        <item x="782"/>
        <item x="280"/>
        <item x="255"/>
        <item x="372"/>
        <item x="665"/>
        <item x="482"/>
        <item x="212"/>
        <item x="367"/>
        <item x="486"/>
        <item x="217"/>
        <item x="292"/>
        <item x="50"/>
        <item x="443"/>
        <item x="317"/>
        <item x="185"/>
        <item x="649"/>
        <item x="611"/>
        <item x="751"/>
        <item x="139"/>
        <item x="120"/>
        <item x="648"/>
        <item x="678"/>
        <item x="467"/>
        <item x="341"/>
        <item x="413"/>
        <item x="57"/>
        <item x="114"/>
        <item x="332"/>
        <item x="796"/>
        <item x="264"/>
        <item x="339"/>
        <item x="275"/>
        <item x="596"/>
        <item x="705"/>
        <item x="691"/>
        <item x="109"/>
        <item x="8"/>
        <item x="570"/>
        <item x="739"/>
        <item x="514"/>
        <item x="177"/>
        <item x="495"/>
        <item x="715"/>
        <item x="285"/>
        <item x="598"/>
        <item x="316"/>
        <item x="396"/>
        <item x="446"/>
        <item x="174"/>
        <item x="797"/>
        <item x="633"/>
        <item x="556"/>
        <item x="214"/>
        <item x="700"/>
        <item x="151"/>
        <item x="154"/>
        <item x="300"/>
        <item x="758"/>
        <item x="134"/>
        <item x="33"/>
        <item x="191"/>
        <item x="242"/>
        <item x="319"/>
        <item x="306"/>
        <item x="537"/>
        <item x="74"/>
        <item x="492"/>
        <item x="743"/>
        <item x="370"/>
        <item x="201"/>
        <item x="638"/>
        <item x="458"/>
        <item x="248"/>
        <item x="697"/>
        <item x="197"/>
        <item x="699"/>
        <item x="267"/>
        <item x="88"/>
        <item x="676"/>
        <item x="663"/>
        <item x="40"/>
        <item x="448"/>
        <item x="549"/>
        <item x="258"/>
        <item x="79"/>
        <item x="756"/>
        <item x="261"/>
        <item x="28"/>
        <item x="127"/>
        <item x="262"/>
        <item x="95"/>
        <item x="430"/>
        <item x="193"/>
        <item x="501"/>
        <item x="301"/>
        <item x="259"/>
        <item x="464"/>
        <item x="485"/>
        <item x="251"/>
        <item x="618"/>
        <item x="385"/>
        <item x="65"/>
        <item x="268"/>
        <item x="26"/>
        <item x="184"/>
        <item x="643"/>
        <item x="117"/>
        <item x="696"/>
        <item x="788"/>
        <item x="344"/>
        <item x="230"/>
        <item x="409"/>
        <item x="503"/>
        <item x="85"/>
        <item x="512"/>
        <item x="121"/>
        <item x="146"/>
        <item x="626"/>
        <item x="595"/>
        <item x="781"/>
        <item x="354"/>
        <item x="405"/>
        <item x="383"/>
        <item x="227"/>
        <item x="143"/>
        <item x="321"/>
        <item x="779"/>
        <item x="473"/>
        <item x="661"/>
        <item x="67"/>
        <item x="599"/>
        <item x="13"/>
        <item x="38"/>
        <item x="615"/>
        <item x="794"/>
        <item x="717"/>
        <item x="229"/>
        <item x="451"/>
        <item x="399"/>
        <item x="157"/>
        <item x="167"/>
        <item x="302"/>
        <item x="630"/>
        <item x="168"/>
        <item x="387"/>
        <item x="325"/>
        <item x="296"/>
        <item x="635"/>
        <item x="729"/>
        <item x="644"/>
        <item x="589"/>
        <item x="241"/>
        <item x="93"/>
        <item x="163"/>
        <item x="277"/>
        <item x="381"/>
        <item x="636"/>
        <item x="282"/>
        <item x="144"/>
        <item x="72"/>
        <item x="324"/>
        <item x="12"/>
        <item x="573"/>
        <item x="257"/>
        <item x="355"/>
        <item x="557"/>
        <item x="5"/>
        <item x="315"/>
        <item x="358"/>
        <item x="209"/>
        <item x="542"/>
        <item x="19"/>
        <item x="484"/>
        <item x="447"/>
        <item x="307"/>
        <item x="687"/>
        <item x="607"/>
        <item x="389"/>
        <item x="614"/>
        <item x="477"/>
        <item x="785"/>
        <item x="559"/>
        <item x="2"/>
        <item x="441"/>
        <item x="609"/>
        <item x="343"/>
        <item x="279"/>
        <item x="706"/>
        <item x="395"/>
        <item x="368"/>
        <item x="322"/>
        <item x="656"/>
        <item x="234"/>
        <item x="91"/>
        <item x="680"/>
        <item x="677"/>
        <item x="476"/>
        <item x="310"/>
        <item x="403"/>
        <item x="792"/>
        <item x="244"/>
        <item x="793"/>
        <item x="558"/>
        <item x="216"/>
        <item x="382"/>
        <item x="641"/>
        <item x="749"/>
        <item x="112"/>
        <item x="414"/>
        <item x="198"/>
        <item x="164"/>
        <item x="686"/>
        <item x="340"/>
        <item x="356"/>
        <item x="672"/>
        <item x="651"/>
        <item x="734"/>
        <item x="363"/>
        <item x="104"/>
        <item x="70"/>
        <item x="43"/>
        <item x="427"/>
        <item x="347"/>
        <item x="647"/>
        <item x="270"/>
        <item x="771"/>
        <item x="564"/>
        <item x="582"/>
        <item x="113"/>
        <item x="713"/>
        <item x="511"/>
        <item x="624"/>
        <item x="44"/>
        <item x="238"/>
        <item x="488"/>
        <item x="245"/>
        <item x="20"/>
        <item x="97"/>
        <item x="77"/>
        <item x="407"/>
        <item x="166"/>
        <item x="190"/>
        <item x="439"/>
        <item x="553"/>
        <item x="800"/>
        <item x="380"/>
        <item x="294"/>
        <item x="391"/>
        <item x="747"/>
        <item x="400"/>
        <item x="54"/>
        <item x="438"/>
        <item x="348"/>
        <item x="456"/>
        <item x="426"/>
        <item x="269"/>
        <item x="579"/>
        <item x="795"/>
        <item x="68"/>
        <item x="102"/>
        <item x="552"/>
        <item x="592"/>
        <item x="169"/>
        <item x="345"/>
        <item x="442"/>
        <item x="577"/>
        <item x="412"/>
        <item x="130"/>
        <item x="155"/>
        <item x="510"/>
        <item x="742"/>
        <item x="750"/>
        <item x="487"/>
        <item x="640"/>
        <item x="561"/>
        <item x="722"/>
        <item x="125"/>
        <item x="612"/>
        <item x="140"/>
        <item x="627"/>
        <item x="108"/>
        <item x="480"/>
        <item x="429"/>
        <item x="299"/>
        <item x="500"/>
        <item x="460"/>
        <item x="153"/>
        <item x="250"/>
        <item x="410"/>
        <item x="176"/>
        <item x="92"/>
        <item x="704"/>
        <item x="62"/>
        <item x="437"/>
        <item x="318"/>
        <item x="233"/>
        <item x="18"/>
        <item x="135"/>
        <item x="731"/>
        <item x="42"/>
        <item x="357"/>
        <item x="679"/>
        <item x="99"/>
        <item x="544"/>
        <item x="787"/>
        <item x="470"/>
        <item x="634"/>
        <item x="694"/>
        <item x="421"/>
        <item x="9"/>
        <item x="71"/>
        <item x="222"/>
        <item x="406"/>
        <item x="653"/>
        <item x="783"/>
        <item x="189"/>
        <item x="538"/>
        <item x="331"/>
        <item x="419"/>
        <item x="702"/>
        <item x="228"/>
        <item x="237"/>
        <item x="271"/>
        <item x="218"/>
        <item x="474"/>
        <item x="94"/>
        <item x="304"/>
        <item x="243"/>
        <item x="459"/>
        <item x="58"/>
        <item x="59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8"/>
  </rowFields>
  <rowItems count="7">
    <i>
      <x v="469"/>
    </i>
    <i>
      <x v="714"/>
    </i>
    <i>
      <x v="163"/>
    </i>
    <i>
      <x v="568"/>
    </i>
    <i>
      <x v="586"/>
    </i>
    <i>
      <x v="49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Amount" fld="1" baseField="0" baseItem="0" numFmtId="165"/>
    <dataField name="Suma de Profit" fld="2" baseField="0" baseItem="0" numFmtId="165"/>
    <dataField name="Suma de Profit %" fld="17" showDataAs="percentOfTotal" baseField="0" baseItem="0" numFmtId="10"/>
  </dataFields>
  <formats count="4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2"/>
          </reference>
        </references>
      </pivotArea>
    </format>
  </format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4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EF0D1-EE1B-4202-BFE6-0062CCDE9493}" name="INDICADOR_4" cacheId="0" applyNumberFormats="0" applyBorderFormats="0" applyFontFormats="0" applyPatternFormats="0" applyAlignmentFormats="0" applyWidthHeightFormats="1" dataCaption="Valores" updatedVersion="8" minRefreshableVersion="5" useAutoFormatting="1" rowGrandTotals="0" itemPrintTitles="1" createdVersion="8" indent="0" outline="1" outlineData="1" multipleFieldFilters="0">
  <location ref="A89:B95" firstHeaderRow="1" firstDataRow="1" firstDataCol="1"/>
  <pivotFields count="18">
    <pivotField showAll="0"/>
    <pivotField numFmtId="164" showAll="0"/>
    <pivotField numFmtId="165"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axis="axisRow" showAll="0">
      <items count="803">
        <item x="727"/>
        <item x="418"/>
        <item x="289"/>
        <item x="754"/>
        <item x="220"/>
        <item x="75"/>
        <item x="461"/>
        <item x="374"/>
        <item x="205"/>
        <item x="721"/>
        <item x="338"/>
        <item x="525"/>
        <item x="16"/>
        <item x="111"/>
        <item x="379"/>
        <item x="333"/>
        <item x="588"/>
        <item x="622"/>
        <item x="232"/>
        <item x="215"/>
        <item x="632"/>
        <item x="580"/>
        <item x="723"/>
        <item x="778"/>
        <item x="610"/>
        <item x="161"/>
        <item x="148"/>
        <item x="397"/>
        <item x="76"/>
        <item x="733"/>
        <item x="674"/>
        <item x="207"/>
        <item x="101"/>
        <item x="776"/>
        <item x="801"/>
        <item x="41"/>
        <item x="789"/>
        <item x="422"/>
        <item x="231"/>
        <item x="213"/>
        <item x="328"/>
        <item x="604"/>
        <item x="337"/>
        <item x="206"/>
        <item x="350"/>
        <item x="493"/>
        <item x="735"/>
        <item x="664"/>
        <item x="689"/>
        <item x="519"/>
        <item x="196"/>
        <item x="106"/>
        <item x="444"/>
        <item x="239"/>
        <item x="66"/>
        <item x="265"/>
        <item x="698"/>
        <item x="777"/>
        <item x="211"/>
        <item x="535"/>
        <item x="204"/>
        <item x="526"/>
        <item x="516"/>
        <item x="772"/>
        <item x="362"/>
        <item x="746"/>
        <item x="377"/>
        <item x="30"/>
        <item x="675"/>
        <item x="274"/>
        <item x="583"/>
        <item x="27"/>
        <item x="469"/>
        <item x="471"/>
        <item x="159"/>
        <item x="60"/>
        <item x="194"/>
        <item x="247"/>
        <item x="707"/>
        <item x="351"/>
        <item x="457"/>
        <item x="152"/>
        <item x="738"/>
        <item x="508"/>
        <item x="532"/>
        <item x="83"/>
        <item x="366"/>
        <item x="219"/>
        <item x="569"/>
        <item x="335"/>
        <item x="506"/>
        <item x="327"/>
        <item x="69"/>
        <item x="744"/>
        <item x="183"/>
        <item x="195"/>
        <item x="59"/>
        <item x="46"/>
        <item x="701"/>
        <item x="591"/>
        <item x="352"/>
        <item x="527"/>
        <item x="786"/>
        <item x="600"/>
        <item x="685"/>
        <item x="673"/>
        <item x="252"/>
        <item x="61"/>
        <item x="798"/>
        <item x="128"/>
        <item x="225"/>
        <item x="286"/>
        <item x="718"/>
        <item x="531"/>
        <item x="629"/>
        <item x="790"/>
        <item x="432"/>
        <item x="165"/>
        <item x="709"/>
        <item x="714"/>
        <item x="420"/>
        <item x="23"/>
        <item x="132"/>
        <item x="645"/>
        <item x="353"/>
        <item x="360"/>
        <item x="51"/>
        <item x="505"/>
        <item x="137"/>
        <item x="291"/>
        <item x="52"/>
        <item x="732"/>
        <item x="761"/>
        <item x="517"/>
        <item x="541"/>
        <item x="284"/>
        <item x="254"/>
        <item x="81"/>
        <item x="710"/>
        <item x="336"/>
        <item x="29"/>
        <item x="628"/>
        <item x="290"/>
        <item x="657"/>
        <item x="253"/>
        <item x="80"/>
        <item x="178"/>
        <item x="608"/>
        <item x="555"/>
        <item x="398"/>
        <item x="763"/>
        <item x="550"/>
        <item x="658"/>
        <item x="411"/>
        <item x="82"/>
        <item x="436"/>
        <item x="4"/>
        <item x="424"/>
        <item x="235"/>
        <item x="32"/>
        <item x="283"/>
        <item x="156"/>
        <item x="1"/>
        <item x="200"/>
        <item x="187"/>
        <item x="452"/>
        <item x="440"/>
        <item x="378"/>
        <item x="737"/>
        <item x="334"/>
        <item x="55"/>
        <item x="404"/>
        <item x="162"/>
        <item x="523"/>
        <item x="726"/>
        <item x="312"/>
        <item x="499"/>
        <item x="386"/>
        <item x="78"/>
        <item x="773"/>
        <item x="668"/>
        <item x="560"/>
        <item x="390"/>
        <item x="566"/>
        <item x="293"/>
        <item x="87"/>
        <item x="118"/>
        <item x="73"/>
        <item x="755"/>
        <item x="660"/>
        <item x="147"/>
        <item x="203"/>
        <item x="107"/>
        <item x="491"/>
        <item x="534"/>
        <item x="681"/>
        <item x="0"/>
        <item x="34"/>
        <item x="122"/>
        <item x="472"/>
        <item x="173"/>
        <item x="346"/>
        <item x="388"/>
        <item x="509"/>
        <item x="434"/>
        <item x="574"/>
        <item x="683"/>
        <item x="24"/>
        <item x="494"/>
        <item x="695"/>
        <item x="613"/>
        <item x="590"/>
        <item x="445"/>
        <item x="504"/>
        <item x="303"/>
        <item x="373"/>
        <item x="298"/>
        <item x="48"/>
        <item x="11"/>
        <item x="571"/>
        <item x="666"/>
        <item x="47"/>
        <item x="567"/>
        <item x="466"/>
        <item x="752"/>
        <item x="528"/>
        <item x="483"/>
        <item x="529"/>
        <item x="764"/>
        <item x="192"/>
        <item x="236"/>
        <item x="31"/>
        <item x="309"/>
        <item x="578"/>
        <item x="86"/>
        <item x="712"/>
        <item x="45"/>
        <item x="530"/>
        <item x="475"/>
        <item x="359"/>
        <item x="425"/>
        <item x="263"/>
        <item x="105"/>
        <item x="478"/>
        <item x="654"/>
        <item x="659"/>
        <item x="179"/>
        <item x="757"/>
        <item x="547"/>
        <item x="435"/>
        <item x="646"/>
        <item x="576"/>
        <item x="597"/>
        <item x="124"/>
        <item x="753"/>
        <item x="748"/>
        <item x="84"/>
        <item x="408"/>
        <item x="540"/>
        <item x="182"/>
        <item x="745"/>
        <item x="642"/>
        <item x="246"/>
        <item x="35"/>
        <item x="175"/>
        <item x="479"/>
        <item x="136"/>
        <item x="768"/>
        <item x="791"/>
        <item x="720"/>
        <item x="226"/>
        <item x="417"/>
        <item x="548"/>
        <item x="287"/>
        <item x="728"/>
        <item x="103"/>
        <item x="725"/>
        <item x="546"/>
        <item x="17"/>
        <item x="6"/>
        <item x="297"/>
        <item x="342"/>
        <item x="586"/>
        <item x="393"/>
        <item x="180"/>
        <item x="711"/>
        <item x="126"/>
        <item x="323"/>
        <item x="326"/>
        <item x="769"/>
        <item x="181"/>
        <item x="520"/>
        <item x="463"/>
        <item x="774"/>
        <item x="313"/>
        <item x="621"/>
        <item x="149"/>
        <item x="606"/>
        <item x="766"/>
        <item x="585"/>
        <item x="620"/>
        <item x="96"/>
        <item x="89"/>
        <item x="513"/>
        <item x="170"/>
        <item x="780"/>
        <item x="575"/>
        <item x="619"/>
        <item x="545"/>
        <item x="455"/>
        <item x="670"/>
        <item x="63"/>
        <item x="423"/>
        <item x="249"/>
        <item x="142"/>
        <item x="784"/>
        <item x="266"/>
        <item x="498"/>
        <item x="90"/>
        <item x="98"/>
        <item x="603"/>
        <item x="392"/>
        <item x="799"/>
        <item x="449"/>
        <item x="131"/>
        <item x="533"/>
        <item x="730"/>
        <item x="770"/>
        <item x="123"/>
        <item x="522"/>
        <item x="637"/>
        <item x="716"/>
        <item x="775"/>
        <item x="365"/>
        <item x="7"/>
        <item x="56"/>
        <item x="584"/>
        <item x="450"/>
        <item x="693"/>
        <item x="703"/>
        <item x="281"/>
        <item x="145"/>
        <item x="21"/>
        <item x="690"/>
        <item x="650"/>
        <item x="669"/>
        <item x="305"/>
        <item x="308"/>
        <item x="186"/>
        <item x="330"/>
        <item x="276"/>
        <item x="490"/>
        <item x="465"/>
        <item x="662"/>
        <item x="3"/>
        <item x="364"/>
        <item x="760"/>
        <item x="202"/>
        <item x="502"/>
        <item x="115"/>
        <item x="684"/>
        <item x="433"/>
        <item x="587"/>
        <item x="625"/>
        <item x="453"/>
        <item x="39"/>
        <item x="158"/>
        <item x="273"/>
        <item x="278"/>
        <item x="682"/>
        <item x="188"/>
        <item x="562"/>
        <item x="518"/>
        <item x="601"/>
        <item x="765"/>
        <item x="536"/>
        <item x="524"/>
        <item x="692"/>
        <item x="515"/>
        <item x="741"/>
        <item x="759"/>
        <item x="688"/>
        <item x="138"/>
        <item x="15"/>
        <item x="260"/>
        <item x="394"/>
        <item x="256"/>
        <item x="431"/>
        <item x="25"/>
        <item x="468"/>
        <item x="329"/>
        <item x="133"/>
        <item x="652"/>
        <item x="521"/>
        <item x="240"/>
        <item x="172"/>
        <item x="14"/>
        <item x="53"/>
        <item x="150"/>
        <item x="37"/>
        <item x="199"/>
        <item x="605"/>
        <item x="543"/>
        <item x="415"/>
        <item x="568"/>
        <item x="462"/>
        <item x="593"/>
        <item x="361"/>
        <item x="49"/>
        <item x="320"/>
        <item x="454"/>
        <item x="288"/>
        <item x="667"/>
        <item x="376"/>
        <item x="602"/>
        <item x="719"/>
        <item x="402"/>
        <item x="36"/>
        <item x="539"/>
        <item x="631"/>
        <item x="623"/>
        <item x="551"/>
        <item x="497"/>
        <item x="565"/>
        <item x="617"/>
        <item x="639"/>
        <item x="481"/>
        <item x="349"/>
        <item x="129"/>
        <item x="375"/>
        <item x="563"/>
        <item x="119"/>
        <item x="22"/>
        <item x="171"/>
        <item x="724"/>
        <item x="616"/>
        <item x="489"/>
        <item x="221"/>
        <item x="295"/>
        <item x="369"/>
        <item x="416"/>
        <item x="736"/>
        <item x="581"/>
        <item x="110"/>
        <item x="311"/>
        <item x="160"/>
        <item x="384"/>
        <item x="64"/>
        <item x="223"/>
        <item x="208"/>
        <item x="671"/>
        <item x="272"/>
        <item x="767"/>
        <item x="224"/>
        <item x="740"/>
        <item x="428"/>
        <item x="210"/>
        <item x="10"/>
        <item x="507"/>
        <item x="314"/>
        <item x="572"/>
        <item x="100"/>
        <item x="496"/>
        <item x="401"/>
        <item x="762"/>
        <item x="116"/>
        <item x="141"/>
        <item x="655"/>
        <item x="708"/>
        <item x="554"/>
        <item x="371"/>
        <item x="782"/>
        <item x="280"/>
        <item x="255"/>
        <item x="372"/>
        <item x="665"/>
        <item x="482"/>
        <item x="212"/>
        <item x="367"/>
        <item x="486"/>
        <item x="217"/>
        <item x="292"/>
        <item x="50"/>
        <item x="443"/>
        <item x="317"/>
        <item x="185"/>
        <item x="649"/>
        <item x="611"/>
        <item x="751"/>
        <item x="139"/>
        <item x="120"/>
        <item x="648"/>
        <item x="678"/>
        <item x="467"/>
        <item x="341"/>
        <item x="413"/>
        <item x="57"/>
        <item x="114"/>
        <item x="332"/>
        <item x="796"/>
        <item x="264"/>
        <item x="339"/>
        <item x="275"/>
        <item x="596"/>
        <item x="705"/>
        <item x="691"/>
        <item x="109"/>
        <item x="8"/>
        <item x="570"/>
        <item x="739"/>
        <item x="514"/>
        <item x="177"/>
        <item x="495"/>
        <item x="715"/>
        <item x="285"/>
        <item x="598"/>
        <item x="316"/>
        <item x="396"/>
        <item x="446"/>
        <item x="174"/>
        <item x="797"/>
        <item x="633"/>
        <item x="556"/>
        <item x="214"/>
        <item x="700"/>
        <item x="151"/>
        <item x="154"/>
        <item x="300"/>
        <item x="758"/>
        <item x="134"/>
        <item x="33"/>
        <item x="191"/>
        <item x="242"/>
        <item x="319"/>
        <item x="306"/>
        <item x="537"/>
        <item x="74"/>
        <item x="492"/>
        <item x="743"/>
        <item x="370"/>
        <item x="201"/>
        <item x="638"/>
        <item x="458"/>
        <item x="248"/>
        <item x="697"/>
        <item x="197"/>
        <item x="699"/>
        <item x="267"/>
        <item x="88"/>
        <item x="676"/>
        <item x="663"/>
        <item x="40"/>
        <item x="448"/>
        <item x="549"/>
        <item x="258"/>
        <item x="79"/>
        <item x="756"/>
        <item x="261"/>
        <item x="28"/>
        <item x="127"/>
        <item x="262"/>
        <item x="95"/>
        <item x="430"/>
        <item x="193"/>
        <item x="501"/>
        <item x="301"/>
        <item x="259"/>
        <item x="464"/>
        <item x="485"/>
        <item x="251"/>
        <item x="618"/>
        <item x="385"/>
        <item x="65"/>
        <item x="268"/>
        <item x="26"/>
        <item x="184"/>
        <item x="643"/>
        <item x="117"/>
        <item x="696"/>
        <item x="788"/>
        <item x="344"/>
        <item x="230"/>
        <item x="409"/>
        <item x="503"/>
        <item x="85"/>
        <item x="512"/>
        <item x="121"/>
        <item x="146"/>
        <item x="626"/>
        <item x="595"/>
        <item x="781"/>
        <item x="354"/>
        <item x="405"/>
        <item x="383"/>
        <item x="227"/>
        <item x="143"/>
        <item x="321"/>
        <item x="779"/>
        <item x="473"/>
        <item x="661"/>
        <item x="67"/>
        <item x="599"/>
        <item x="13"/>
        <item x="38"/>
        <item x="615"/>
        <item x="794"/>
        <item x="717"/>
        <item x="229"/>
        <item x="451"/>
        <item x="399"/>
        <item x="157"/>
        <item x="167"/>
        <item x="302"/>
        <item x="630"/>
        <item x="168"/>
        <item x="387"/>
        <item x="325"/>
        <item x="296"/>
        <item x="635"/>
        <item x="729"/>
        <item x="644"/>
        <item x="589"/>
        <item x="241"/>
        <item x="93"/>
        <item x="163"/>
        <item x="277"/>
        <item x="381"/>
        <item x="636"/>
        <item x="282"/>
        <item x="144"/>
        <item x="72"/>
        <item x="324"/>
        <item x="12"/>
        <item x="573"/>
        <item x="257"/>
        <item x="355"/>
        <item x="557"/>
        <item x="5"/>
        <item x="315"/>
        <item x="358"/>
        <item x="209"/>
        <item x="542"/>
        <item x="19"/>
        <item x="484"/>
        <item x="447"/>
        <item x="307"/>
        <item x="687"/>
        <item x="607"/>
        <item x="389"/>
        <item x="614"/>
        <item x="477"/>
        <item x="785"/>
        <item x="559"/>
        <item x="2"/>
        <item x="441"/>
        <item x="609"/>
        <item x="343"/>
        <item x="279"/>
        <item x="706"/>
        <item x="395"/>
        <item x="368"/>
        <item x="322"/>
        <item x="656"/>
        <item x="234"/>
        <item x="91"/>
        <item x="680"/>
        <item x="677"/>
        <item x="476"/>
        <item x="310"/>
        <item x="403"/>
        <item x="792"/>
        <item x="244"/>
        <item x="793"/>
        <item x="558"/>
        <item x="216"/>
        <item x="382"/>
        <item x="641"/>
        <item x="749"/>
        <item x="112"/>
        <item x="414"/>
        <item x="198"/>
        <item x="164"/>
        <item x="686"/>
        <item x="340"/>
        <item x="356"/>
        <item x="672"/>
        <item x="651"/>
        <item x="734"/>
        <item x="363"/>
        <item x="104"/>
        <item x="70"/>
        <item x="43"/>
        <item x="427"/>
        <item x="347"/>
        <item x="647"/>
        <item x="270"/>
        <item x="771"/>
        <item x="564"/>
        <item x="582"/>
        <item x="113"/>
        <item x="713"/>
        <item x="511"/>
        <item x="624"/>
        <item x="44"/>
        <item x="238"/>
        <item x="488"/>
        <item x="245"/>
        <item x="20"/>
        <item x="97"/>
        <item x="77"/>
        <item x="407"/>
        <item x="166"/>
        <item x="190"/>
        <item x="439"/>
        <item x="553"/>
        <item x="800"/>
        <item x="380"/>
        <item x="294"/>
        <item x="391"/>
        <item x="747"/>
        <item x="400"/>
        <item x="54"/>
        <item x="438"/>
        <item x="348"/>
        <item x="456"/>
        <item x="426"/>
        <item x="269"/>
        <item x="579"/>
        <item x="795"/>
        <item x="68"/>
        <item x="102"/>
        <item x="552"/>
        <item x="592"/>
        <item x="169"/>
        <item x="345"/>
        <item x="442"/>
        <item x="577"/>
        <item x="412"/>
        <item x="130"/>
        <item x="155"/>
        <item x="510"/>
        <item x="742"/>
        <item x="750"/>
        <item x="487"/>
        <item x="640"/>
        <item x="561"/>
        <item x="722"/>
        <item x="125"/>
        <item x="612"/>
        <item x="140"/>
        <item x="627"/>
        <item x="108"/>
        <item x="480"/>
        <item x="429"/>
        <item x="299"/>
        <item x="500"/>
        <item x="460"/>
        <item x="153"/>
        <item x="250"/>
        <item x="410"/>
        <item x="176"/>
        <item x="92"/>
        <item x="704"/>
        <item x="62"/>
        <item x="437"/>
        <item x="318"/>
        <item x="233"/>
        <item x="18"/>
        <item x="135"/>
        <item x="731"/>
        <item x="42"/>
        <item x="357"/>
        <item x="679"/>
        <item x="99"/>
        <item x="544"/>
        <item x="787"/>
        <item x="470"/>
        <item x="634"/>
        <item x="694"/>
        <item x="421"/>
        <item x="9"/>
        <item x="71"/>
        <item x="222"/>
        <item x="406"/>
        <item x="653"/>
        <item x="783"/>
        <item x="189"/>
        <item x="538"/>
        <item x="331"/>
        <item x="419"/>
        <item x="702"/>
        <item x="228"/>
        <item x="237"/>
        <item x="271"/>
        <item x="218"/>
        <item x="474"/>
        <item x="94"/>
        <item x="304"/>
        <item x="243"/>
        <item x="459"/>
        <item x="58"/>
        <item x="594"/>
        <item t="default"/>
      </items>
    </pivotField>
    <pivotField axis="axisRow" showAll="0">
      <items count="7">
        <item sd="0" x="3"/>
        <item sd="0" x="0"/>
        <item sd="0" x="1"/>
        <item sd="0" x="2"/>
        <item sd="0" x="5"/>
        <item sd="0" x="4"/>
        <item t="default"/>
      </items>
    </pivotField>
    <pivotField axis="axisRow" showAll="0">
      <items count="19">
        <item sd="0" x="10"/>
        <item sd="0" x="2"/>
        <item sd="0" x="1"/>
        <item sd="0" x="13"/>
        <item sd="0" x="14"/>
        <item sd="0" x="12"/>
        <item sd="0" x="8"/>
        <item sd="0" x="15"/>
        <item sd="0" x="4"/>
        <item sd="0" x="0"/>
        <item sd="0" x="5"/>
        <item sd="0" x="3"/>
        <item sd="0" x="17"/>
        <item sd="0" x="7"/>
        <item sd="0" x="9"/>
        <item sd="0" x="11"/>
        <item sd="0" x="6"/>
        <item sd="0" x="16"/>
        <item t="default" sd="0"/>
      </items>
    </pivotField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ragToRow="0" dragToCol="0" dragToPage="0" showAll="0" defaultSubtotal="0"/>
    <pivotField dragToRow="0" dragToCol="0" dragToPage="0" showAll="0" defaultSubtotal="0"/>
  </pivotFields>
  <rowFields count="3">
    <field x="9"/>
    <field x="10"/>
    <field x="8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a de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DE113-4772-41E2-A16D-747D092C964D}" name="INDICADOR_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A30:B51" firstHeaderRow="1" firstDataRow="1" firstDataCol="1"/>
  <pivotFields count="18">
    <pivotField showAll="0"/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axis="axisRow" multipleItemSelectionAllowed="1" showAll="0">
      <items count="15">
        <item h="1" sd="0" x="0"/>
        <item h="1" sd="0" x="1"/>
        <item h="1" sd="0" x="2"/>
        <item h="1" sd="0" x="3"/>
        <item sd="0" x="4"/>
        <item h="1" sd="0" x="5"/>
        <item h="1" sd="0" x="6"/>
        <item h="1" sd="0" x="7"/>
        <item sd="0" x="8"/>
        <item h="1" sd="0" x="9"/>
        <item h="1" sd="0" x="10"/>
        <item h="1"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x="1"/>
        <item x="2"/>
        <item x="3"/>
        <item x="4"/>
        <item x="5"/>
        <item x="6"/>
        <item sd="0"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5"/>
    <field x="13"/>
  </rowFields>
  <rowItems count="21">
    <i>
      <x v="1"/>
    </i>
    <i r="1">
      <x v="4"/>
    </i>
    <i r="1">
      <x v="8"/>
    </i>
    <i r="1">
      <x v="12"/>
    </i>
    <i>
      <x v="2"/>
    </i>
    <i r="1">
      <x v="4"/>
    </i>
    <i r="1">
      <x v="8"/>
    </i>
    <i r="1">
      <x v="12"/>
    </i>
    <i>
      <x v="3"/>
    </i>
    <i r="1">
      <x v="4"/>
    </i>
    <i r="1">
      <x v="8"/>
    </i>
    <i r="1">
      <x v="12"/>
    </i>
    <i>
      <x v="4"/>
    </i>
    <i r="1">
      <x v="4"/>
    </i>
    <i r="1">
      <x v="8"/>
    </i>
    <i r="1">
      <x v="12"/>
    </i>
    <i>
      <x v="5"/>
    </i>
    <i r="1">
      <x v="4"/>
    </i>
    <i r="1">
      <x v="8"/>
    </i>
    <i r="1">
      <x v="12"/>
    </i>
    <i t="grand">
      <x/>
    </i>
  </rowItems>
  <colItems count="1">
    <i/>
  </colItems>
  <dataFields count="1">
    <dataField name="Suma de Profit" fld="2" baseField="0" baseItem="0" numFmtId="165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7ED9C-A061-46F7-9CD4-E23338E3917F}" name="INDICADOR_2" cacheId="0" applyNumberFormats="0" applyBorderFormats="0" applyFontFormats="0" applyPatternFormats="0" applyAlignmentFormats="0" applyWidthHeightFormats="1" dataCaption="Valores" updatedVersion="8" minRefreshableVersion="5" useAutoFormatting="1" rowGrandTotals="0" itemPrintTitles="1" createdVersion="8" indent="0" outline="1" outlineData="1" multipleFieldFilters="0">
  <location ref="A20:B26" firstHeaderRow="1" firstDataRow="1" firstDataCol="1"/>
  <pivotFields count="18"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axis="axisRow" showAll="0" sortType="ascending">
      <items count="7">
        <item x="3"/>
        <item x="0"/>
        <item x="1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6">
    <i>
      <x v="4"/>
    </i>
    <i>
      <x v="2"/>
    </i>
    <i>
      <x v="5"/>
    </i>
    <i>
      <x/>
    </i>
    <i>
      <x v="1"/>
    </i>
    <i>
      <x v="3"/>
    </i>
  </rowItems>
  <colItems count="1">
    <i/>
  </colItems>
  <dataFields count="1">
    <dataField name="Suma de Amount" fld="1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1D668-E317-4FAA-AEE7-0FCE99B113BC}" name="INDICADOR_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1:D17" firstHeaderRow="0" firstDataRow="1" firstDataCol="1"/>
  <pivotFields count="18">
    <pivotField showAll="0"/>
    <pivotField dataField="1" showAll="0"/>
    <pivotField dataField="1" showAll="0"/>
    <pivotField showAll="0"/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2">
    <field x="4"/>
    <field x="5"/>
  </rowFields>
  <rowItems count="16">
    <i>
      <x/>
    </i>
    <i r="1">
      <x v="3"/>
    </i>
    <i r="1">
      <x v="4"/>
    </i>
    <i r="1">
      <x v="8"/>
    </i>
    <i r="1">
      <x v="9"/>
    </i>
    <i>
      <x v="2"/>
    </i>
    <i r="1">
      <x/>
    </i>
    <i r="1">
      <x v="5"/>
    </i>
    <i r="1">
      <x v="6"/>
    </i>
    <i r="1">
      <x v="7"/>
    </i>
    <i>
      <x v="1"/>
    </i>
    <i r="1">
      <x v="1"/>
    </i>
    <i r="1">
      <x v="2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Amount" fld="1" baseField="0" baseItem="0"/>
    <dataField name="Suma de Profit" fld="2" baseField="0" baseItem="0"/>
    <dataField name="Margen de Ganancia" fld="16" baseField="0" baseItem="0" numFmtId="166"/>
  </dataFields>
  <formats count="2">
    <format dxfId="7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13984-A04E-4A93-A87E-3CFF9EE3BD7C}" name="INDICADOR_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115:C121" firstHeaderRow="0" firstDataRow="1" firstDataCol="1"/>
  <pivotFields count="18">
    <pivotField dataField="1" showAll="0"/>
    <pivotField dataField="1" numFmtId="164" showAll="0"/>
    <pivotField numFmtId="165" showAll="0"/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>
      <items count="649">
        <item x="637"/>
        <item x="7"/>
        <item x="165"/>
        <item x="148"/>
        <item x="245"/>
        <item x="612"/>
        <item x="156"/>
        <item x="44"/>
        <item x="493"/>
        <item x="440"/>
        <item x="621"/>
        <item x="466"/>
        <item x="395"/>
        <item x="278"/>
        <item x="294"/>
        <item x="222"/>
        <item x="8"/>
        <item x="585"/>
        <item x="358"/>
        <item x="90"/>
        <item x="60"/>
        <item x="144"/>
        <item x="439"/>
        <item x="389"/>
        <item x="644"/>
        <item x="593"/>
        <item x="182"/>
        <item x="121"/>
        <item x="317"/>
        <item x="219"/>
        <item x="397"/>
        <item x="494"/>
        <item x="566"/>
        <item x="199"/>
        <item x="524"/>
        <item x="445"/>
        <item x="221"/>
        <item x="200"/>
        <item x="595"/>
        <item x="646"/>
        <item x="638"/>
        <item x="443"/>
        <item x="530"/>
        <item x="169"/>
        <item x="54"/>
        <item x="251"/>
        <item x="102"/>
        <item x="497"/>
        <item x="216"/>
        <item x="160"/>
        <item x="475"/>
        <item x="210"/>
        <item x="437"/>
        <item x="534"/>
        <item x="523"/>
        <item x="287"/>
        <item x="180"/>
        <item x="487"/>
        <item x="161"/>
        <item x="224"/>
        <item x="450"/>
        <item x="218"/>
        <item x="258"/>
        <item x="574"/>
        <item x="596"/>
        <item x="26"/>
        <item x="97"/>
        <item x="299"/>
        <item x="280"/>
        <item x="318"/>
        <item x="504"/>
        <item x="207"/>
        <item x="192"/>
        <item x="399"/>
        <item x="354"/>
        <item x="448"/>
        <item x="35"/>
        <item x="163"/>
        <item x="263"/>
        <item x="266"/>
        <item x="586"/>
        <item x="288"/>
        <item x="13"/>
        <item x="250"/>
        <item x="378"/>
        <item x="136"/>
        <item x="162"/>
        <item x="295"/>
        <item x="485"/>
        <item x="567"/>
        <item x="107"/>
        <item x="464"/>
        <item x="626"/>
        <item x="553"/>
        <item x="527"/>
        <item x="125"/>
        <item x="547"/>
        <item x="101"/>
        <item x="359"/>
        <item x="225"/>
        <item x="110"/>
        <item x="387"/>
        <item x="191"/>
        <item x="381"/>
        <item x="274"/>
        <item x="419"/>
        <item x="301"/>
        <item x="239"/>
        <item x="592"/>
        <item x="465"/>
        <item x="641"/>
        <item x="64"/>
        <item x="608"/>
        <item x="120"/>
        <item x="405"/>
        <item x="537"/>
        <item x="446"/>
        <item x="46"/>
        <item x="65"/>
        <item x="623"/>
        <item x="118"/>
        <item x="124"/>
        <item x="481"/>
        <item x="557"/>
        <item x="348"/>
        <item x="273"/>
        <item x="34"/>
        <item x="518"/>
        <item x="513"/>
        <item x="454"/>
        <item x="152"/>
        <item x="349"/>
        <item x="324"/>
        <item x="22"/>
        <item x="140"/>
        <item x="597"/>
        <item x="456"/>
        <item x="70"/>
        <item x="633"/>
        <item x="416"/>
        <item x="113"/>
        <item x="535"/>
        <item x="582"/>
        <item x="241"/>
        <item x="569"/>
        <item x="270"/>
        <item x="430"/>
        <item x="281"/>
        <item x="340"/>
        <item x="640"/>
        <item x="173"/>
        <item x="561"/>
        <item x="28"/>
        <item x="342"/>
        <item x="605"/>
        <item x="155"/>
        <item x="409"/>
        <item x="636"/>
        <item x="196"/>
        <item x="526"/>
        <item x="2"/>
        <item x="321"/>
        <item x="609"/>
        <item x="563"/>
        <item x="325"/>
        <item x="311"/>
        <item x="106"/>
        <item x="467"/>
        <item x="51"/>
        <item x="438"/>
        <item x="455"/>
        <item x="577"/>
        <item x="91"/>
        <item x="506"/>
        <item x="76"/>
        <item x="75"/>
        <item x="254"/>
        <item x="153"/>
        <item x="255"/>
        <item x="197"/>
        <item x="178"/>
        <item x="627"/>
        <item x="590"/>
        <item x="4"/>
        <item x="30"/>
        <item x="99"/>
        <item x="490"/>
        <item x="489"/>
        <item x="204"/>
        <item x="227"/>
        <item x="472"/>
        <item x="229"/>
        <item x="542"/>
        <item x="302"/>
        <item x="320"/>
        <item x="50"/>
        <item x="202"/>
        <item x="84"/>
        <item x="179"/>
        <item x="86"/>
        <item x="589"/>
        <item x="73"/>
        <item x="533"/>
        <item x="339"/>
        <item x="462"/>
        <item x="253"/>
        <item x="93"/>
        <item x="376"/>
        <item x="59"/>
        <item x="581"/>
        <item x="377"/>
        <item x="16"/>
        <item x="256"/>
        <item x="309"/>
        <item x="482"/>
        <item x="337"/>
        <item x="379"/>
        <item x="168"/>
        <item x="82"/>
        <item x="335"/>
        <item x="25"/>
        <item x="555"/>
        <item x="541"/>
        <item x="300"/>
        <item x="598"/>
        <item x="213"/>
        <item x="19"/>
        <item x="39"/>
        <item x="417"/>
        <item x="138"/>
        <item x="600"/>
        <item x="332"/>
        <item x="15"/>
        <item x="512"/>
        <item x="58"/>
        <item x="478"/>
        <item x="353"/>
        <item x="346"/>
        <item x="502"/>
        <item x="457"/>
        <item x="639"/>
        <item x="313"/>
        <item x="501"/>
        <item x="47"/>
        <item x="171"/>
        <item x="33"/>
        <item x="360"/>
        <item x="370"/>
        <item x="508"/>
        <item x="388"/>
        <item x="434"/>
        <item x="105"/>
        <item x="146"/>
        <item x="396"/>
        <item x="32"/>
        <item x="127"/>
        <item x="48"/>
        <item x="410"/>
        <item x="167"/>
        <item x="247"/>
        <item x="67"/>
        <item x="211"/>
        <item x="55"/>
        <item x="292"/>
        <item x="414"/>
        <item x="215"/>
        <item x="411"/>
        <item x="564"/>
        <item x="112"/>
        <item x="550"/>
        <item x="333"/>
        <item x="305"/>
        <item x="629"/>
        <item x="579"/>
        <item x="52"/>
        <item x="576"/>
        <item x="257"/>
        <item x="591"/>
        <item x="451"/>
        <item x="193"/>
        <item x="441"/>
        <item x="584"/>
        <item x="319"/>
        <item x="159"/>
        <item x="615"/>
        <item x="83"/>
        <item x="237"/>
        <item x="143"/>
        <item x="233"/>
        <item x="514"/>
        <item x="45"/>
        <item x="392"/>
        <item x="341"/>
        <item x="372"/>
        <item x="620"/>
        <item x="195"/>
        <item x="176"/>
        <item x="423"/>
        <item x="205"/>
        <item x="580"/>
        <item x="510"/>
        <item x="549"/>
        <item x="602"/>
        <item x="560"/>
        <item x="220"/>
        <item x="79"/>
        <item x="344"/>
        <item x="383"/>
        <item x="98"/>
        <item x="126"/>
        <item x="85"/>
        <item x="610"/>
        <item x="259"/>
        <item x="232"/>
        <item x="536"/>
        <item x="157"/>
        <item x="289"/>
        <item x="453"/>
        <item x="68"/>
        <item x="303"/>
        <item x="449"/>
        <item x="551"/>
        <item x="111"/>
        <item x="31"/>
        <item x="129"/>
        <item x="516"/>
        <item x="356"/>
        <item x="277"/>
        <item x="23"/>
        <item x="189"/>
        <item x="352"/>
        <item x="268"/>
        <item x="117"/>
        <item x="298"/>
        <item x="402"/>
        <item x="18"/>
        <item x="283"/>
        <item x="393"/>
        <item x="498"/>
        <item x="429"/>
        <item x="426"/>
        <item x="442"/>
        <item x="5"/>
        <item x="49"/>
        <item x="282"/>
        <item x="635"/>
        <item x="61"/>
        <item x="80"/>
        <item x="174"/>
        <item x="116"/>
        <item x="645"/>
        <item x="40"/>
        <item x="158"/>
        <item x="130"/>
        <item x="271"/>
        <item x="570"/>
        <item x="56"/>
        <item x="276"/>
        <item x="421"/>
        <item x="243"/>
        <item x="427"/>
        <item x="573"/>
        <item x="228"/>
        <item x="459"/>
        <item x="181"/>
        <item x="463"/>
        <item x="412"/>
        <item x="246"/>
        <item x="306"/>
        <item x="505"/>
        <item x="154"/>
        <item x="131"/>
        <item x="583"/>
        <item x="17"/>
        <item x="525"/>
        <item x="328"/>
        <item x="78"/>
        <item x="217"/>
        <item x="87"/>
        <item x="559"/>
        <item x="362"/>
        <item x="469"/>
        <item x="613"/>
        <item x="267"/>
        <item x="150"/>
        <item x="447"/>
        <item x="407"/>
        <item x="528"/>
        <item x="37"/>
        <item x="331"/>
        <item x="616"/>
        <item x="103"/>
        <item x="368"/>
        <item x="66"/>
        <item x="604"/>
        <item x="135"/>
        <item x="355"/>
        <item x="230"/>
        <item x="63"/>
        <item x="517"/>
        <item x="435"/>
        <item x="460"/>
        <item x="249"/>
        <item x="29"/>
        <item x="240"/>
        <item x="624"/>
        <item x="315"/>
        <item x="304"/>
        <item x="556"/>
        <item x="546"/>
        <item x="123"/>
        <item x="235"/>
        <item x="632"/>
        <item x="474"/>
        <item x="285"/>
        <item x="0"/>
        <item x="496"/>
        <item x="21"/>
        <item x="503"/>
        <item x="108"/>
        <item x="363"/>
        <item x="41"/>
        <item x="631"/>
        <item x="128"/>
        <item x="53"/>
        <item x="403"/>
        <item x="401"/>
        <item x="468"/>
        <item x="477"/>
        <item x="492"/>
        <item x="532"/>
        <item x="365"/>
        <item x="166"/>
        <item x="587"/>
        <item x="109"/>
        <item x="338"/>
        <item x="630"/>
        <item x="552"/>
        <item x="27"/>
        <item x="290"/>
        <item x="269"/>
        <item x="122"/>
        <item x="554"/>
        <item x="310"/>
        <item x="520"/>
        <item x="164"/>
        <item x="293"/>
        <item x="141"/>
        <item x="139"/>
        <item x="100"/>
        <item x="642"/>
        <item x="479"/>
        <item x="286"/>
        <item x="347"/>
        <item x="203"/>
        <item x="291"/>
        <item x="188"/>
        <item x="384"/>
        <item x="236"/>
        <item x="345"/>
        <item x="400"/>
        <item x="406"/>
        <item x="190"/>
        <item x="543"/>
        <item x="369"/>
        <item x="425"/>
        <item x="519"/>
        <item x="316"/>
        <item x="284"/>
        <item x="470"/>
        <item x="9"/>
        <item x="6"/>
        <item x="599"/>
        <item x="617"/>
        <item x="495"/>
        <item x="394"/>
        <item x="618"/>
        <item x="458"/>
        <item x="343"/>
        <item x="184"/>
        <item x="539"/>
        <item x="175"/>
        <item x="248"/>
        <item x="20"/>
        <item x="88"/>
        <item x="432"/>
        <item x="104"/>
        <item x="473"/>
        <item x="382"/>
        <item x="521"/>
        <item x="223"/>
        <item x="603"/>
        <item x="588"/>
        <item x="275"/>
        <item x="242"/>
        <item x="12"/>
        <item x="201"/>
        <item x="38"/>
        <item x="74"/>
        <item x="185"/>
        <item x="607"/>
        <item x="386"/>
        <item x="350"/>
        <item x="272"/>
        <item x="562"/>
        <item x="72"/>
        <item x="461"/>
        <item x="367"/>
        <item x="578"/>
        <item x="172"/>
        <item x="374"/>
        <item x="151"/>
        <item x="531"/>
        <item x="452"/>
        <item x="565"/>
        <item x="575"/>
        <item x="149"/>
        <item x="509"/>
        <item x="147"/>
        <item x="422"/>
        <item x="323"/>
        <item x="132"/>
        <item x="499"/>
        <item x="244"/>
        <item x="634"/>
        <item x="214"/>
        <item x="431"/>
        <item x="322"/>
        <item x="198"/>
        <item x="327"/>
        <item x="308"/>
        <item x="361"/>
        <item x="81"/>
        <item x="183"/>
        <item x="336"/>
        <item x="177"/>
        <item x="522"/>
        <item x="3"/>
        <item x="279"/>
        <item x="137"/>
        <item x="89"/>
        <item x="619"/>
        <item x="594"/>
        <item x="385"/>
        <item x="312"/>
        <item x="558"/>
        <item x="334"/>
        <item x="14"/>
        <item x="96"/>
        <item x="329"/>
        <item x="187"/>
        <item x="515"/>
        <item x="238"/>
        <item x="208"/>
        <item x="194"/>
        <item x="444"/>
        <item x="186"/>
        <item x="95"/>
        <item x="538"/>
        <item x="265"/>
        <item x="71"/>
        <item x="373"/>
        <item x="94"/>
        <item x="491"/>
        <item x="380"/>
        <item x="77"/>
        <item x="296"/>
        <item x="134"/>
        <item x="114"/>
        <item x="371"/>
        <item x="364"/>
        <item x="507"/>
        <item x="643"/>
        <item x="545"/>
        <item x="24"/>
        <item x="601"/>
        <item x="231"/>
        <item x="357"/>
        <item x="206"/>
        <item x="212"/>
        <item x="420"/>
        <item x="500"/>
        <item x="69"/>
        <item x="142"/>
        <item x="391"/>
        <item x="511"/>
        <item x="62"/>
        <item x="611"/>
        <item x="297"/>
        <item x="43"/>
        <item x="264"/>
        <item x="366"/>
        <item x="436"/>
        <item x="484"/>
        <item x="606"/>
        <item x="614"/>
        <item x="145"/>
        <item x="408"/>
        <item x="647"/>
        <item x="471"/>
        <item x="92"/>
        <item x="622"/>
        <item x="413"/>
        <item x="433"/>
        <item x="483"/>
        <item x="398"/>
        <item x="260"/>
        <item x="540"/>
        <item x="424"/>
        <item x="115"/>
        <item x="57"/>
        <item x="314"/>
        <item x="36"/>
        <item x="548"/>
        <item x="209"/>
        <item x="252"/>
        <item x="1"/>
        <item x="628"/>
        <item x="529"/>
        <item x="10"/>
        <item x="375"/>
        <item x="119"/>
        <item x="488"/>
        <item x="625"/>
        <item x="418"/>
        <item x="571"/>
        <item x="330"/>
        <item x="234"/>
        <item x="480"/>
        <item x="476"/>
        <item x="170"/>
        <item x="351"/>
        <item x="326"/>
        <item x="11"/>
        <item x="572"/>
        <item x="390"/>
        <item x="415"/>
        <item x="133"/>
        <item x="261"/>
        <item x="404"/>
        <item x="428"/>
        <item x="568"/>
        <item x="544"/>
        <item x="262"/>
        <item x="307"/>
        <item x="42"/>
        <item x="226"/>
        <item x="486"/>
        <item t="default"/>
      </items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numFmtId="14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numFmtId="9"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Order ID" fld="0" subtotal="count" baseField="0" baseItem="0"/>
    <dataField name="Suma de Amount" fld="1" baseField="0" baseItem="0" numFmtId="165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4"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E52378-EA27-4AFF-8A96-59B217D32195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  <queryTableField id="8" name="Order Date" tableColumnId="8"/>
      <queryTableField id="9" name="CustomerName" tableColumnId="9"/>
      <queryTableField id="10" name="State" tableColumnId="10"/>
      <queryTableField id="11" name="City" tableColumnId="11"/>
      <queryTableField id="12" name="Year-Month" tableColumnId="12"/>
      <queryTableField id="13" dataBound="0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_Category" xr10:uid="{E2B8BA45-2462-464B-B6E6-5F43129506A6}" sourceName="Sub-Category">
  <pivotTables>
    <pivotTable tabId="1" name="INDICADOR_1"/>
    <pivotTable tabId="1" name="INDICADOR_2"/>
    <pivotTable tabId="1" name="INDICADOR_3"/>
    <pivotTable tabId="1" name="INDICADOR_4"/>
    <pivotTable tabId="1" name="INDICADOR_5"/>
    <pivotTable tabId="1" name="INDICADOR_6"/>
  </pivotTables>
  <data>
    <tabular pivotCacheId="82870820">
      <items count="12">
        <i x="9" s="1"/>
        <i x="11" s="1"/>
        <i x="5" s="1"/>
        <i x="0" s="1"/>
        <i x="3" s="1"/>
        <i x="6" s="1"/>
        <i x="8" s="1"/>
        <i x="2" s="1"/>
        <i x="10" s="1"/>
        <i x="1" s="1"/>
        <i x="7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748E615B-FF2F-43CD-883E-494C43C664A1}" sourceName="Category">
  <pivotTables>
    <pivotTable tabId="1" name="INDICADOR_1"/>
    <pivotTable tabId="1" name="INDICADOR_2"/>
    <pivotTable tabId="1" name="INDICADOR_3"/>
    <pivotTable tabId="1" name="INDICADOR_4"/>
    <pivotTable tabId="1" name="INDICADOR_5"/>
    <pivotTable tabId="1" name="INDICADOR_6"/>
  </pivotTables>
  <data>
    <tabular pivotCacheId="8287082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e" xr10:uid="{BE69502B-8824-4173-B46D-790D730E325C}" sourceName="State">
  <pivotTables>
    <pivotTable tabId="1" name="INDICADOR_1"/>
    <pivotTable tabId="1" name="INDICADOR_2"/>
    <pivotTable tabId="1" name="INDICADOR_3"/>
    <pivotTable tabId="1" name="INDICADOR_4"/>
    <pivotTable tabId="1" name="INDICADOR_5"/>
    <pivotTable tabId="1" name="INDICADOR_6"/>
  </pivotTables>
  <data>
    <tabular pivotCacheId="82870820">
      <items count="6">
        <i x="3" s="1"/>
        <i x="0" s="1"/>
        <i x="1" s="1"/>
        <i x="2" s="1"/>
        <i x="5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Mode" xr10:uid="{4E902256-8241-4435-B8DC-00AC32537804}" sourceName="PaymentMode">
  <pivotTables>
    <pivotTable tabId="1" name="INDICADOR_1"/>
    <pivotTable tabId="1" name="INDICADOR_2"/>
    <pivotTable tabId="1" name="INDICADOR_3"/>
    <pivotTable tabId="1" name="INDICADOR_4"/>
    <pivotTable tabId="1" name="INDICADOR_5"/>
    <pivotTable tabId="1" name="INDICADOR_6"/>
  </pivotTables>
  <data>
    <tabular pivotCacheId="82870820">
      <items count="5">
        <i x="4" s="1"/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-Category 1" xr10:uid="{EF3E91F6-1605-44A6-8319-A8021D193666}" cache="SegmentaciónDeDatos_Sub_Category" caption="Sub Categoria" columnCount="3" rowHeight="252000"/>
  <slicer name="Category 1" xr10:uid="{027AF1C9-C80E-4795-898B-D6DDBC0421F9}" cache="SegmentaciónDeDatos_Category" caption="Categoria" rowHeight="180000"/>
  <slicer name="State 1" xr10:uid="{73D82F90-445F-4D15-BF8F-CB33B462D0E4}" cache="SegmentaciónDeDatos_State" caption="Estado" columnCount="2" rowHeight="180000"/>
  <slicer name="PaymentMode 1" xr10:uid="{834E1F5B-9222-4FC9-B652-ADF142F3F823}" cache="SegmentaciónDeDatos_PaymentMode" caption="Metodo de Pago" columnCount="2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-Category" xr10:uid="{042CE48F-9171-464E-8BB9-268BD21928CE}" cache="SegmentaciónDeDatos_Sub_Category" caption="Sub-Category" style="SlicerStyleLight1" rowHeight="241300"/>
  <slicer name="Category" xr10:uid="{96BC9216-4946-46AF-A4C3-CEF44C5865C0}" cache="SegmentaciónDeDatos_Category" caption="Category" style="SlicerStyleLight1" rowHeight="241300"/>
  <slicer name="State" xr10:uid="{DC485865-529F-44C2-8737-4F66E536F202}" cache="SegmentaciónDeDatos_State" caption="State" style="SlicerStyleLight1" rowHeight="241300"/>
  <slicer name="PaymentMode" xr10:uid="{9004EFB6-6C9D-41ED-805F-70F4B0E39585}" cache="SegmentaciónDeDatos_PaymentMode" caption="PaymentMode" style="SlicerStyleLight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E7BC5-A4DB-4850-993B-07DB619B8DCA}" name="T_SALES" displayName="T_SALES" ref="A1:M1196" tableType="queryTable" totalsRowCount="1">
  <autoFilter ref="A1:M1195" xr:uid="{9E6E7BC5-A4DB-4850-993B-07DB619B8DCA}"/>
  <tableColumns count="13">
    <tableColumn id="1" xr3:uid="{E188CBF7-8128-4B4C-8044-D3EE5EBB8E13}" uniqueName="1" name="Order ID" totalsRowLabel="Total" queryTableFieldId="1" dataDxfId="20"/>
    <tableColumn id="2" xr3:uid="{2A210A9D-91E8-4981-9132-EA9016742E60}" uniqueName="2" name="Amount" totalsRowFunction="sum" queryTableFieldId="2" dataDxfId="19"/>
    <tableColumn id="3" xr3:uid="{ED24473B-0EA1-4785-A0D3-C8C315EAD7B9}" uniqueName="3" name="Profit" totalsRowFunction="sum" queryTableFieldId="3" dataDxfId="18"/>
    <tableColumn id="4" xr3:uid="{FCF8C27E-F86C-4B61-AF93-84B4A7362780}" uniqueName="4" name="Quantity" totalsRowFunction="sum" queryTableFieldId="4"/>
    <tableColumn id="5" xr3:uid="{57ECD866-03DA-4B20-AD46-B02196E343D0}" uniqueName="5" name="Category" queryTableFieldId="5" dataDxfId="17"/>
    <tableColumn id="6" xr3:uid="{A5640835-B4CA-45DA-ADA7-A0D9B55AE3DC}" uniqueName="6" name="Sub-Category" queryTableFieldId="6" dataDxfId="16"/>
    <tableColumn id="7" xr3:uid="{A187D9CC-C702-4A87-B015-865140693D33}" uniqueName="7" name="PaymentMode" queryTableFieldId="7" dataDxfId="15"/>
    <tableColumn id="8" xr3:uid="{4ECC1D22-FE9A-4FD0-9B9D-C23C9219C226}" uniqueName="8" name="Order Date" queryTableFieldId="8" dataDxfId="14"/>
    <tableColumn id="9" xr3:uid="{B79E2650-BF4D-478C-A902-C6BAAE66631C}" uniqueName="9" name="CustomerName" queryTableFieldId="9" dataDxfId="13"/>
    <tableColumn id="10" xr3:uid="{EE8C9475-0B49-478E-A0C9-9B4FC4437465}" uniqueName="10" name="State" queryTableFieldId="10" dataDxfId="12"/>
    <tableColumn id="11" xr3:uid="{473E824F-93A4-415D-952D-B21921B93822}" uniqueName="11" name="City" queryTableFieldId="11" dataDxfId="11"/>
    <tableColumn id="12" xr3:uid="{1DDACC99-27E9-4A57-BA9D-37836AE979A1}" uniqueName="12" name="Year-Month" queryTableFieldId="12" dataDxfId="10"/>
    <tableColumn id="13" xr3:uid="{D698CC17-8C4D-4D13-90BE-DEA787531B87}" uniqueName="13" name="Margen %" queryTableFieldId="13" totalsRowDxfId="9" dataCellStyle="Porcentaje">
      <calculatedColumnFormula>T_SALES[[#This Row],[Profit]]/T_SALES[[#This Row],[Amount]]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7304F633-F43E-494C-9FFB-BA3E6D3529C2}" sourceName="Order Date">
  <pivotTables>
    <pivotTable tabId="1" name="INDICADOR_3"/>
    <pivotTable tabId="1" name="INDICADOR_1"/>
    <pivotTable tabId="1" name="INDICADOR_2"/>
    <pivotTable tabId="1" name="INDICADOR_4"/>
    <pivotTable tabId="1" name="INDICADOR_5"/>
    <pivotTable tabId="1" name="INDICADOR_6"/>
  </pivotTables>
  <state minimalRefreshVersion="6" lastRefreshVersion="6" pivotCacheId="82870820" filterType="unknown">
    <bounds startDate="2020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874DF643-8B24-461B-91D9-A0A9BE631817}" cache="NativeTimeline_Order_Date" caption="Order Date" level="0" selectionLevel="0" scrollPosition="2020-01-01T00:00:00" style="TimeSlicerStyleLight5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81A5859A-90B6-4753-A1B2-842E0FC2B398}" cache="NativeTimeline_Order_Date" caption="Order Date" level="2" selectionLevel="2" scrollPosition="2022-10-12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2.xml"/><Relationship Id="rId4" Type="http://schemas.openxmlformats.org/officeDocument/2006/relationships/pivotTable" Target="../pivotTables/pivotTable4.xml"/><Relationship Id="rId9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3F55-D791-4887-B60E-F75DFAB3113B}">
  <dimension ref="A1:M1196"/>
  <sheetViews>
    <sheetView topLeftCell="A1181" workbookViewId="0">
      <selection activeCell="C1198" sqref="C1198"/>
    </sheetView>
  </sheetViews>
  <sheetFormatPr baseColWidth="10" defaultRowHeight="15" x14ac:dyDescent="0.25"/>
  <cols>
    <col min="1" max="1" width="10.7109375" bestFit="1" customWidth="1"/>
    <col min="2" max="2" width="13.85546875" style="7" bestFit="1" customWidth="1"/>
    <col min="3" max="3" width="13.85546875" style="8" bestFit="1" customWidth="1"/>
    <col min="4" max="4" width="11" bestFit="1" customWidth="1"/>
    <col min="5" max="5" width="14.42578125" bestFit="1" customWidth="1"/>
    <col min="6" max="6" width="16.28515625" bestFit="1" customWidth="1"/>
    <col min="7" max="7" width="16.42578125" bestFit="1" customWidth="1"/>
    <col min="8" max="8" width="13" bestFit="1" customWidth="1"/>
    <col min="9" max="9" width="23.140625" bestFit="1" customWidth="1"/>
    <col min="10" max="10" width="9.5703125" bestFit="1" customWidth="1"/>
    <col min="11" max="11" width="13.28515625" bestFit="1" customWidth="1"/>
    <col min="12" max="12" width="14" bestFit="1" customWidth="1"/>
    <col min="13" max="13" width="12.140625" style="6" bestFit="1" customWidth="1"/>
  </cols>
  <sheetData>
    <row r="1" spans="1:13" x14ac:dyDescent="0.25">
      <c r="A1" t="s">
        <v>0</v>
      </c>
      <c r="B1" s="7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1414</v>
      </c>
    </row>
    <row r="2" spans="1:13" x14ac:dyDescent="0.25">
      <c r="A2" s="1" t="s">
        <v>12</v>
      </c>
      <c r="B2" s="7">
        <v>9726</v>
      </c>
      <c r="C2" s="8">
        <v>1275</v>
      </c>
      <c r="D2">
        <v>5</v>
      </c>
      <c r="E2" s="1" t="s">
        <v>13</v>
      </c>
      <c r="F2" s="1" t="s">
        <v>14</v>
      </c>
      <c r="G2" s="1" t="s">
        <v>15</v>
      </c>
      <c r="H2" s="2">
        <v>45104</v>
      </c>
      <c r="I2" s="1" t="s">
        <v>16</v>
      </c>
      <c r="J2" s="1" t="s">
        <v>17</v>
      </c>
      <c r="K2" s="1" t="s">
        <v>18</v>
      </c>
      <c r="L2" s="2">
        <v>45078</v>
      </c>
      <c r="M2" s="6">
        <f>T_SALES[[#This Row],[Profit]]/T_SALES[[#This Row],[Amount]]</f>
        <v>0.13109191856878469</v>
      </c>
    </row>
    <row r="3" spans="1:13" x14ac:dyDescent="0.25">
      <c r="A3" s="1" t="s">
        <v>12</v>
      </c>
      <c r="B3" s="7">
        <v>9726</v>
      </c>
      <c r="C3" s="8">
        <v>1275</v>
      </c>
      <c r="D3">
        <v>5</v>
      </c>
      <c r="E3" s="1" t="s">
        <v>13</v>
      </c>
      <c r="F3" s="1" t="s">
        <v>14</v>
      </c>
      <c r="G3" s="1" t="s">
        <v>15</v>
      </c>
      <c r="H3" s="2">
        <v>45653</v>
      </c>
      <c r="I3" s="1" t="s">
        <v>19</v>
      </c>
      <c r="J3" s="1" t="s">
        <v>20</v>
      </c>
      <c r="K3" s="1" t="s">
        <v>21</v>
      </c>
      <c r="L3" s="2">
        <v>45627</v>
      </c>
      <c r="M3" s="6">
        <f>T_SALES[[#This Row],[Profit]]/T_SALES[[#This Row],[Amount]]</f>
        <v>0.13109191856878469</v>
      </c>
    </row>
    <row r="4" spans="1:13" x14ac:dyDescent="0.25">
      <c r="A4" s="1" t="s">
        <v>12</v>
      </c>
      <c r="B4" s="7">
        <v>9726</v>
      </c>
      <c r="C4" s="8">
        <v>1275</v>
      </c>
      <c r="D4">
        <v>5</v>
      </c>
      <c r="E4" s="1" t="s">
        <v>13</v>
      </c>
      <c r="F4" s="1" t="s">
        <v>14</v>
      </c>
      <c r="G4" s="1" t="s">
        <v>15</v>
      </c>
      <c r="H4" s="2">
        <v>44402</v>
      </c>
      <c r="I4" s="1" t="s">
        <v>22</v>
      </c>
      <c r="J4" s="1" t="s">
        <v>23</v>
      </c>
      <c r="K4" s="1" t="s">
        <v>24</v>
      </c>
      <c r="L4" s="2">
        <v>44378</v>
      </c>
      <c r="M4" s="6">
        <f>T_SALES[[#This Row],[Profit]]/T_SALES[[#This Row],[Amount]]</f>
        <v>0.13109191856878469</v>
      </c>
    </row>
    <row r="5" spans="1:13" x14ac:dyDescent="0.25">
      <c r="A5" s="1" t="s">
        <v>12</v>
      </c>
      <c r="B5" s="7">
        <v>4975</v>
      </c>
      <c r="C5" s="8">
        <v>1330</v>
      </c>
      <c r="D5">
        <v>14</v>
      </c>
      <c r="E5" s="1" t="s">
        <v>13</v>
      </c>
      <c r="F5" s="1" t="s">
        <v>25</v>
      </c>
      <c r="G5" s="1" t="s">
        <v>15</v>
      </c>
      <c r="H5" s="2">
        <v>45104</v>
      </c>
      <c r="I5" s="1" t="s">
        <v>16</v>
      </c>
      <c r="J5" s="1" t="s">
        <v>17</v>
      </c>
      <c r="K5" s="1" t="s">
        <v>18</v>
      </c>
      <c r="L5" s="2">
        <v>45078</v>
      </c>
      <c r="M5" s="6">
        <f>T_SALES[[#This Row],[Profit]]/T_SALES[[#This Row],[Amount]]</f>
        <v>0.26733668341708544</v>
      </c>
    </row>
    <row r="6" spans="1:13" x14ac:dyDescent="0.25">
      <c r="A6" s="1" t="s">
        <v>12</v>
      </c>
      <c r="B6" s="7">
        <v>4975</v>
      </c>
      <c r="C6" s="8">
        <v>1330</v>
      </c>
      <c r="D6">
        <v>14</v>
      </c>
      <c r="E6" s="1" t="s">
        <v>13</v>
      </c>
      <c r="F6" s="1" t="s">
        <v>25</v>
      </c>
      <c r="G6" s="1" t="s">
        <v>15</v>
      </c>
      <c r="H6" s="2">
        <v>45653</v>
      </c>
      <c r="I6" s="1" t="s">
        <v>19</v>
      </c>
      <c r="J6" s="1" t="s">
        <v>20</v>
      </c>
      <c r="K6" s="1" t="s">
        <v>21</v>
      </c>
      <c r="L6" s="2">
        <v>45627</v>
      </c>
      <c r="M6" s="6">
        <f>T_SALES[[#This Row],[Profit]]/T_SALES[[#This Row],[Amount]]</f>
        <v>0.26733668341708544</v>
      </c>
    </row>
    <row r="7" spans="1:13" x14ac:dyDescent="0.25">
      <c r="A7" s="1" t="s">
        <v>12</v>
      </c>
      <c r="B7" s="7">
        <v>4975</v>
      </c>
      <c r="C7" s="8">
        <v>1330</v>
      </c>
      <c r="D7">
        <v>14</v>
      </c>
      <c r="E7" s="1" t="s">
        <v>13</v>
      </c>
      <c r="F7" s="1" t="s">
        <v>25</v>
      </c>
      <c r="G7" s="1" t="s">
        <v>15</v>
      </c>
      <c r="H7" s="2">
        <v>44402</v>
      </c>
      <c r="I7" s="1" t="s">
        <v>22</v>
      </c>
      <c r="J7" s="1" t="s">
        <v>23</v>
      </c>
      <c r="K7" s="1" t="s">
        <v>24</v>
      </c>
      <c r="L7" s="2">
        <v>44378</v>
      </c>
      <c r="M7" s="6">
        <f>T_SALES[[#This Row],[Profit]]/T_SALES[[#This Row],[Amount]]</f>
        <v>0.26733668341708544</v>
      </c>
    </row>
    <row r="8" spans="1:13" x14ac:dyDescent="0.25">
      <c r="A8" s="1" t="s">
        <v>26</v>
      </c>
      <c r="B8" s="7">
        <v>1525</v>
      </c>
      <c r="C8" s="8">
        <v>185</v>
      </c>
      <c r="D8">
        <v>12</v>
      </c>
      <c r="E8" s="1" t="s">
        <v>27</v>
      </c>
      <c r="F8" s="1" t="s">
        <v>28</v>
      </c>
      <c r="G8" s="1" t="s">
        <v>29</v>
      </c>
      <c r="H8" s="2">
        <v>45423</v>
      </c>
      <c r="I8" s="1" t="s">
        <v>30</v>
      </c>
      <c r="J8" s="1" t="s">
        <v>17</v>
      </c>
      <c r="K8" s="1" t="s">
        <v>31</v>
      </c>
      <c r="L8" s="2">
        <v>45413</v>
      </c>
      <c r="M8" s="6">
        <f>T_SALES[[#This Row],[Profit]]/T_SALES[[#This Row],[Amount]]</f>
        <v>0.12131147540983607</v>
      </c>
    </row>
    <row r="9" spans="1:13" x14ac:dyDescent="0.25">
      <c r="A9" s="1" t="s">
        <v>26</v>
      </c>
      <c r="B9" s="7">
        <v>1525</v>
      </c>
      <c r="C9" s="8">
        <v>185</v>
      </c>
      <c r="D9">
        <v>12</v>
      </c>
      <c r="E9" s="1" t="s">
        <v>27</v>
      </c>
      <c r="F9" s="1" t="s">
        <v>28</v>
      </c>
      <c r="G9" s="1" t="s">
        <v>29</v>
      </c>
      <c r="H9" s="2">
        <v>44478</v>
      </c>
      <c r="I9" s="1" t="s">
        <v>32</v>
      </c>
      <c r="J9" s="1" t="s">
        <v>17</v>
      </c>
      <c r="K9" s="1" t="s">
        <v>18</v>
      </c>
      <c r="L9" s="2">
        <v>44470</v>
      </c>
      <c r="M9" s="6">
        <f>T_SALES[[#This Row],[Profit]]/T_SALES[[#This Row],[Amount]]</f>
        <v>0.12131147540983607</v>
      </c>
    </row>
    <row r="10" spans="1:13" x14ac:dyDescent="0.25">
      <c r="A10" s="1" t="s">
        <v>33</v>
      </c>
      <c r="B10" s="7">
        <v>883</v>
      </c>
      <c r="C10" s="8">
        <v>117</v>
      </c>
      <c r="D10">
        <v>10</v>
      </c>
      <c r="E10" s="1" t="s">
        <v>13</v>
      </c>
      <c r="F10" s="1" t="s">
        <v>34</v>
      </c>
      <c r="G10" s="1" t="s">
        <v>35</v>
      </c>
      <c r="H10" s="2">
        <v>44883</v>
      </c>
      <c r="I10" s="1" t="s">
        <v>36</v>
      </c>
      <c r="J10" s="1" t="s">
        <v>37</v>
      </c>
      <c r="K10" s="1" t="s">
        <v>38</v>
      </c>
      <c r="L10" s="2">
        <v>44866</v>
      </c>
      <c r="M10" s="6">
        <f>T_SALES[[#This Row],[Profit]]/T_SALES[[#This Row],[Amount]]</f>
        <v>0.13250283125707815</v>
      </c>
    </row>
    <row r="11" spans="1:13" x14ac:dyDescent="0.25">
      <c r="A11" s="1" t="s">
        <v>33</v>
      </c>
      <c r="B11" s="7">
        <v>8127</v>
      </c>
      <c r="C11" s="8">
        <v>3551</v>
      </c>
      <c r="D11">
        <v>16</v>
      </c>
      <c r="E11" s="1" t="s">
        <v>39</v>
      </c>
      <c r="F11" s="1" t="s">
        <v>40</v>
      </c>
      <c r="G11" s="1" t="s">
        <v>41</v>
      </c>
      <c r="H11" s="2">
        <v>44883</v>
      </c>
      <c r="I11" s="1" t="s">
        <v>36</v>
      </c>
      <c r="J11" s="1" t="s">
        <v>37</v>
      </c>
      <c r="K11" s="1" t="s">
        <v>38</v>
      </c>
      <c r="L11" s="2">
        <v>44866</v>
      </c>
      <c r="M11" s="6">
        <f>T_SALES[[#This Row],[Profit]]/T_SALES[[#This Row],[Amount]]</f>
        <v>0.43693859972929738</v>
      </c>
    </row>
    <row r="12" spans="1:13" x14ac:dyDescent="0.25">
      <c r="A12" s="1" t="s">
        <v>42</v>
      </c>
      <c r="B12" s="7">
        <v>2516</v>
      </c>
      <c r="C12" s="8">
        <v>734</v>
      </c>
      <c r="D12">
        <v>19</v>
      </c>
      <c r="E12" s="1" t="s">
        <v>39</v>
      </c>
      <c r="F12" s="1" t="s">
        <v>43</v>
      </c>
      <c r="G12" s="1" t="s">
        <v>15</v>
      </c>
      <c r="H12" s="2">
        <v>45242</v>
      </c>
      <c r="I12" s="1" t="s">
        <v>44</v>
      </c>
      <c r="J12" s="1" t="s">
        <v>23</v>
      </c>
      <c r="K12" s="1" t="s">
        <v>45</v>
      </c>
      <c r="L12" s="2">
        <v>45231</v>
      </c>
      <c r="M12" s="6">
        <f>T_SALES[[#This Row],[Profit]]/T_SALES[[#This Row],[Amount]]</f>
        <v>0.29173290937996821</v>
      </c>
    </row>
    <row r="13" spans="1:13" x14ac:dyDescent="0.25">
      <c r="A13" s="1" t="s">
        <v>46</v>
      </c>
      <c r="B13" s="7">
        <v>2975</v>
      </c>
      <c r="C13" s="8">
        <v>462</v>
      </c>
      <c r="D13">
        <v>14</v>
      </c>
      <c r="E13" s="1" t="s">
        <v>27</v>
      </c>
      <c r="F13" s="1" t="s">
        <v>28</v>
      </c>
      <c r="G13" s="1" t="s">
        <v>41</v>
      </c>
      <c r="H13" s="2">
        <v>43913</v>
      </c>
      <c r="I13" s="1" t="s">
        <v>47</v>
      </c>
      <c r="J13" s="1" t="s">
        <v>23</v>
      </c>
      <c r="K13" s="1" t="s">
        <v>45</v>
      </c>
      <c r="L13" s="2">
        <v>43891</v>
      </c>
      <c r="M13" s="6">
        <f>T_SALES[[#This Row],[Profit]]/T_SALES[[#This Row],[Amount]]</f>
        <v>0.15529411764705883</v>
      </c>
    </row>
    <row r="14" spans="1:13" x14ac:dyDescent="0.25">
      <c r="A14" s="1" t="s">
        <v>48</v>
      </c>
      <c r="B14" s="7">
        <v>6851</v>
      </c>
      <c r="C14" s="8">
        <v>2812</v>
      </c>
      <c r="D14">
        <v>1</v>
      </c>
      <c r="E14" s="1" t="s">
        <v>27</v>
      </c>
      <c r="F14" s="1" t="s">
        <v>49</v>
      </c>
      <c r="G14" s="1" t="s">
        <v>29</v>
      </c>
      <c r="H14" s="2">
        <v>43955</v>
      </c>
      <c r="I14" s="1" t="s">
        <v>50</v>
      </c>
      <c r="J14" s="1" t="s">
        <v>17</v>
      </c>
      <c r="K14" s="1" t="s">
        <v>31</v>
      </c>
      <c r="L14" s="2">
        <v>43952</v>
      </c>
      <c r="M14" s="6">
        <f>T_SALES[[#This Row],[Profit]]/T_SALES[[#This Row],[Amount]]</f>
        <v>0.41045102904685449</v>
      </c>
    </row>
    <row r="15" spans="1:13" x14ac:dyDescent="0.25">
      <c r="A15" s="1" t="s">
        <v>48</v>
      </c>
      <c r="B15" s="7">
        <v>7626</v>
      </c>
      <c r="C15" s="8">
        <v>1046</v>
      </c>
      <c r="D15">
        <v>15</v>
      </c>
      <c r="E15" s="1" t="s">
        <v>39</v>
      </c>
      <c r="F15" s="1" t="s">
        <v>51</v>
      </c>
      <c r="G15" s="1" t="s">
        <v>41</v>
      </c>
      <c r="H15" s="2">
        <v>43955</v>
      </c>
      <c r="I15" s="1" t="s">
        <v>50</v>
      </c>
      <c r="J15" s="1" t="s">
        <v>17</v>
      </c>
      <c r="K15" s="1" t="s">
        <v>31</v>
      </c>
      <c r="L15" s="2">
        <v>43952</v>
      </c>
      <c r="M15" s="6">
        <f>T_SALES[[#This Row],[Profit]]/T_SALES[[#This Row],[Amount]]</f>
        <v>0.13716233936532915</v>
      </c>
    </row>
    <row r="16" spans="1:13" x14ac:dyDescent="0.25">
      <c r="A16" s="1" t="s">
        <v>48</v>
      </c>
      <c r="B16" s="7">
        <v>1023</v>
      </c>
      <c r="C16" s="8">
        <v>78</v>
      </c>
      <c r="D16">
        <v>9</v>
      </c>
      <c r="E16" s="1" t="s">
        <v>39</v>
      </c>
      <c r="F16" s="1" t="s">
        <v>40</v>
      </c>
      <c r="G16" s="1" t="s">
        <v>15</v>
      </c>
      <c r="H16" s="2">
        <v>43955</v>
      </c>
      <c r="I16" s="1" t="s">
        <v>50</v>
      </c>
      <c r="J16" s="1" t="s">
        <v>17</v>
      </c>
      <c r="K16" s="1" t="s">
        <v>31</v>
      </c>
      <c r="L16" s="2">
        <v>43952</v>
      </c>
      <c r="M16" s="6">
        <f>T_SALES[[#This Row],[Profit]]/T_SALES[[#This Row],[Amount]]</f>
        <v>7.6246334310850442E-2</v>
      </c>
    </row>
    <row r="17" spans="1:13" x14ac:dyDescent="0.25">
      <c r="A17" s="1" t="s">
        <v>52</v>
      </c>
      <c r="B17" s="7">
        <v>7600</v>
      </c>
      <c r="C17" s="8">
        <v>1098</v>
      </c>
      <c r="D17">
        <v>10</v>
      </c>
      <c r="E17" s="1" t="s">
        <v>27</v>
      </c>
      <c r="F17" s="1" t="s">
        <v>28</v>
      </c>
      <c r="G17" s="1" t="s">
        <v>15</v>
      </c>
      <c r="H17" s="2">
        <v>45239</v>
      </c>
      <c r="I17" s="1" t="s">
        <v>53</v>
      </c>
      <c r="J17" s="1" t="s">
        <v>20</v>
      </c>
      <c r="K17" s="1" t="s">
        <v>54</v>
      </c>
      <c r="L17" s="2">
        <v>45231</v>
      </c>
      <c r="M17" s="6">
        <f>T_SALES[[#This Row],[Profit]]/T_SALES[[#This Row],[Amount]]</f>
        <v>0.14447368421052631</v>
      </c>
    </row>
    <row r="18" spans="1:13" x14ac:dyDescent="0.25">
      <c r="A18" s="1" t="s">
        <v>52</v>
      </c>
      <c r="B18" s="7">
        <v>7501</v>
      </c>
      <c r="C18" s="8">
        <v>262</v>
      </c>
      <c r="D18">
        <v>18</v>
      </c>
      <c r="E18" s="1" t="s">
        <v>27</v>
      </c>
      <c r="F18" s="1" t="s">
        <v>55</v>
      </c>
      <c r="G18" s="1" t="s">
        <v>56</v>
      </c>
      <c r="H18" s="2">
        <v>45239</v>
      </c>
      <c r="I18" s="1" t="s">
        <v>53</v>
      </c>
      <c r="J18" s="1" t="s">
        <v>20</v>
      </c>
      <c r="K18" s="1" t="s">
        <v>54</v>
      </c>
      <c r="L18" s="2">
        <v>45231</v>
      </c>
      <c r="M18" s="6">
        <f>T_SALES[[#This Row],[Profit]]/T_SALES[[#This Row],[Amount]]</f>
        <v>3.4928676176509799E-2</v>
      </c>
    </row>
    <row r="19" spans="1:13" x14ac:dyDescent="0.25">
      <c r="A19" s="1" t="s">
        <v>57</v>
      </c>
      <c r="B19" s="7">
        <v>725</v>
      </c>
      <c r="C19" s="8">
        <v>133</v>
      </c>
      <c r="D19">
        <v>6</v>
      </c>
      <c r="E19" s="1" t="s">
        <v>27</v>
      </c>
      <c r="F19" s="1" t="s">
        <v>55</v>
      </c>
      <c r="G19" s="1" t="s">
        <v>41</v>
      </c>
      <c r="H19" s="2">
        <v>45656</v>
      </c>
      <c r="I19" s="1" t="s">
        <v>58</v>
      </c>
      <c r="J19" s="1" t="s">
        <v>23</v>
      </c>
      <c r="K19" s="1" t="s">
        <v>59</v>
      </c>
      <c r="L19" s="2">
        <v>45627</v>
      </c>
      <c r="M19" s="6">
        <f>T_SALES[[#This Row],[Profit]]/T_SALES[[#This Row],[Amount]]</f>
        <v>0.18344827586206897</v>
      </c>
    </row>
    <row r="20" spans="1:13" x14ac:dyDescent="0.25">
      <c r="A20" s="1" t="s">
        <v>57</v>
      </c>
      <c r="B20" s="7">
        <v>7201</v>
      </c>
      <c r="C20" s="8">
        <v>2685</v>
      </c>
      <c r="D20">
        <v>2</v>
      </c>
      <c r="E20" s="1" t="s">
        <v>39</v>
      </c>
      <c r="F20" s="1" t="s">
        <v>40</v>
      </c>
      <c r="G20" s="1" t="s">
        <v>41</v>
      </c>
      <c r="H20" s="2">
        <v>45656</v>
      </c>
      <c r="I20" s="1" t="s">
        <v>58</v>
      </c>
      <c r="J20" s="1" t="s">
        <v>23</v>
      </c>
      <c r="K20" s="1" t="s">
        <v>59</v>
      </c>
      <c r="L20" s="2">
        <v>45627</v>
      </c>
      <c r="M20" s="6">
        <f>T_SALES[[#This Row],[Profit]]/T_SALES[[#This Row],[Amount]]</f>
        <v>0.37286487987779476</v>
      </c>
    </row>
    <row r="21" spans="1:13" x14ac:dyDescent="0.25">
      <c r="A21" s="1" t="s">
        <v>60</v>
      </c>
      <c r="B21" s="7">
        <v>1629</v>
      </c>
      <c r="C21" s="8">
        <v>265</v>
      </c>
      <c r="D21">
        <v>1</v>
      </c>
      <c r="E21" s="1" t="s">
        <v>27</v>
      </c>
      <c r="F21" s="1" t="s">
        <v>55</v>
      </c>
      <c r="G21" s="1" t="s">
        <v>15</v>
      </c>
      <c r="H21" s="2">
        <v>45699</v>
      </c>
      <c r="I21" s="1" t="s">
        <v>61</v>
      </c>
      <c r="J21" s="1" t="s">
        <v>62</v>
      </c>
      <c r="K21" s="1" t="s">
        <v>63</v>
      </c>
      <c r="L21" s="2">
        <v>45689</v>
      </c>
      <c r="M21" s="6">
        <f>T_SALES[[#This Row],[Profit]]/T_SALES[[#This Row],[Amount]]</f>
        <v>0.16267648864333947</v>
      </c>
    </row>
    <row r="22" spans="1:13" x14ac:dyDescent="0.25">
      <c r="A22" s="1" t="s">
        <v>60</v>
      </c>
      <c r="B22" s="7">
        <v>1629</v>
      </c>
      <c r="C22" s="8">
        <v>265</v>
      </c>
      <c r="D22">
        <v>1</v>
      </c>
      <c r="E22" s="1" t="s">
        <v>27</v>
      </c>
      <c r="F22" s="1" t="s">
        <v>55</v>
      </c>
      <c r="G22" s="1" t="s">
        <v>15</v>
      </c>
      <c r="H22" s="2">
        <v>45314</v>
      </c>
      <c r="I22" s="1" t="s">
        <v>64</v>
      </c>
      <c r="J22" s="1" t="s">
        <v>37</v>
      </c>
      <c r="K22" s="1" t="s">
        <v>65</v>
      </c>
      <c r="L22" s="2">
        <v>45292</v>
      </c>
      <c r="M22" s="6">
        <f>T_SALES[[#This Row],[Profit]]/T_SALES[[#This Row],[Amount]]</f>
        <v>0.16267648864333947</v>
      </c>
    </row>
    <row r="23" spans="1:13" x14ac:dyDescent="0.25">
      <c r="A23" s="1" t="s">
        <v>66</v>
      </c>
      <c r="B23" s="7">
        <v>8971</v>
      </c>
      <c r="C23" s="8">
        <v>2971</v>
      </c>
      <c r="D23">
        <v>19</v>
      </c>
      <c r="E23" s="1" t="s">
        <v>27</v>
      </c>
      <c r="F23" s="1" t="s">
        <v>67</v>
      </c>
      <c r="G23" s="1" t="s">
        <v>29</v>
      </c>
      <c r="H23" s="2">
        <v>44163</v>
      </c>
      <c r="I23" s="1" t="s">
        <v>68</v>
      </c>
      <c r="J23" s="1" t="s">
        <v>37</v>
      </c>
      <c r="K23" s="1" t="s">
        <v>65</v>
      </c>
      <c r="L23" s="2">
        <v>44136</v>
      </c>
      <c r="M23" s="6">
        <f>T_SALES[[#This Row],[Profit]]/T_SALES[[#This Row],[Amount]]</f>
        <v>0.33117824099877385</v>
      </c>
    </row>
    <row r="24" spans="1:13" x14ac:dyDescent="0.25">
      <c r="A24" s="1" t="s">
        <v>66</v>
      </c>
      <c r="B24" s="7">
        <v>2939</v>
      </c>
      <c r="C24" s="8">
        <v>894</v>
      </c>
      <c r="D24">
        <v>20</v>
      </c>
      <c r="E24" s="1" t="s">
        <v>27</v>
      </c>
      <c r="F24" s="1" t="s">
        <v>67</v>
      </c>
      <c r="G24" s="1" t="s">
        <v>56</v>
      </c>
      <c r="H24" s="2">
        <v>44163</v>
      </c>
      <c r="I24" s="1" t="s">
        <v>68</v>
      </c>
      <c r="J24" s="1" t="s">
        <v>37</v>
      </c>
      <c r="K24" s="1" t="s">
        <v>65</v>
      </c>
      <c r="L24" s="2">
        <v>44136</v>
      </c>
      <c r="M24" s="6">
        <f>T_SALES[[#This Row],[Profit]]/T_SALES[[#This Row],[Amount]]</f>
        <v>0.30418509697175911</v>
      </c>
    </row>
    <row r="25" spans="1:13" x14ac:dyDescent="0.25">
      <c r="A25" s="1" t="s">
        <v>69</v>
      </c>
      <c r="B25" s="7">
        <v>9380</v>
      </c>
      <c r="C25" s="8">
        <v>414</v>
      </c>
      <c r="D25">
        <v>11</v>
      </c>
      <c r="E25" s="1" t="s">
        <v>13</v>
      </c>
      <c r="F25" s="1" t="s">
        <v>70</v>
      </c>
      <c r="G25" s="1" t="s">
        <v>15</v>
      </c>
      <c r="H25" s="2">
        <v>45442</v>
      </c>
      <c r="I25" s="1" t="s">
        <v>71</v>
      </c>
      <c r="J25" s="1" t="s">
        <v>23</v>
      </c>
      <c r="K25" s="1" t="s">
        <v>59</v>
      </c>
      <c r="L25" s="2">
        <v>45413</v>
      </c>
      <c r="M25" s="6">
        <f>T_SALES[[#This Row],[Profit]]/T_SALES[[#This Row],[Amount]]</f>
        <v>4.4136460554371003E-2</v>
      </c>
    </row>
    <row r="26" spans="1:13" x14ac:dyDescent="0.25">
      <c r="A26" s="1" t="s">
        <v>69</v>
      </c>
      <c r="B26" s="7">
        <v>8558</v>
      </c>
      <c r="C26" s="8">
        <v>1644</v>
      </c>
      <c r="D26">
        <v>18</v>
      </c>
      <c r="E26" s="1" t="s">
        <v>27</v>
      </c>
      <c r="F26" s="1" t="s">
        <v>67</v>
      </c>
      <c r="G26" s="1" t="s">
        <v>41</v>
      </c>
      <c r="H26" s="2">
        <v>45442</v>
      </c>
      <c r="I26" s="1" t="s">
        <v>71</v>
      </c>
      <c r="J26" s="1" t="s">
        <v>23</v>
      </c>
      <c r="K26" s="1" t="s">
        <v>59</v>
      </c>
      <c r="L26" s="2">
        <v>45413</v>
      </c>
      <c r="M26" s="6">
        <f>T_SALES[[#This Row],[Profit]]/T_SALES[[#This Row],[Amount]]</f>
        <v>0.19210095816779621</v>
      </c>
    </row>
    <row r="27" spans="1:13" x14ac:dyDescent="0.25">
      <c r="A27" s="1" t="s">
        <v>69</v>
      </c>
      <c r="B27" s="7">
        <v>4080</v>
      </c>
      <c r="C27" s="8">
        <v>72</v>
      </c>
      <c r="D27">
        <v>17</v>
      </c>
      <c r="E27" s="1" t="s">
        <v>27</v>
      </c>
      <c r="F27" s="1" t="s">
        <v>55</v>
      </c>
      <c r="G27" s="1" t="s">
        <v>56</v>
      </c>
      <c r="H27" s="2">
        <v>45442</v>
      </c>
      <c r="I27" s="1" t="s">
        <v>71</v>
      </c>
      <c r="J27" s="1" t="s">
        <v>23</v>
      </c>
      <c r="K27" s="1" t="s">
        <v>59</v>
      </c>
      <c r="L27" s="2">
        <v>45413</v>
      </c>
      <c r="M27" s="6">
        <f>T_SALES[[#This Row],[Profit]]/T_SALES[[#This Row],[Amount]]</f>
        <v>1.7647058823529412E-2</v>
      </c>
    </row>
    <row r="28" spans="1:13" x14ac:dyDescent="0.25">
      <c r="A28" s="1" t="s">
        <v>72</v>
      </c>
      <c r="B28" s="7">
        <v>4206</v>
      </c>
      <c r="C28" s="8">
        <v>1821</v>
      </c>
      <c r="D28">
        <v>17</v>
      </c>
      <c r="E28" s="1" t="s">
        <v>13</v>
      </c>
      <c r="F28" s="1" t="s">
        <v>14</v>
      </c>
      <c r="G28" s="1" t="s">
        <v>35</v>
      </c>
      <c r="H28" s="2">
        <v>44584</v>
      </c>
      <c r="I28" s="1" t="s">
        <v>73</v>
      </c>
      <c r="J28" s="1" t="s">
        <v>62</v>
      </c>
      <c r="K28" s="1" t="s">
        <v>74</v>
      </c>
      <c r="L28" s="2">
        <v>44562</v>
      </c>
      <c r="M28" s="6">
        <f>T_SALES[[#This Row],[Profit]]/T_SALES[[#This Row],[Amount]]</f>
        <v>0.43295292439372324</v>
      </c>
    </row>
    <row r="29" spans="1:13" x14ac:dyDescent="0.25">
      <c r="A29" s="1" t="s">
        <v>75</v>
      </c>
      <c r="B29" s="7">
        <v>5219</v>
      </c>
      <c r="C29" s="8">
        <v>1180</v>
      </c>
      <c r="D29">
        <v>20</v>
      </c>
      <c r="E29" s="1" t="s">
        <v>27</v>
      </c>
      <c r="F29" s="1" t="s">
        <v>67</v>
      </c>
      <c r="G29" s="1" t="s">
        <v>56</v>
      </c>
      <c r="H29" s="2">
        <v>44547</v>
      </c>
      <c r="I29" s="1" t="s">
        <v>76</v>
      </c>
      <c r="J29" s="1" t="s">
        <v>23</v>
      </c>
      <c r="K29" s="1" t="s">
        <v>45</v>
      </c>
      <c r="L29" s="2">
        <v>44531</v>
      </c>
      <c r="M29" s="6">
        <f>T_SALES[[#This Row],[Profit]]/T_SALES[[#This Row],[Amount]]</f>
        <v>0.22609695343935621</v>
      </c>
    </row>
    <row r="30" spans="1:13" x14ac:dyDescent="0.25">
      <c r="A30" s="1" t="s">
        <v>75</v>
      </c>
      <c r="B30" s="7">
        <v>5219</v>
      </c>
      <c r="C30" s="8">
        <v>1180</v>
      </c>
      <c r="D30">
        <v>20</v>
      </c>
      <c r="E30" s="1" t="s">
        <v>27</v>
      </c>
      <c r="F30" s="1" t="s">
        <v>67</v>
      </c>
      <c r="G30" s="1" t="s">
        <v>56</v>
      </c>
      <c r="H30" s="2">
        <v>44960</v>
      </c>
      <c r="I30" s="1" t="s">
        <v>77</v>
      </c>
      <c r="J30" s="1" t="s">
        <v>37</v>
      </c>
      <c r="K30" s="1" t="s">
        <v>78</v>
      </c>
      <c r="L30" s="2">
        <v>44958</v>
      </c>
      <c r="M30" s="6">
        <f>T_SALES[[#This Row],[Profit]]/T_SALES[[#This Row],[Amount]]</f>
        <v>0.22609695343935621</v>
      </c>
    </row>
    <row r="31" spans="1:13" x14ac:dyDescent="0.25">
      <c r="A31" s="1" t="s">
        <v>79</v>
      </c>
      <c r="B31" s="7">
        <v>3686</v>
      </c>
      <c r="C31" s="8">
        <v>760</v>
      </c>
      <c r="D31">
        <v>20</v>
      </c>
      <c r="E31" s="1" t="s">
        <v>27</v>
      </c>
      <c r="F31" s="1" t="s">
        <v>28</v>
      </c>
      <c r="G31" s="1" t="s">
        <v>29</v>
      </c>
      <c r="H31" s="2">
        <v>44864</v>
      </c>
      <c r="I31" s="1" t="s">
        <v>80</v>
      </c>
      <c r="J31" s="1" t="s">
        <v>37</v>
      </c>
      <c r="K31" s="1" t="s">
        <v>78</v>
      </c>
      <c r="L31" s="2">
        <v>44835</v>
      </c>
      <c r="M31" s="6">
        <f>T_SALES[[#This Row],[Profit]]/T_SALES[[#This Row],[Amount]]</f>
        <v>0.20618556701030927</v>
      </c>
    </row>
    <row r="32" spans="1:13" x14ac:dyDescent="0.25">
      <c r="A32" s="1" t="s">
        <v>79</v>
      </c>
      <c r="B32" s="7">
        <v>3686</v>
      </c>
      <c r="C32" s="8">
        <v>760</v>
      </c>
      <c r="D32">
        <v>20</v>
      </c>
      <c r="E32" s="1" t="s">
        <v>27</v>
      </c>
      <c r="F32" s="1" t="s">
        <v>28</v>
      </c>
      <c r="G32" s="1" t="s">
        <v>29</v>
      </c>
      <c r="H32" s="2">
        <v>44576</v>
      </c>
      <c r="I32" s="1" t="s">
        <v>81</v>
      </c>
      <c r="J32" s="1" t="s">
        <v>82</v>
      </c>
      <c r="K32" s="1" t="s">
        <v>83</v>
      </c>
      <c r="L32" s="2">
        <v>44562</v>
      </c>
      <c r="M32" s="6">
        <f>T_SALES[[#This Row],[Profit]]/T_SALES[[#This Row],[Amount]]</f>
        <v>0.20618556701030927</v>
      </c>
    </row>
    <row r="33" spans="1:13" x14ac:dyDescent="0.25">
      <c r="A33" s="1" t="s">
        <v>84</v>
      </c>
      <c r="B33" s="7">
        <v>6045</v>
      </c>
      <c r="C33" s="8">
        <v>1606</v>
      </c>
      <c r="D33">
        <v>4</v>
      </c>
      <c r="E33" s="1" t="s">
        <v>27</v>
      </c>
      <c r="F33" s="1" t="s">
        <v>55</v>
      </c>
      <c r="G33" s="1" t="s">
        <v>56</v>
      </c>
      <c r="H33" s="2">
        <v>45274</v>
      </c>
      <c r="I33" s="1" t="s">
        <v>85</v>
      </c>
      <c r="J33" s="1" t="s">
        <v>17</v>
      </c>
      <c r="K33" s="1" t="s">
        <v>31</v>
      </c>
      <c r="L33" s="2">
        <v>45261</v>
      </c>
      <c r="M33" s="6">
        <f>T_SALES[[#This Row],[Profit]]/T_SALES[[#This Row],[Amount]]</f>
        <v>0.26567411083540116</v>
      </c>
    </row>
    <row r="34" spans="1:13" x14ac:dyDescent="0.25">
      <c r="A34" s="1" t="s">
        <v>84</v>
      </c>
      <c r="B34" s="7">
        <v>9337</v>
      </c>
      <c r="C34" s="8">
        <v>554</v>
      </c>
      <c r="D34">
        <v>11</v>
      </c>
      <c r="E34" s="1" t="s">
        <v>27</v>
      </c>
      <c r="F34" s="1" t="s">
        <v>28</v>
      </c>
      <c r="G34" s="1" t="s">
        <v>56</v>
      </c>
      <c r="H34" s="2">
        <v>45274</v>
      </c>
      <c r="I34" s="1" t="s">
        <v>85</v>
      </c>
      <c r="J34" s="1" t="s">
        <v>17</v>
      </c>
      <c r="K34" s="1" t="s">
        <v>31</v>
      </c>
      <c r="L34" s="2">
        <v>45261</v>
      </c>
      <c r="M34" s="6">
        <f>T_SALES[[#This Row],[Profit]]/T_SALES[[#This Row],[Amount]]</f>
        <v>5.9333833136981901E-2</v>
      </c>
    </row>
    <row r="35" spans="1:13" x14ac:dyDescent="0.25">
      <c r="A35" s="1" t="s">
        <v>86</v>
      </c>
      <c r="B35" s="7">
        <v>4051</v>
      </c>
      <c r="C35" s="8">
        <v>1848</v>
      </c>
      <c r="D35">
        <v>12</v>
      </c>
      <c r="E35" s="1" t="s">
        <v>13</v>
      </c>
      <c r="F35" s="1" t="s">
        <v>70</v>
      </c>
      <c r="G35" s="1" t="s">
        <v>41</v>
      </c>
      <c r="H35" s="2">
        <v>45110</v>
      </c>
      <c r="I35" s="1" t="s">
        <v>87</v>
      </c>
      <c r="J35" s="1" t="s">
        <v>37</v>
      </c>
      <c r="K35" s="1" t="s">
        <v>65</v>
      </c>
      <c r="L35" s="2">
        <v>45108</v>
      </c>
      <c r="M35" s="6">
        <f>T_SALES[[#This Row],[Profit]]/T_SALES[[#This Row],[Amount]]</f>
        <v>0.45618365835596147</v>
      </c>
    </row>
    <row r="36" spans="1:13" x14ac:dyDescent="0.25">
      <c r="A36" s="1" t="s">
        <v>86</v>
      </c>
      <c r="B36" s="7">
        <v>4051</v>
      </c>
      <c r="C36" s="8">
        <v>1848</v>
      </c>
      <c r="D36">
        <v>12</v>
      </c>
      <c r="E36" s="1" t="s">
        <v>13</v>
      </c>
      <c r="F36" s="1" t="s">
        <v>70</v>
      </c>
      <c r="G36" s="1" t="s">
        <v>41</v>
      </c>
      <c r="H36" s="2">
        <v>44324</v>
      </c>
      <c r="I36" s="1" t="s">
        <v>88</v>
      </c>
      <c r="J36" s="1" t="s">
        <v>82</v>
      </c>
      <c r="K36" s="1" t="s">
        <v>89</v>
      </c>
      <c r="L36" s="2">
        <v>44317</v>
      </c>
      <c r="M36" s="6">
        <f>T_SALES[[#This Row],[Profit]]/T_SALES[[#This Row],[Amount]]</f>
        <v>0.45618365835596147</v>
      </c>
    </row>
    <row r="37" spans="1:13" x14ac:dyDescent="0.25">
      <c r="A37" s="1" t="s">
        <v>86</v>
      </c>
      <c r="B37" s="7">
        <v>5011</v>
      </c>
      <c r="C37" s="8">
        <v>866</v>
      </c>
      <c r="D37">
        <v>11</v>
      </c>
      <c r="E37" s="1" t="s">
        <v>39</v>
      </c>
      <c r="F37" s="1" t="s">
        <v>90</v>
      </c>
      <c r="G37" s="1" t="s">
        <v>41</v>
      </c>
      <c r="H37" s="2">
        <v>45110</v>
      </c>
      <c r="I37" s="1" t="s">
        <v>87</v>
      </c>
      <c r="J37" s="1" t="s">
        <v>37</v>
      </c>
      <c r="K37" s="1" t="s">
        <v>65</v>
      </c>
      <c r="L37" s="2">
        <v>45108</v>
      </c>
      <c r="M37" s="6">
        <f>T_SALES[[#This Row],[Profit]]/T_SALES[[#This Row],[Amount]]</f>
        <v>0.17281979644781481</v>
      </c>
    </row>
    <row r="38" spans="1:13" x14ac:dyDescent="0.25">
      <c r="A38" s="1" t="s">
        <v>86</v>
      </c>
      <c r="B38" s="7">
        <v>5011</v>
      </c>
      <c r="C38" s="8">
        <v>866</v>
      </c>
      <c r="D38">
        <v>11</v>
      </c>
      <c r="E38" s="1" t="s">
        <v>39</v>
      </c>
      <c r="F38" s="1" t="s">
        <v>90</v>
      </c>
      <c r="G38" s="1" t="s">
        <v>41</v>
      </c>
      <c r="H38" s="2">
        <v>44324</v>
      </c>
      <c r="I38" s="1" t="s">
        <v>88</v>
      </c>
      <c r="J38" s="1" t="s">
        <v>82</v>
      </c>
      <c r="K38" s="1" t="s">
        <v>89</v>
      </c>
      <c r="L38" s="2">
        <v>44317</v>
      </c>
      <c r="M38" s="6">
        <f>T_SALES[[#This Row],[Profit]]/T_SALES[[#This Row],[Amount]]</f>
        <v>0.17281979644781481</v>
      </c>
    </row>
    <row r="39" spans="1:13" x14ac:dyDescent="0.25">
      <c r="A39" s="1" t="s">
        <v>91</v>
      </c>
      <c r="B39" s="7">
        <v>3958</v>
      </c>
      <c r="C39" s="8">
        <v>630</v>
      </c>
      <c r="D39">
        <v>15</v>
      </c>
      <c r="E39" s="1" t="s">
        <v>39</v>
      </c>
      <c r="F39" s="1" t="s">
        <v>51</v>
      </c>
      <c r="G39" s="1" t="s">
        <v>35</v>
      </c>
      <c r="H39" s="2">
        <v>44841</v>
      </c>
      <c r="I39" s="1" t="s">
        <v>92</v>
      </c>
      <c r="J39" s="1" t="s">
        <v>17</v>
      </c>
      <c r="K39" s="1" t="s">
        <v>31</v>
      </c>
      <c r="L39" s="2">
        <v>44835</v>
      </c>
      <c r="M39" s="6">
        <f>T_SALES[[#This Row],[Profit]]/T_SALES[[#This Row],[Amount]]</f>
        <v>0.15917129863567459</v>
      </c>
    </row>
    <row r="40" spans="1:13" x14ac:dyDescent="0.25">
      <c r="A40" s="1" t="s">
        <v>91</v>
      </c>
      <c r="B40" s="7">
        <v>3132</v>
      </c>
      <c r="C40" s="8">
        <v>963</v>
      </c>
      <c r="D40">
        <v>1</v>
      </c>
      <c r="E40" s="1" t="s">
        <v>39</v>
      </c>
      <c r="F40" s="1" t="s">
        <v>40</v>
      </c>
      <c r="G40" s="1" t="s">
        <v>29</v>
      </c>
      <c r="H40" s="2">
        <v>44841</v>
      </c>
      <c r="I40" s="1" t="s">
        <v>92</v>
      </c>
      <c r="J40" s="1" t="s">
        <v>17</v>
      </c>
      <c r="K40" s="1" t="s">
        <v>31</v>
      </c>
      <c r="L40" s="2">
        <v>44835</v>
      </c>
      <c r="M40" s="6">
        <f>T_SALES[[#This Row],[Profit]]/T_SALES[[#This Row],[Amount]]</f>
        <v>0.30747126436781608</v>
      </c>
    </row>
    <row r="41" spans="1:13" x14ac:dyDescent="0.25">
      <c r="A41" s="1" t="s">
        <v>93</v>
      </c>
      <c r="B41" s="7">
        <v>7784</v>
      </c>
      <c r="C41" s="8">
        <v>2937</v>
      </c>
      <c r="D41">
        <v>12</v>
      </c>
      <c r="E41" s="1" t="s">
        <v>27</v>
      </c>
      <c r="F41" s="1" t="s">
        <v>49</v>
      </c>
      <c r="G41" s="1" t="s">
        <v>15</v>
      </c>
      <c r="H41" s="2">
        <v>45510</v>
      </c>
      <c r="I41" s="1" t="s">
        <v>94</v>
      </c>
      <c r="J41" s="1" t="s">
        <v>37</v>
      </c>
      <c r="K41" s="1" t="s">
        <v>78</v>
      </c>
      <c r="L41" s="2">
        <v>45505</v>
      </c>
      <c r="M41" s="6">
        <f>T_SALES[[#This Row],[Profit]]/T_SALES[[#This Row],[Amount]]</f>
        <v>0.37731243576567319</v>
      </c>
    </row>
    <row r="42" spans="1:13" x14ac:dyDescent="0.25">
      <c r="A42" s="1" t="s">
        <v>93</v>
      </c>
      <c r="B42" s="7">
        <v>5591</v>
      </c>
      <c r="C42" s="8">
        <v>1696</v>
      </c>
      <c r="D42">
        <v>3</v>
      </c>
      <c r="E42" s="1" t="s">
        <v>27</v>
      </c>
      <c r="F42" s="1" t="s">
        <v>28</v>
      </c>
      <c r="G42" s="1" t="s">
        <v>56</v>
      </c>
      <c r="H42" s="2">
        <v>45510</v>
      </c>
      <c r="I42" s="1" t="s">
        <v>94</v>
      </c>
      <c r="J42" s="1" t="s">
        <v>37</v>
      </c>
      <c r="K42" s="1" t="s">
        <v>78</v>
      </c>
      <c r="L42" s="2">
        <v>45505</v>
      </c>
      <c r="M42" s="6">
        <f>T_SALES[[#This Row],[Profit]]/T_SALES[[#This Row],[Amount]]</f>
        <v>0.30334466106242175</v>
      </c>
    </row>
    <row r="43" spans="1:13" x14ac:dyDescent="0.25">
      <c r="A43" s="1" t="s">
        <v>93</v>
      </c>
      <c r="B43" s="7">
        <v>5122</v>
      </c>
      <c r="C43" s="8">
        <v>2413</v>
      </c>
      <c r="D43">
        <v>12</v>
      </c>
      <c r="E43" s="1" t="s">
        <v>13</v>
      </c>
      <c r="F43" s="1" t="s">
        <v>14</v>
      </c>
      <c r="G43" s="1" t="s">
        <v>56</v>
      </c>
      <c r="H43" s="2">
        <v>45510</v>
      </c>
      <c r="I43" s="1" t="s">
        <v>94</v>
      </c>
      <c r="J43" s="1" t="s">
        <v>37</v>
      </c>
      <c r="K43" s="1" t="s">
        <v>78</v>
      </c>
      <c r="L43" s="2">
        <v>45505</v>
      </c>
      <c r="M43" s="6">
        <f>T_SALES[[#This Row],[Profit]]/T_SALES[[#This Row],[Amount]]</f>
        <v>0.47110503709488483</v>
      </c>
    </row>
    <row r="44" spans="1:13" x14ac:dyDescent="0.25">
      <c r="A44" s="1" t="s">
        <v>95</v>
      </c>
      <c r="B44" s="7">
        <v>8293</v>
      </c>
      <c r="C44" s="8">
        <v>2632</v>
      </c>
      <c r="D44">
        <v>8</v>
      </c>
      <c r="E44" s="1" t="s">
        <v>27</v>
      </c>
      <c r="F44" s="1" t="s">
        <v>67</v>
      </c>
      <c r="G44" s="1" t="s">
        <v>56</v>
      </c>
      <c r="H44" s="2">
        <v>44566</v>
      </c>
      <c r="I44" s="1" t="s">
        <v>96</v>
      </c>
      <c r="J44" s="1" t="s">
        <v>82</v>
      </c>
      <c r="K44" s="1" t="s">
        <v>97</v>
      </c>
      <c r="L44" s="2">
        <v>44562</v>
      </c>
      <c r="M44" s="6">
        <f>T_SALES[[#This Row],[Profit]]/T_SALES[[#This Row],[Amount]]</f>
        <v>0.31737610032557578</v>
      </c>
    </row>
    <row r="45" spans="1:13" x14ac:dyDescent="0.25">
      <c r="A45" s="1" t="s">
        <v>95</v>
      </c>
      <c r="B45" s="7">
        <v>8293</v>
      </c>
      <c r="C45" s="8">
        <v>2632</v>
      </c>
      <c r="D45">
        <v>8</v>
      </c>
      <c r="E45" s="1" t="s">
        <v>27</v>
      </c>
      <c r="F45" s="1" t="s">
        <v>67</v>
      </c>
      <c r="G45" s="1" t="s">
        <v>56</v>
      </c>
      <c r="H45" s="2">
        <v>44121</v>
      </c>
      <c r="I45" s="1" t="s">
        <v>98</v>
      </c>
      <c r="J45" s="1" t="s">
        <v>23</v>
      </c>
      <c r="K45" s="1" t="s">
        <v>59</v>
      </c>
      <c r="L45" s="2">
        <v>44105</v>
      </c>
      <c r="M45" s="6">
        <f>T_SALES[[#This Row],[Profit]]/T_SALES[[#This Row],[Amount]]</f>
        <v>0.31737610032557578</v>
      </c>
    </row>
    <row r="46" spans="1:13" x14ac:dyDescent="0.25">
      <c r="A46" s="1" t="s">
        <v>95</v>
      </c>
      <c r="B46" s="7">
        <v>8293</v>
      </c>
      <c r="C46" s="8">
        <v>2632</v>
      </c>
      <c r="D46">
        <v>8</v>
      </c>
      <c r="E46" s="1" t="s">
        <v>27</v>
      </c>
      <c r="F46" s="1" t="s">
        <v>67</v>
      </c>
      <c r="G46" s="1" t="s">
        <v>56</v>
      </c>
      <c r="H46" s="2">
        <v>45159</v>
      </c>
      <c r="I46" s="1" t="s">
        <v>99</v>
      </c>
      <c r="J46" s="1" t="s">
        <v>37</v>
      </c>
      <c r="K46" s="1" t="s">
        <v>38</v>
      </c>
      <c r="L46" s="2">
        <v>45139</v>
      </c>
      <c r="M46" s="6">
        <f>T_SALES[[#This Row],[Profit]]/T_SALES[[#This Row],[Amount]]</f>
        <v>0.31737610032557578</v>
      </c>
    </row>
    <row r="47" spans="1:13" x14ac:dyDescent="0.25">
      <c r="A47" s="1" t="s">
        <v>95</v>
      </c>
      <c r="B47" s="7">
        <v>2863</v>
      </c>
      <c r="C47" s="8">
        <v>205</v>
      </c>
      <c r="D47">
        <v>17</v>
      </c>
      <c r="E47" s="1" t="s">
        <v>13</v>
      </c>
      <c r="F47" s="1" t="s">
        <v>70</v>
      </c>
      <c r="G47" s="1" t="s">
        <v>15</v>
      </c>
      <c r="H47" s="2">
        <v>44566</v>
      </c>
      <c r="I47" s="1" t="s">
        <v>96</v>
      </c>
      <c r="J47" s="1" t="s">
        <v>82</v>
      </c>
      <c r="K47" s="1" t="s">
        <v>97</v>
      </c>
      <c r="L47" s="2">
        <v>44562</v>
      </c>
      <c r="M47" s="6">
        <f>T_SALES[[#This Row],[Profit]]/T_SALES[[#This Row],[Amount]]</f>
        <v>7.1603213412504363E-2</v>
      </c>
    </row>
    <row r="48" spans="1:13" x14ac:dyDescent="0.25">
      <c r="A48" s="1" t="s">
        <v>95</v>
      </c>
      <c r="B48" s="7">
        <v>2863</v>
      </c>
      <c r="C48" s="8">
        <v>205</v>
      </c>
      <c r="D48">
        <v>17</v>
      </c>
      <c r="E48" s="1" t="s">
        <v>13</v>
      </c>
      <c r="F48" s="1" t="s">
        <v>70</v>
      </c>
      <c r="G48" s="1" t="s">
        <v>15</v>
      </c>
      <c r="H48" s="2">
        <v>44121</v>
      </c>
      <c r="I48" s="1" t="s">
        <v>98</v>
      </c>
      <c r="J48" s="1" t="s">
        <v>23</v>
      </c>
      <c r="K48" s="1" t="s">
        <v>59</v>
      </c>
      <c r="L48" s="2">
        <v>44105</v>
      </c>
      <c r="M48" s="6">
        <f>T_SALES[[#This Row],[Profit]]/T_SALES[[#This Row],[Amount]]</f>
        <v>7.1603213412504363E-2</v>
      </c>
    </row>
    <row r="49" spans="1:13" x14ac:dyDescent="0.25">
      <c r="A49" s="1" t="s">
        <v>95</v>
      </c>
      <c r="B49" s="7">
        <v>2863</v>
      </c>
      <c r="C49" s="8">
        <v>205</v>
      </c>
      <c r="D49">
        <v>17</v>
      </c>
      <c r="E49" s="1" t="s">
        <v>13</v>
      </c>
      <c r="F49" s="1" t="s">
        <v>70</v>
      </c>
      <c r="G49" s="1" t="s">
        <v>15</v>
      </c>
      <c r="H49" s="2">
        <v>45159</v>
      </c>
      <c r="I49" s="1" t="s">
        <v>99</v>
      </c>
      <c r="J49" s="1" t="s">
        <v>37</v>
      </c>
      <c r="K49" s="1" t="s">
        <v>38</v>
      </c>
      <c r="L49" s="2">
        <v>45139</v>
      </c>
      <c r="M49" s="6">
        <f>T_SALES[[#This Row],[Profit]]/T_SALES[[#This Row],[Amount]]</f>
        <v>7.1603213412504363E-2</v>
      </c>
    </row>
    <row r="50" spans="1:13" x14ac:dyDescent="0.25">
      <c r="A50" s="1" t="s">
        <v>100</v>
      </c>
      <c r="B50" s="7">
        <v>3090</v>
      </c>
      <c r="C50" s="8">
        <v>573</v>
      </c>
      <c r="D50">
        <v>6</v>
      </c>
      <c r="E50" s="1" t="s">
        <v>39</v>
      </c>
      <c r="F50" s="1" t="s">
        <v>40</v>
      </c>
      <c r="G50" s="1" t="s">
        <v>35</v>
      </c>
      <c r="H50" s="2">
        <v>45653</v>
      </c>
      <c r="I50" s="1" t="s">
        <v>101</v>
      </c>
      <c r="J50" s="1" t="s">
        <v>37</v>
      </c>
      <c r="K50" s="1" t="s">
        <v>65</v>
      </c>
      <c r="L50" s="2">
        <v>45627</v>
      </c>
      <c r="M50" s="6">
        <f>T_SALES[[#This Row],[Profit]]/T_SALES[[#This Row],[Amount]]</f>
        <v>0.18543689320388348</v>
      </c>
    </row>
    <row r="51" spans="1:13" x14ac:dyDescent="0.25">
      <c r="A51" s="1" t="s">
        <v>100</v>
      </c>
      <c r="B51" s="7">
        <v>3090</v>
      </c>
      <c r="C51" s="8">
        <v>573</v>
      </c>
      <c r="D51">
        <v>6</v>
      </c>
      <c r="E51" s="1" t="s">
        <v>39</v>
      </c>
      <c r="F51" s="1" t="s">
        <v>40</v>
      </c>
      <c r="G51" s="1" t="s">
        <v>35</v>
      </c>
      <c r="H51" s="2">
        <v>44365</v>
      </c>
      <c r="I51" s="1" t="s">
        <v>102</v>
      </c>
      <c r="J51" s="1" t="s">
        <v>82</v>
      </c>
      <c r="K51" s="1" t="s">
        <v>89</v>
      </c>
      <c r="L51" s="2">
        <v>44348</v>
      </c>
      <c r="M51" s="6">
        <f>T_SALES[[#This Row],[Profit]]/T_SALES[[#This Row],[Amount]]</f>
        <v>0.18543689320388348</v>
      </c>
    </row>
    <row r="52" spans="1:13" x14ac:dyDescent="0.25">
      <c r="A52" s="1" t="s">
        <v>100</v>
      </c>
      <c r="B52" s="7">
        <v>3090</v>
      </c>
      <c r="C52" s="8">
        <v>573</v>
      </c>
      <c r="D52">
        <v>6</v>
      </c>
      <c r="E52" s="1" t="s">
        <v>39</v>
      </c>
      <c r="F52" s="1" t="s">
        <v>40</v>
      </c>
      <c r="G52" s="1" t="s">
        <v>35</v>
      </c>
      <c r="H52" s="2">
        <v>45073</v>
      </c>
      <c r="I52" s="1" t="s">
        <v>103</v>
      </c>
      <c r="J52" s="1" t="s">
        <v>62</v>
      </c>
      <c r="K52" s="1" t="s">
        <v>74</v>
      </c>
      <c r="L52" s="2">
        <v>45047</v>
      </c>
      <c r="M52" s="6">
        <f>T_SALES[[#This Row],[Profit]]/T_SALES[[#This Row],[Amount]]</f>
        <v>0.18543689320388348</v>
      </c>
    </row>
    <row r="53" spans="1:13" x14ac:dyDescent="0.25">
      <c r="A53" s="1" t="s">
        <v>100</v>
      </c>
      <c r="B53" s="7">
        <v>3090</v>
      </c>
      <c r="C53" s="8">
        <v>573</v>
      </c>
      <c r="D53">
        <v>6</v>
      </c>
      <c r="E53" s="1" t="s">
        <v>39</v>
      </c>
      <c r="F53" s="1" t="s">
        <v>40</v>
      </c>
      <c r="G53" s="1" t="s">
        <v>35</v>
      </c>
      <c r="H53" s="2">
        <v>44481</v>
      </c>
      <c r="I53" s="1" t="s">
        <v>104</v>
      </c>
      <c r="J53" s="1" t="s">
        <v>62</v>
      </c>
      <c r="K53" s="1" t="s">
        <v>63</v>
      </c>
      <c r="L53" s="2">
        <v>44470</v>
      </c>
      <c r="M53" s="6">
        <f>T_SALES[[#This Row],[Profit]]/T_SALES[[#This Row],[Amount]]</f>
        <v>0.18543689320388348</v>
      </c>
    </row>
    <row r="54" spans="1:13" x14ac:dyDescent="0.25">
      <c r="A54" s="1" t="s">
        <v>100</v>
      </c>
      <c r="B54" s="7">
        <v>9683</v>
      </c>
      <c r="C54" s="8">
        <v>1014</v>
      </c>
      <c r="D54">
        <v>5</v>
      </c>
      <c r="E54" s="1" t="s">
        <v>13</v>
      </c>
      <c r="F54" s="1" t="s">
        <v>25</v>
      </c>
      <c r="G54" s="1" t="s">
        <v>15</v>
      </c>
      <c r="H54" s="2">
        <v>45653</v>
      </c>
      <c r="I54" s="1" t="s">
        <v>101</v>
      </c>
      <c r="J54" s="1" t="s">
        <v>37</v>
      </c>
      <c r="K54" s="1" t="s">
        <v>65</v>
      </c>
      <c r="L54" s="2">
        <v>45627</v>
      </c>
      <c r="M54" s="6">
        <f>T_SALES[[#This Row],[Profit]]/T_SALES[[#This Row],[Amount]]</f>
        <v>0.10471961169059175</v>
      </c>
    </row>
    <row r="55" spans="1:13" x14ac:dyDescent="0.25">
      <c r="A55" s="1" t="s">
        <v>100</v>
      </c>
      <c r="B55" s="7">
        <v>9683</v>
      </c>
      <c r="C55" s="8">
        <v>1014</v>
      </c>
      <c r="D55">
        <v>5</v>
      </c>
      <c r="E55" s="1" t="s">
        <v>13</v>
      </c>
      <c r="F55" s="1" t="s">
        <v>25</v>
      </c>
      <c r="G55" s="1" t="s">
        <v>15</v>
      </c>
      <c r="H55" s="2">
        <v>44365</v>
      </c>
      <c r="I55" s="1" t="s">
        <v>102</v>
      </c>
      <c r="J55" s="1" t="s">
        <v>82</v>
      </c>
      <c r="K55" s="1" t="s">
        <v>89</v>
      </c>
      <c r="L55" s="2">
        <v>44348</v>
      </c>
      <c r="M55" s="6">
        <f>T_SALES[[#This Row],[Profit]]/T_SALES[[#This Row],[Amount]]</f>
        <v>0.10471961169059175</v>
      </c>
    </row>
    <row r="56" spans="1:13" x14ac:dyDescent="0.25">
      <c r="A56" s="1" t="s">
        <v>100</v>
      </c>
      <c r="B56" s="7">
        <v>9683</v>
      </c>
      <c r="C56" s="8">
        <v>1014</v>
      </c>
      <c r="D56">
        <v>5</v>
      </c>
      <c r="E56" s="1" t="s">
        <v>13</v>
      </c>
      <c r="F56" s="1" t="s">
        <v>25</v>
      </c>
      <c r="G56" s="1" t="s">
        <v>15</v>
      </c>
      <c r="H56" s="2">
        <v>45073</v>
      </c>
      <c r="I56" s="1" t="s">
        <v>103</v>
      </c>
      <c r="J56" s="1" t="s">
        <v>62</v>
      </c>
      <c r="K56" s="1" t="s">
        <v>74</v>
      </c>
      <c r="L56" s="2">
        <v>45047</v>
      </c>
      <c r="M56" s="6">
        <f>T_SALES[[#This Row],[Profit]]/T_SALES[[#This Row],[Amount]]</f>
        <v>0.10471961169059175</v>
      </c>
    </row>
    <row r="57" spans="1:13" x14ac:dyDescent="0.25">
      <c r="A57" s="1" t="s">
        <v>100</v>
      </c>
      <c r="B57" s="7">
        <v>9683</v>
      </c>
      <c r="C57" s="8">
        <v>1014</v>
      </c>
      <c r="D57">
        <v>5</v>
      </c>
      <c r="E57" s="1" t="s">
        <v>13</v>
      </c>
      <c r="F57" s="1" t="s">
        <v>25</v>
      </c>
      <c r="G57" s="1" t="s">
        <v>15</v>
      </c>
      <c r="H57" s="2">
        <v>44481</v>
      </c>
      <c r="I57" s="1" t="s">
        <v>104</v>
      </c>
      <c r="J57" s="1" t="s">
        <v>62</v>
      </c>
      <c r="K57" s="1" t="s">
        <v>63</v>
      </c>
      <c r="L57" s="2">
        <v>44470</v>
      </c>
      <c r="M57" s="6">
        <f>T_SALES[[#This Row],[Profit]]/T_SALES[[#This Row],[Amount]]</f>
        <v>0.10471961169059175</v>
      </c>
    </row>
    <row r="58" spans="1:13" x14ac:dyDescent="0.25">
      <c r="A58" s="1" t="s">
        <v>105</v>
      </c>
      <c r="B58" s="7">
        <v>2463</v>
      </c>
      <c r="C58" s="8">
        <v>648</v>
      </c>
      <c r="D58">
        <v>18</v>
      </c>
      <c r="E58" s="1" t="s">
        <v>39</v>
      </c>
      <c r="F58" s="1" t="s">
        <v>40</v>
      </c>
      <c r="G58" s="1" t="s">
        <v>35</v>
      </c>
      <c r="H58" s="2">
        <v>44823</v>
      </c>
      <c r="I58" s="1" t="s">
        <v>106</v>
      </c>
      <c r="J58" s="1" t="s">
        <v>82</v>
      </c>
      <c r="K58" s="1" t="s">
        <v>89</v>
      </c>
      <c r="L58" s="2">
        <v>44805</v>
      </c>
      <c r="M58" s="6">
        <f>T_SALES[[#This Row],[Profit]]/T_SALES[[#This Row],[Amount]]</f>
        <v>0.26309378806333739</v>
      </c>
    </row>
    <row r="59" spans="1:13" x14ac:dyDescent="0.25">
      <c r="A59" s="1" t="s">
        <v>107</v>
      </c>
      <c r="B59" s="7">
        <v>7811</v>
      </c>
      <c r="C59" s="8">
        <v>1538</v>
      </c>
      <c r="D59">
        <v>12</v>
      </c>
      <c r="E59" s="1" t="s">
        <v>39</v>
      </c>
      <c r="F59" s="1" t="s">
        <v>51</v>
      </c>
      <c r="G59" s="1" t="s">
        <v>56</v>
      </c>
      <c r="H59" s="2">
        <v>44645</v>
      </c>
      <c r="I59" s="1" t="s">
        <v>108</v>
      </c>
      <c r="J59" s="1" t="s">
        <v>17</v>
      </c>
      <c r="K59" s="1" t="s">
        <v>18</v>
      </c>
      <c r="L59" s="2">
        <v>44621</v>
      </c>
      <c r="M59" s="6">
        <f>T_SALES[[#This Row],[Profit]]/T_SALES[[#This Row],[Amount]]</f>
        <v>0.19690180514658814</v>
      </c>
    </row>
    <row r="60" spans="1:13" x14ac:dyDescent="0.25">
      <c r="A60" s="1" t="s">
        <v>109</v>
      </c>
      <c r="B60" s="7">
        <v>6139</v>
      </c>
      <c r="C60" s="8">
        <v>451</v>
      </c>
      <c r="D60">
        <v>10</v>
      </c>
      <c r="E60" s="1" t="s">
        <v>39</v>
      </c>
      <c r="F60" s="1" t="s">
        <v>40</v>
      </c>
      <c r="G60" s="1" t="s">
        <v>29</v>
      </c>
      <c r="H60" s="2">
        <v>44618</v>
      </c>
      <c r="I60" s="1" t="s">
        <v>110</v>
      </c>
      <c r="J60" s="1" t="s">
        <v>17</v>
      </c>
      <c r="K60" s="1" t="s">
        <v>31</v>
      </c>
      <c r="L60" s="2">
        <v>44593</v>
      </c>
      <c r="M60" s="6">
        <f>T_SALES[[#This Row],[Profit]]/T_SALES[[#This Row],[Amount]]</f>
        <v>7.3464733669978827E-2</v>
      </c>
    </row>
    <row r="61" spans="1:13" x14ac:dyDescent="0.25">
      <c r="A61" s="1" t="s">
        <v>109</v>
      </c>
      <c r="B61" s="7">
        <v>6139</v>
      </c>
      <c r="C61" s="8">
        <v>451</v>
      </c>
      <c r="D61">
        <v>10</v>
      </c>
      <c r="E61" s="1" t="s">
        <v>39</v>
      </c>
      <c r="F61" s="1" t="s">
        <v>40</v>
      </c>
      <c r="G61" s="1" t="s">
        <v>29</v>
      </c>
      <c r="H61" s="2">
        <v>44291</v>
      </c>
      <c r="I61" s="1" t="s">
        <v>77</v>
      </c>
      <c r="J61" s="1" t="s">
        <v>62</v>
      </c>
      <c r="K61" s="1" t="s">
        <v>111</v>
      </c>
      <c r="L61" s="2">
        <v>44287</v>
      </c>
      <c r="M61" s="6">
        <f>T_SALES[[#This Row],[Profit]]/T_SALES[[#This Row],[Amount]]</f>
        <v>7.3464733669978827E-2</v>
      </c>
    </row>
    <row r="62" spans="1:13" x14ac:dyDescent="0.25">
      <c r="A62" s="1" t="s">
        <v>109</v>
      </c>
      <c r="B62" s="7">
        <v>8636</v>
      </c>
      <c r="C62" s="8">
        <v>3192</v>
      </c>
      <c r="D62">
        <v>3</v>
      </c>
      <c r="E62" s="1" t="s">
        <v>39</v>
      </c>
      <c r="F62" s="1" t="s">
        <v>43</v>
      </c>
      <c r="G62" s="1" t="s">
        <v>56</v>
      </c>
      <c r="H62" s="2">
        <v>44618</v>
      </c>
      <c r="I62" s="1" t="s">
        <v>110</v>
      </c>
      <c r="J62" s="1" t="s">
        <v>17</v>
      </c>
      <c r="K62" s="1" t="s">
        <v>31</v>
      </c>
      <c r="L62" s="2">
        <v>44593</v>
      </c>
      <c r="M62" s="6">
        <f>T_SALES[[#This Row],[Profit]]/T_SALES[[#This Row],[Amount]]</f>
        <v>0.36961556276053731</v>
      </c>
    </row>
    <row r="63" spans="1:13" x14ac:dyDescent="0.25">
      <c r="A63" s="1" t="s">
        <v>109</v>
      </c>
      <c r="B63" s="7">
        <v>8636</v>
      </c>
      <c r="C63" s="8">
        <v>3192</v>
      </c>
      <c r="D63">
        <v>3</v>
      </c>
      <c r="E63" s="1" t="s">
        <v>39</v>
      </c>
      <c r="F63" s="1" t="s">
        <v>43</v>
      </c>
      <c r="G63" s="1" t="s">
        <v>56</v>
      </c>
      <c r="H63" s="2">
        <v>44291</v>
      </c>
      <c r="I63" s="1" t="s">
        <v>77</v>
      </c>
      <c r="J63" s="1" t="s">
        <v>62</v>
      </c>
      <c r="K63" s="1" t="s">
        <v>111</v>
      </c>
      <c r="L63" s="2">
        <v>44287</v>
      </c>
      <c r="M63" s="6">
        <f>T_SALES[[#This Row],[Profit]]/T_SALES[[#This Row],[Amount]]</f>
        <v>0.36961556276053731</v>
      </c>
    </row>
    <row r="64" spans="1:13" x14ac:dyDescent="0.25">
      <c r="A64" s="1" t="s">
        <v>109</v>
      </c>
      <c r="B64" s="7">
        <v>4439</v>
      </c>
      <c r="C64" s="8">
        <v>1712</v>
      </c>
      <c r="D64">
        <v>19</v>
      </c>
      <c r="E64" s="1" t="s">
        <v>39</v>
      </c>
      <c r="F64" s="1" t="s">
        <v>51</v>
      </c>
      <c r="G64" s="1" t="s">
        <v>41</v>
      </c>
      <c r="H64" s="2">
        <v>44618</v>
      </c>
      <c r="I64" s="1" t="s">
        <v>110</v>
      </c>
      <c r="J64" s="1" t="s">
        <v>17</v>
      </c>
      <c r="K64" s="1" t="s">
        <v>31</v>
      </c>
      <c r="L64" s="2">
        <v>44593</v>
      </c>
      <c r="M64" s="6">
        <f>T_SALES[[#This Row],[Profit]]/T_SALES[[#This Row],[Amount]]</f>
        <v>0.3856724487497184</v>
      </c>
    </row>
    <row r="65" spans="1:13" x14ac:dyDescent="0.25">
      <c r="A65" s="1" t="s">
        <v>109</v>
      </c>
      <c r="B65" s="7">
        <v>4439</v>
      </c>
      <c r="C65" s="8">
        <v>1712</v>
      </c>
      <c r="D65">
        <v>19</v>
      </c>
      <c r="E65" s="1" t="s">
        <v>39</v>
      </c>
      <c r="F65" s="1" t="s">
        <v>51</v>
      </c>
      <c r="G65" s="1" t="s">
        <v>41</v>
      </c>
      <c r="H65" s="2">
        <v>44291</v>
      </c>
      <c r="I65" s="1" t="s">
        <v>77</v>
      </c>
      <c r="J65" s="1" t="s">
        <v>62</v>
      </c>
      <c r="K65" s="1" t="s">
        <v>111</v>
      </c>
      <c r="L65" s="2">
        <v>44287</v>
      </c>
      <c r="M65" s="6">
        <f>T_SALES[[#This Row],[Profit]]/T_SALES[[#This Row],[Amount]]</f>
        <v>0.3856724487497184</v>
      </c>
    </row>
    <row r="66" spans="1:13" x14ac:dyDescent="0.25">
      <c r="A66" s="1" t="s">
        <v>112</v>
      </c>
      <c r="B66" s="7">
        <v>1016</v>
      </c>
      <c r="C66" s="8">
        <v>172</v>
      </c>
      <c r="D66">
        <v>20</v>
      </c>
      <c r="E66" s="1" t="s">
        <v>39</v>
      </c>
      <c r="F66" s="1" t="s">
        <v>40</v>
      </c>
      <c r="G66" s="1" t="s">
        <v>29</v>
      </c>
      <c r="H66" s="2">
        <v>44151</v>
      </c>
      <c r="I66" s="1" t="s">
        <v>113</v>
      </c>
      <c r="J66" s="1" t="s">
        <v>23</v>
      </c>
      <c r="K66" s="1" t="s">
        <v>24</v>
      </c>
      <c r="L66" s="2">
        <v>44136</v>
      </c>
      <c r="M66" s="6">
        <f>T_SALES[[#This Row],[Profit]]/T_SALES[[#This Row],[Amount]]</f>
        <v>0.16929133858267717</v>
      </c>
    </row>
    <row r="67" spans="1:13" x14ac:dyDescent="0.25">
      <c r="A67" s="1" t="s">
        <v>112</v>
      </c>
      <c r="B67" s="7">
        <v>5768</v>
      </c>
      <c r="C67" s="8">
        <v>2059</v>
      </c>
      <c r="D67">
        <v>14</v>
      </c>
      <c r="E67" s="1" t="s">
        <v>39</v>
      </c>
      <c r="F67" s="1" t="s">
        <v>40</v>
      </c>
      <c r="G67" s="1" t="s">
        <v>15</v>
      </c>
      <c r="H67" s="2">
        <v>44151</v>
      </c>
      <c r="I67" s="1" t="s">
        <v>113</v>
      </c>
      <c r="J67" s="1" t="s">
        <v>23</v>
      </c>
      <c r="K67" s="1" t="s">
        <v>24</v>
      </c>
      <c r="L67" s="2">
        <v>44136</v>
      </c>
      <c r="M67" s="6">
        <f>T_SALES[[#This Row],[Profit]]/T_SALES[[#This Row],[Amount]]</f>
        <v>0.35696948682385576</v>
      </c>
    </row>
    <row r="68" spans="1:13" x14ac:dyDescent="0.25">
      <c r="A68" s="1" t="s">
        <v>112</v>
      </c>
      <c r="B68" s="7">
        <v>1217</v>
      </c>
      <c r="C68" s="8">
        <v>151</v>
      </c>
      <c r="D68">
        <v>3</v>
      </c>
      <c r="E68" s="1" t="s">
        <v>39</v>
      </c>
      <c r="F68" s="1" t="s">
        <v>40</v>
      </c>
      <c r="G68" s="1" t="s">
        <v>41</v>
      </c>
      <c r="H68" s="2">
        <v>44151</v>
      </c>
      <c r="I68" s="1" t="s">
        <v>113</v>
      </c>
      <c r="J68" s="1" t="s">
        <v>23</v>
      </c>
      <c r="K68" s="1" t="s">
        <v>24</v>
      </c>
      <c r="L68" s="2">
        <v>44136</v>
      </c>
      <c r="M68" s="6">
        <f>T_SALES[[#This Row],[Profit]]/T_SALES[[#This Row],[Amount]]</f>
        <v>0.12407559572719803</v>
      </c>
    </row>
    <row r="69" spans="1:13" x14ac:dyDescent="0.25">
      <c r="A69" s="1" t="s">
        <v>114</v>
      </c>
      <c r="B69" s="7">
        <v>953</v>
      </c>
      <c r="C69" s="8">
        <v>93</v>
      </c>
      <c r="D69">
        <v>2</v>
      </c>
      <c r="E69" s="1" t="s">
        <v>27</v>
      </c>
      <c r="F69" s="1" t="s">
        <v>55</v>
      </c>
      <c r="G69" s="1" t="s">
        <v>29</v>
      </c>
      <c r="H69" s="2">
        <v>45638</v>
      </c>
      <c r="I69" s="1" t="s">
        <v>115</v>
      </c>
      <c r="J69" s="1" t="s">
        <v>82</v>
      </c>
      <c r="K69" s="1" t="s">
        <v>97</v>
      </c>
      <c r="L69" s="2">
        <v>45627</v>
      </c>
      <c r="M69" s="6">
        <f>T_SALES[[#This Row],[Profit]]/T_SALES[[#This Row],[Amount]]</f>
        <v>9.7586568730325285E-2</v>
      </c>
    </row>
    <row r="70" spans="1:13" x14ac:dyDescent="0.25">
      <c r="A70" s="1" t="s">
        <v>114</v>
      </c>
      <c r="B70" s="7">
        <v>953</v>
      </c>
      <c r="C70" s="8">
        <v>93</v>
      </c>
      <c r="D70">
        <v>2</v>
      </c>
      <c r="E70" s="1" t="s">
        <v>27</v>
      </c>
      <c r="F70" s="1" t="s">
        <v>55</v>
      </c>
      <c r="G70" s="1" t="s">
        <v>29</v>
      </c>
      <c r="H70" s="2">
        <v>45022</v>
      </c>
      <c r="I70" s="1" t="s">
        <v>116</v>
      </c>
      <c r="J70" s="1" t="s">
        <v>37</v>
      </c>
      <c r="K70" s="1" t="s">
        <v>38</v>
      </c>
      <c r="L70" s="2">
        <v>45017</v>
      </c>
      <c r="M70" s="6">
        <f>T_SALES[[#This Row],[Profit]]/T_SALES[[#This Row],[Amount]]</f>
        <v>9.7586568730325285E-2</v>
      </c>
    </row>
    <row r="71" spans="1:13" x14ac:dyDescent="0.25">
      <c r="A71" s="1" t="s">
        <v>114</v>
      </c>
      <c r="B71" s="7">
        <v>7355</v>
      </c>
      <c r="C71" s="8">
        <v>1034</v>
      </c>
      <c r="D71">
        <v>3</v>
      </c>
      <c r="E71" s="1" t="s">
        <v>39</v>
      </c>
      <c r="F71" s="1" t="s">
        <v>51</v>
      </c>
      <c r="G71" s="1" t="s">
        <v>56</v>
      </c>
      <c r="H71" s="2">
        <v>45638</v>
      </c>
      <c r="I71" s="1" t="s">
        <v>115</v>
      </c>
      <c r="J71" s="1" t="s">
        <v>82</v>
      </c>
      <c r="K71" s="1" t="s">
        <v>97</v>
      </c>
      <c r="L71" s="2">
        <v>45627</v>
      </c>
      <c r="M71" s="6">
        <f>T_SALES[[#This Row],[Profit]]/T_SALES[[#This Row],[Amount]]</f>
        <v>0.14058463630183549</v>
      </c>
    </row>
    <row r="72" spans="1:13" x14ac:dyDescent="0.25">
      <c r="A72" s="1" t="s">
        <v>114</v>
      </c>
      <c r="B72" s="7">
        <v>7355</v>
      </c>
      <c r="C72" s="8">
        <v>1034</v>
      </c>
      <c r="D72">
        <v>3</v>
      </c>
      <c r="E72" s="1" t="s">
        <v>39</v>
      </c>
      <c r="F72" s="1" t="s">
        <v>51</v>
      </c>
      <c r="G72" s="1" t="s">
        <v>56</v>
      </c>
      <c r="H72" s="2">
        <v>45022</v>
      </c>
      <c r="I72" s="1" t="s">
        <v>116</v>
      </c>
      <c r="J72" s="1" t="s">
        <v>37</v>
      </c>
      <c r="K72" s="1" t="s">
        <v>38</v>
      </c>
      <c r="L72" s="2">
        <v>45017</v>
      </c>
      <c r="M72" s="6">
        <f>T_SALES[[#This Row],[Profit]]/T_SALES[[#This Row],[Amount]]</f>
        <v>0.14058463630183549</v>
      </c>
    </row>
    <row r="73" spans="1:13" x14ac:dyDescent="0.25">
      <c r="A73" s="1" t="s">
        <v>114</v>
      </c>
      <c r="B73" s="7">
        <v>1843</v>
      </c>
      <c r="C73" s="8">
        <v>248</v>
      </c>
      <c r="D73">
        <v>3</v>
      </c>
      <c r="E73" s="1" t="s">
        <v>13</v>
      </c>
      <c r="F73" s="1" t="s">
        <v>70</v>
      </c>
      <c r="G73" s="1" t="s">
        <v>41</v>
      </c>
      <c r="H73" s="2">
        <v>45638</v>
      </c>
      <c r="I73" s="1" t="s">
        <v>115</v>
      </c>
      <c r="J73" s="1" t="s">
        <v>82</v>
      </c>
      <c r="K73" s="1" t="s">
        <v>97</v>
      </c>
      <c r="L73" s="2">
        <v>45627</v>
      </c>
      <c r="M73" s="6">
        <f>T_SALES[[#This Row],[Profit]]/T_SALES[[#This Row],[Amount]]</f>
        <v>0.13456321215409658</v>
      </c>
    </row>
    <row r="74" spans="1:13" x14ac:dyDescent="0.25">
      <c r="A74" s="1" t="s">
        <v>114</v>
      </c>
      <c r="B74" s="7">
        <v>1843</v>
      </c>
      <c r="C74" s="8">
        <v>248</v>
      </c>
      <c r="D74">
        <v>3</v>
      </c>
      <c r="E74" s="1" t="s">
        <v>13</v>
      </c>
      <c r="F74" s="1" t="s">
        <v>70</v>
      </c>
      <c r="G74" s="1" t="s">
        <v>41</v>
      </c>
      <c r="H74" s="2">
        <v>45022</v>
      </c>
      <c r="I74" s="1" t="s">
        <v>116</v>
      </c>
      <c r="J74" s="1" t="s">
        <v>37</v>
      </c>
      <c r="K74" s="1" t="s">
        <v>38</v>
      </c>
      <c r="L74" s="2">
        <v>45017</v>
      </c>
      <c r="M74" s="6">
        <f>T_SALES[[#This Row],[Profit]]/T_SALES[[#This Row],[Amount]]</f>
        <v>0.13456321215409658</v>
      </c>
    </row>
    <row r="75" spans="1:13" x14ac:dyDescent="0.25">
      <c r="A75" s="1" t="s">
        <v>114</v>
      </c>
      <c r="B75" s="7">
        <v>1603</v>
      </c>
      <c r="C75" s="8">
        <v>361</v>
      </c>
      <c r="D75">
        <v>10</v>
      </c>
      <c r="E75" s="1" t="s">
        <v>27</v>
      </c>
      <c r="F75" s="1" t="s">
        <v>28</v>
      </c>
      <c r="G75" s="1" t="s">
        <v>29</v>
      </c>
      <c r="H75" s="2">
        <v>45638</v>
      </c>
      <c r="I75" s="1" t="s">
        <v>115</v>
      </c>
      <c r="J75" s="1" t="s">
        <v>82</v>
      </c>
      <c r="K75" s="1" t="s">
        <v>97</v>
      </c>
      <c r="L75" s="2">
        <v>45627</v>
      </c>
      <c r="M75" s="6">
        <f>T_SALES[[#This Row],[Profit]]/T_SALES[[#This Row],[Amount]]</f>
        <v>0.22520274485339989</v>
      </c>
    </row>
    <row r="76" spans="1:13" x14ac:dyDescent="0.25">
      <c r="A76" s="1" t="s">
        <v>114</v>
      </c>
      <c r="B76" s="7">
        <v>1603</v>
      </c>
      <c r="C76" s="8">
        <v>361</v>
      </c>
      <c r="D76">
        <v>10</v>
      </c>
      <c r="E76" s="1" t="s">
        <v>27</v>
      </c>
      <c r="F76" s="1" t="s">
        <v>28</v>
      </c>
      <c r="G76" s="1" t="s">
        <v>29</v>
      </c>
      <c r="H76" s="2">
        <v>45022</v>
      </c>
      <c r="I76" s="1" t="s">
        <v>116</v>
      </c>
      <c r="J76" s="1" t="s">
        <v>37</v>
      </c>
      <c r="K76" s="1" t="s">
        <v>38</v>
      </c>
      <c r="L76" s="2">
        <v>45017</v>
      </c>
      <c r="M76" s="6">
        <f>T_SALES[[#This Row],[Profit]]/T_SALES[[#This Row],[Amount]]</f>
        <v>0.22520274485339989</v>
      </c>
    </row>
    <row r="77" spans="1:13" x14ac:dyDescent="0.25">
      <c r="A77" s="1" t="s">
        <v>117</v>
      </c>
      <c r="B77" s="7">
        <v>2025</v>
      </c>
      <c r="C77" s="8">
        <v>528</v>
      </c>
      <c r="D77">
        <v>1</v>
      </c>
      <c r="E77" s="1" t="s">
        <v>27</v>
      </c>
      <c r="F77" s="1" t="s">
        <v>28</v>
      </c>
      <c r="G77" s="1" t="s">
        <v>41</v>
      </c>
      <c r="H77" s="2">
        <v>45319</v>
      </c>
      <c r="I77" s="1" t="s">
        <v>118</v>
      </c>
      <c r="J77" s="1" t="s">
        <v>17</v>
      </c>
      <c r="K77" s="1" t="s">
        <v>18</v>
      </c>
      <c r="L77" s="2">
        <v>45292</v>
      </c>
      <c r="M77" s="6">
        <f>T_SALES[[#This Row],[Profit]]/T_SALES[[#This Row],[Amount]]</f>
        <v>0.26074074074074072</v>
      </c>
    </row>
    <row r="78" spans="1:13" x14ac:dyDescent="0.25">
      <c r="A78" s="1" t="s">
        <v>117</v>
      </c>
      <c r="B78" s="7">
        <v>6800</v>
      </c>
      <c r="C78" s="8">
        <v>167</v>
      </c>
      <c r="D78">
        <v>16</v>
      </c>
      <c r="E78" s="1" t="s">
        <v>27</v>
      </c>
      <c r="F78" s="1" t="s">
        <v>67</v>
      </c>
      <c r="G78" s="1" t="s">
        <v>35</v>
      </c>
      <c r="H78" s="2">
        <v>45319</v>
      </c>
      <c r="I78" s="1" t="s">
        <v>118</v>
      </c>
      <c r="J78" s="1" t="s">
        <v>17</v>
      </c>
      <c r="K78" s="1" t="s">
        <v>18</v>
      </c>
      <c r="L78" s="2">
        <v>45292</v>
      </c>
      <c r="M78" s="6">
        <f>T_SALES[[#This Row],[Profit]]/T_SALES[[#This Row],[Amount]]</f>
        <v>2.4558823529411765E-2</v>
      </c>
    </row>
    <row r="79" spans="1:13" x14ac:dyDescent="0.25">
      <c r="A79" s="1" t="s">
        <v>119</v>
      </c>
      <c r="B79" s="7">
        <v>1126</v>
      </c>
      <c r="C79" s="8">
        <v>55</v>
      </c>
      <c r="D79">
        <v>1</v>
      </c>
      <c r="E79" s="1" t="s">
        <v>39</v>
      </c>
      <c r="F79" s="1" t="s">
        <v>90</v>
      </c>
      <c r="G79" s="1" t="s">
        <v>15</v>
      </c>
      <c r="H79" s="2">
        <v>44577</v>
      </c>
      <c r="I79" s="1" t="s">
        <v>120</v>
      </c>
      <c r="J79" s="1" t="s">
        <v>17</v>
      </c>
      <c r="K79" s="1" t="s">
        <v>121</v>
      </c>
      <c r="L79" s="2">
        <v>44562</v>
      </c>
      <c r="M79" s="6">
        <f>T_SALES[[#This Row],[Profit]]/T_SALES[[#This Row],[Amount]]</f>
        <v>4.8845470692717587E-2</v>
      </c>
    </row>
    <row r="80" spans="1:13" x14ac:dyDescent="0.25">
      <c r="A80" s="1" t="s">
        <v>119</v>
      </c>
      <c r="B80" s="7">
        <v>1126</v>
      </c>
      <c r="C80" s="8">
        <v>55</v>
      </c>
      <c r="D80">
        <v>1</v>
      </c>
      <c r="E80" s="1" t="s">
        <v>39</v>
      </c>
      <c r="F80" s="1" t="s">
        <v>90</v>
      </c>
      <c r="G80" s="1" t="s">
        <v>15</v>
      </c>
      <c r="H80" s="2">
        <v>44911</v>
      </c>
      <c r="I80" s="1" t="s">
        <v>122</v>
      </c>
      <c r="J80" s="1" t="s">
        <v>23</v>
      </c>
      <c r="K80" s="1" t="s">
        <v>24</v>
      </c>
      <c r="L80" s="2">
        <v>44896</v>
      </c>
      <c r="M80" s="6">
        <f>T_SALES[[#This Row],[Profit]]/T_SALES[[#This Row],[Amount]]</f>
        <v>4.8845470692717587E-2</v>
      </c>
    </row>
    <row r="81" spans="1:13" x14ac:dyDescent="0.25">
      <c r="A81" s="1" t="s">
        <v>123</v>
      </c>
      <c r="B81" s="7">
        <v>7533</v>
      </c>
      <c r="C81" s="8">
        <v>3508</v>
      </c>
      <c r="D81">
        <v>12</v>
      </c>
      <c r="E81" s="1" t="s">
        <v>39</v>
      </c>
      <c r="F81" s="1" t="s">
        <v>40</v>
      </c>
      <c r="G81" s="1" t="s">
        <v>15</v>
      </c>
      <c r="H81" s="2">
        <v>45120</v>
      </c>
      <c r="I81" s="1" t="s">
        <v>124</v>
      </c>
      <c r="J81" s="1" t="s">
        <v>37</v>
      </c>
      <c r="K81" s="1" t="s">
        <v>65</v>
      </c>
      <c r="L81" s="2">
        <v>45108</v>
      </c>
      <c r="M81" s="6">
        <f>T_SALES[[#This Row],[Profit]]/T_SALES[[#This Row],[Amount]]</f>
        <v>0.46568432231514667</v>
      </c>
    </row>
    <row r="82" spans="1:13" x14ac:dyDescent="0.25">
      <c r="A82" s="1" t="s">
        <v>123</v>
      </c>
      <c r="B82" s="7">
        <v>4734</v>
      </c>
      <c r="C82" s="8">
        <v>1178</v>
      </c>
      <c r="D82">
        <v>16</v>
      </c>
      <c r="E82" s="1" t="s">
        <v>27</v>
      </c>
      <c r="F82" s="1" t="s">
        <v>67</v>
      </c>
      <c r="G82" s="1" t="s">
        <v>41</v>
      </c>
      <c r="H82" s="2">
        <v>45120</v>
      </c>
      <c r="I82" s="1" t="s">
        <v>124</v>
      </c>
      <c r="J82" s="1" t="s">
        <v>37</v>
      </c>
      <c r="K82" s="1" t="s">
        <v>65</v>
      </c>
      <c r="L82" s="2">
        <v>45108</v>
      </c>
      <c r="M82" s="6">
        <f>T_SALES[[#This Row],[Profit]]/T_SALES[[#This Row],[Amount]]</f>
        <v>0.24883819180397126</v>
      </c>
    </row>
    <row r="83" spans="1:13" x14ac:dyDescent="0.25">
      <c r="A83" s="1" t="s">
        <v>123</v>
      </c>
      <c r="B83" s="7">
        <v>4074</v>
      </c>
      <c r="C83" s="8">
        <v>1175</v>
      </c>
      <c r="D83">
        <v>6</v>
      </c>
      <c r="E83" s="1" t="s">
        <v>13</v>
      </c>
      <c r="F83" s="1" t="s">
        <v>14</v>
      </c>
      <c r="G83" s="1" t="s">
        <v>29</v>
      </c>
      <c r="H83" s="2">
        <v>45120</v>
      </c>
      <c r="I83" s="1" t="s">
        <v>124</v>
      </c>
      <c r="J83" s="1" t="s">
        <v>37</v>
      </c>
      <c r="K83" s="1" t="s">
        <v>65</v>
      </c>
      <c r="L83" s="2">
        <v>45108</v>
      </c>
      <c r="M83" s="6">
        <f>T_SALES[[#This Row],[Profit]]/T_SALES[[#This Row],[Amount]]</f>
        <v>0.28841433480608736</v>
      </c>
    </row>
    <row r="84" spans="1:13" x14ac:dyDescent="0.25">
      <c r="A84" s="1" t="s">
        <v>123</v>
      </c>
      <c r="B84" s="7">
        <v>2334</v>
      </c>
      <c r="C84" s="8">
        <v>484</v>
      </c>
      <c r="D84">
        <v>3</v>
      </c>
      <c r="E84" s="1" t="s">
        <v>39</v>
      </c>
      <c r="F84" s="1" t="s">
        <v>51</v>
      </c>
      <c r="G84" s="1" t="s">
        <v>41</v>
      </c>
      <c r="H84" s="2">
        <v>45120</v>
      </c>
      <c r="I84" s="1" t="s">
        <v>124</v>
      </c>
      <c r="J84" s="1" t="s">
        <v>37</v>
      </c>
      <c r="K84" s="1" t="s">
        <v>65</v>
      </c>
      <c r="L84" s="2">
        <v>45108</v>
      </c>
      <c r="M84" s="6">
        <f>T_SALES[[#This Row],[Profit]]/T_SALES[[#This Row],[Amount]]</f>
        <v>0.207369323050557</v>
      </c>
    </row>
    <row r="85" spans="1:13" x14ac:dyDescent="0.25">
      <c r="A85" s="1" t="s">
        <v>125</v>
      </c>
      <c r="B85" s="7">
        <v>2750</v>
      </c>
      <c r="C85" s="8">
        <v>1239</v>
      </c>
      <c r="D85">
        <v>11</v>
      </c>
      <c r="E85" s="1" t="s">
        <v>13</v>
      </c>
      <c r="F85" s="1" t="s">
        <v>70</v>
      </c>
      <c r="G85" s="1" t="s">
        <v>29</v>
      </c>
      <c r="H85" s="2">
        <v>45726</v>
      </c>
      <c r="I85" s="1" t="s">
        <v>126</v>
      </c>
      <c r="J85" s="1" t="s">
        <v>23</v>
      </c>
      <c r="K85" s="1" t="s">
        <v>24</v>
      </c>
      <c r="L85" s="2">
        <v>45717</v>
      </c>
      <c r="M85" s="6">
        <f>T_SALES[[#This Row],[Profit]]/T_SALES[[#This Row],[Amount]]</f>
        <v>0.45054545454545453</v>
      </c>
    </row>
    <row r="86" spans="1:13" x14ac:dyDescent="0.25">
      <c r="A86" s="1" t="s">
        <v>125</v>
      </c>
      <c r="B86" s="7">
        <v>2750</v>
      </c>
      <c r="C86" s="8">
        <v>1239</v>
      </c>
      <c r="D86">
        <v>11</v>
      </c>
      <c r="E86" s="1" t="s">
        <v>13</v>
      </c>
      <c r="F86" s="1" t="s">
        <v>70</v>
      </c>
      <c r="G86" s="1" t="s">
        <v>29</v>
      </c>
      <c r="H86" s="2">
        <v>45559</v>
      </c>
      <c r="I86" s="1" t="s">
        <v>127</v>
      </c>
      <c r="J86" s="1" t="s">
        <v>82</v>
      </c>
      <c r="K86" s="1" t="s">
        <v>97</v>
      </c>
      <c r="L86" s="2">
        <v>45536</v>
      </c>
      <c r="M86" s="6">
        <f>T_SALES[[#This Row],[Profit]]/T_SALES[[#This Row],[Amount]]</f>
        <v>0.45054545454545453</v>
      </c>
    </row>
    <row r="87" spans="1:13" x14ac:dyDescent="0.25">
      <c r="A87" s="1" t="s">
        <v>125</v>
      </c>
      <c r="B87" s="7">
        <v>8639</v>
      </c>
      <c r="C87" s="8">
        <v>3104</v>
      </c>
      <c r="D87">
        <v>19</v>
      </c>
      <c r="E87" s="1" t="s">
        <v>27</v>
      </c>
      <c r="F87" s="1" t="s">
        <v>28</v>
      </c>
      <c r="G87" s="1" t="s">
        <v>35</v>
      </c>
      <c r="H87" s="2">
        <v>45726</v>
      </c>
      <c r="I87" s="1" t="s">
        <v>126</v>
      </c>
      <c r="J87" s="1" t="s">
        <v>23</v>
      </c>
      <c r="K87" s="1" t="s">
        <v>24</v>
      </c>
      <c r="L87" s="2">
        <v>45717</v>
      </c>
      <c r="M87" s="6">
        <f>T_SALES[[#This Row],[Profit]]/T_SALES[[#This Row],[Amount]]</f>
        <v>0.35930084500520892</v>
      </c>
    </row>
    <row r="88" spans="1:13" x14ac:dyDescent="0.25">
      <c r="A88" s="1" t="s">
        <v>125</v>
      </c>
      <c r="B88" s="7">
        <v>8639</v>
      </c>
      <c r="C88" s="8">
        <v>3104</v>
      </c>
      <c r="D88">
        <v>19</v>
      </c>
      <c r="E88" s="1" t="s">
        <v>27</v>
      </c>
      <c r="F88" s="1" t="s">
        <v>28</v>
      </c>
      <c r="G88" s="1" t="s">
        <v>35</v>
      </c>
      <c r="H88" s="2">
        <v>45559</v>
      </c>
      <c r="I88" s="1" t="s">
        <v>127</v>
      </c>
      <c r="J88" s="1" t="s">
        <v>82</v>
      </c>
      <c r="K88" s="1" t="s">
        <v>97</v>
      </c>
      <c r="L88" s="2">
        <v>45536</v>
      </c>
      <c r="M88" s="6">
        <f>T_SALES[[#This Row],[Profit]]/T_SALES[[#This Row],[Amount]]</f>
        <v>0.35930084500520892</v>
      </c>
    </row>
    <row r="89" spans="1:13" x14ac:dyDescent="0.25">
      <c r="A89" s="1" t="s">
        <v>128</v>
      </c>
      <c r="B89" s="7">
        <v>3808</v>
      </c>
      <c r="C89" s="8">
        <v>1192</v>
      </c>
      <c r="D89">
        <v>4</v>
      </c>
      <c r="E89" s="1" t="s">
        <v>27</v>
      </c>
      <c r="F89" s="1" t="s">
        <v>49</v>
      </c>
      <c r="G89" s="1" t="s">
        <v>15</v>
      </c>
      <c r="H89" s="2">
        <v>43934</v>
      </c>
      <c r="I89" s="1" t="s">
        <v>129</v>
      </c>
      <c r="J89" s="1" t="s">
        <v>23</v>
      </c>
      <c r="K89" s="1" t="s">
        <v>45</v>
      </c>
      <c r="L89" s="2">
        <v>43922</v>
      </c>
      <c r="M89" s="6">
        <f>T_SALES[[#This Row],[Profit]]/T_SALES[[#This Row],[Amount]]</f>
        <v>0.31302521008403361</v>
      </c>
    </row>
    <row r="90" spans="1:13" x14ac:dyDescent="0.25">
      <c r="A90" s="1" t="s">
        <v>128</v>
      </c>
      <c r="B90" s="7">
        <v>2588</v>
      </c>
      <c r="C90" s="8">
        <v>705</v>
      </c>
      <c r="D90">
        <v>16</v>
      </c>
      <c r="E90" s="1" t="s">
        <v>27</v>
      </c>
      <c r="F90" s="1" t="s">
        <v>28</v>
      </c>
      <c r="G90" s="1" t="s">
        <v>41</v>
      </c>
      <c r="H90" s="2">
        <v>43934</v>
      </c>
      <c r="I90" s="1" t="s">
        <v>129</v>
      </c>
      <c r="J90" s="1" t="s">
        <v>23</v>
      </c>
      <c r="K90" s="1" t="s">
        <v>45</v>
      </c>
      <c r="L90" s="2">
        <v>43922</v>
      </c>
      <c r="M90" s="6">
        <f>T_SALES[[#This Row],[Profit]]/T_SALES[[#This Row],[Amount]]</f>
        <v>0.27241112828438951</v>
      </c>
    </row>
    <row r="91" spans="1:13" x14ac:dyDescent="0.25">
      <c r="A91" s="1" t="s">
        <v>130</v>
      </c>
      <c r="B91" s="7">
        <v>1591</v>
      </c>
      <c r="C91" s="8">
        <v>727</v>
      </c>
      <c r="D91">
        <v>5</v>
      </c>
      <c r="E91" s="1" t="s">
        <v>13</v>
      </c>
      <c r="F91" s="1" t="s">
        <v>14</v>
      </c>
      <c r="G91" s="1" t="s">
        <v>41</v>
      </c>
      <c r="H91" s="2">
        <v>44739</v>
      </c>
      <c r="I91" s="1" t="s">
        <v>131</v>
      </c>
      <c r="J91" s="1" t="s">
        <v>20</v>
      </c>
      <c r="K91" s="1" t="s">
        <v>54</v>
      </c>
      <c r="L91" s="2">
        <v>44713</v>
      </c>
      <c r="M91" s="6">
        <f>T_SALES[[#This Row],[Profit]]/T_SALES[[#This Row],[Amount]]</f>
        <v>0.4569453174104337</v>
      </c>
    </row>
    <row r="92" spans="1:13" x14ac:dyDescent="0.25">
      <c r="A92" s="1" t="s">
        <v>130</v>
      </c>
      <c r="B92" s="7">
        <v>1591</v>
      </c>
      <c r="C92" s="8">
        <v>727</v>
      </c>
      <c r="D92">
        <v>5</v>
      </c>
      <c r="E92" s="1" t="s">
        <v>13</v>
      </c>
      <c r="F92" s="1" t="s">
        <v>14</v>
      </c>
      <c r="G92" s="1" t="s">
        <v>41</v>
      </c>
      <c r="H92" s="2">
        <v>44269</v>
      </c>
      <c r="I92" s="1" t="s">
        <v>132</v>
      </c>
      <c r="J92" s="1" t="s">
        <v>17</v>
      </c>
      <c r="K92" s="1" t="s">
        <v>121</v>
      </c>
      <c r="L92" s="2">
        <v>44256</v>
      </c>
      <c r="M92" s="6">
        <f>T_SALES[[#This Row],[Profit]]/T_SALES[[#This Row],[Amount]]</f>
        <v>0.4569453174104337</v>
      </c>
    </row>
    <row r="93" spans="1:13" x14ac:dyDescent="0.25">
      <c r="A93" s="1" t="s">
        <v>130</v>
      </c>
      <c r="B93" s="7">
        <v>1591</v>
      </c>
      <c r="C93" s="8">
        <v>727</v>
      </c>
      <c r="D93">
        <v>5</v>
      </c>
      <c r="E93" s="1" t="s">
        <v>13</v>
      </c>
      <c r="F93" s="1" t="s">
        <v>14</v>
      </c>
      <c r="G93" s="1" t="s">
        <v>41</v>
      </c>
      <c r="H93" s="2">
        <v>44615</v>
      </c>
      <c r="I93" s="1" t="s">
        <v>133</v>
      </c>
      <c r="J93" s="1" t="s">
        <v>82</v>
      </c>
      <c r="K93" s="1" t="s">
        <v>89</v>
      </c>
      <c r="L93" s="2">
        <v>44593</v>
      </c>
      <c r="M93" s="6">
        <f>T_SALES[[#This Row],[Profit]]/T_SALES[[#This Row],[Amount]]</f>
        <v>0.4569453174104337</v>
      </c>
    </row>
    <row r="94" spans="1:13" x14ac:dyDescent="0.25">
      <c r="A94" s="1" t="s">
        <v>134</v>
      </c>
      <c r="B94" s="7">
        <v>1757</v>
      </c>
      <c r="C94" s="8">
        <v>622</v>
      </c>
      <c r="D94">
        <v>10</v>
      </c>
      <c r="E94" s="1" t="s">
        <v>39</v>
      </c>
      <c r="F94" s="1" t="s">
        <v>43</v>
      </c>
      <c r="G94" s="1" t="s">
        <v>15</v>
      </c>
      <c r="H94" s="2">
        <v>44649</v>
      </c>
      <c r="I94" s="1" t="s">
        <v>135</v>
      </c>
      <c r="J94" s="1" t="s">
        <v>82</v>
      </c>
      <c r="K94" s="1" t="s">
        <v>97</v>
      </c>
      <c r="L94" s="2">
        <v>44621</v>
      </c>
      <c r="M94" s="6">
        <f>T_SALES[[#This Row],[Profit]]/T_SALES[[#This Row],[Amount]]</f>
        <v>0.35401252134319866</v>
      </c>
    </row>
    <row r="95" spans="1:13" x14ac:dyDescent="0.25">
      <c r="A95" s="1" t="s">
        <v>134</v>
      </c>
      <c r="B95" s="7">
        <v>1757</v>
      </c>
      <c r="C95" s="8">
        <v>622</v>
      </c>
      <c r="D95">
        <v>10</v>
      </c>
      <c r="E95" s="1" t="s">
        <v>39</v>
      </c>
      <c r="F95" s="1" t="s">
        <v>43</v>
      </c>
      <c r="G95" s="1" t="s">
        <v>15</v>
      </c>
      <c r="H95" s="2">
        <v>44885</v>
      </c>
      <c r="I95" s="1" t="s">
        <v>136</v>
      </c>
      <c r="J95" s="1" t="s">
        <v>20</v>
      </c>
      <c r="K95" s="1" t="s">
        <v>137</v>
      </c>
      <c r="L95" s="2">
        <v>44866</v>
      </c>
      <c r="M95" s="6">
        <f>T_SALES[[#This Row],[Profit]]/T_SALES[[#This Row],[Amount]]</f>
        <v>0.35401252134319866</v>
      </c>
    </row>
    <row r="96" spans="1:13" x14ac:dyDescent="0.25">
      <c r="A96" s="1" t="s">
        <v>138</v>
      </c>
      <c r="B96" s="7">
        <v>6940</v>
      </c>
      <c r="C96" s="8">
        <v>253</v>
      </c>
      <c r="D96">
        <v>15</v>
      </c>
      <c r="E96" s="1" t="s">
        <v>39</v>
      </c>
      <c r="F96" s="1" t="s">
        <v>90</v>
      </c>
      <c r="G96" s="1" t="s">
        <v>29</v>
      </c>
      <c r="H96" s="2">
        <v>44512</v>
      </c>
      <c r="I96" s="1" t="s">
        <v>139</v>
      </c>
      <c r="J96" s="1" t="s">
        <v>17</v>
      </c>
      <c r="K96" s="1" t="s">
        <v>31</v>
      </c>
      <c r="L96" s="2">
        <v>44501</v>
      </c>
      <c r="M96" s="6">
        <f>T_SALES[[#This Row],[Profit]]/T_SALES[[#This Row],[Amount]]</f>
        <v>3.6455331412103748E-2</v>
      </c>
    </row>
    <row r="97" spans="1:13" x14ac:dyDescent="0.25">
      <c r="A97" s="1" t="s">
        <v>138</v>
      </c>
      <c r="B97" s="7">
        <v>5105</v>
      </c>
      <c r="C97" s="8">
        <v>465</v>
      </c>
      <c r="D97">
        <v>5</v>
      </c>
      <c r="E97" s="1" t="s">
        <v>13</v>
      </c>
      <c r="F97" s="1" t="s">
        <v>25</v>
      </c>
      <c r="G97" s="1" t="s">
        <v>15</v>
      </c>
      <c r="H97" s="2">
        <v>44512</v>
      </c>
      <c r="I97" s="1" t="s">
        <v>139</v>
      </c>
      <c r="J97" s="1" t="s">
        <v>17</v>
      </c>
      <c r="K97" s="1" t="s">
        <v>31</v>
      </c>
      <c r="L97" s="2">
        <v>44501</v>
      </c>
      <c r="M97" s="6">
        <f>T_SALES[[#This Row],[Profit]]/T_SALES[[#This Row],[Amount]]</f>
        <v>9.1087169441723806E-2</v>
      </c>
    </row>
    <row r="98" spans="1:13" x14ac:dyDescent="0.25">
      <c r="A98" s="1" t="s">
        <v>140</v>
      </c>
      <c r="B98" s="7">
        <v>5578</v>
      </c>
      <c r="C98" s="8">
        <v>277</v>
      </c>
      <c r="D98">
        <v>16</v>
      </c>
      <c r="E98" s="1" t="s">
        <v>39</v>
      </c>
      <c r="F98" s="1" t="s">
        <v>40</v>
      </c>
      <c r="G98" s="1" t="s">
        <v>56</v>
      </c>
      <c r="H98" s="2">
        <v>44425</v>
      </c>
      <c r="I98" s="1" t="s">
        <v>141</v>
      </c>
      <c r="J98" s="1" t="s">
        <v>17</v>
      </c>
      <c r="K98" s="1" t="s">
        <v>18</v>
      </c>
      <c r="L98" s="2">
        <v>44409</v>
      </c>
      <c r="M98" s="6">
        <f>T_SALES[[#This Row],[Profit]]/T_SALES[[#This Row],[Amount]]</f>
        <v>4.9659376120473289E-2</v>
      </c>
    </row>
    <row r="99" spans="1:13" x14ac:dyDescent="0.25">
      <c r="A99" s="1" t="s">
        <v>140</v>
      </c>
      <c r="B99" s="7">
        <v>5578</v>
      </c>
      <c r="C99" s="8">
        <v>277</v>
      </c>
      <c r="D99">
        <v>16</v>
      </c>
      <c r="E99" s="1" t="s">
        <v>39</v>
      </c>
      <c r="F99" s="1" t="s">
        <v>40</v>
      </c>
      <c r="G99" s="1" t="s">
        <v>56</v>
      </c>
      <c r="H99" s="2">
        <v>44697</v>
      </c>
      <c r="I99" s="1" t="s">
        <v>142</v>
      </c>
      <c r="J99" s="1" t="s">
        <v>82</v>
      </c>
      <c r="K99" s="1" t="s">
        <v>83</v>
      </c>
      <c r="L99" s="2">
        <v>44682</v>
      </c>
      <c r="M99" s="6">
        <f>T_SALES[[#This Row],[Profit]]/T_SALES[[#This Row],[Amount]]</f>
        <v>4.9659376120473289E-2</v>
      </c>
    </row>
    <row r="100" spans="1:13" x14ac:dyDescent="0.25">
      <c r="A100" s="1" t="s">
        <v>143</v>
      </c>
      <c r="B100" s="7">
        <v>5224</v>
      </c>
      <c r="C100" s="8">
        <v>1958</v>
      </c>
      <c r="D100">
        <v>16</v>
      </c>
      <c r="E100" s="1" t="s">
        <v>39</v>
      </c>
      <c r="F100" s="1" t="s">
        <v>43</v>
      </c>
      <c r="G100" s="1" t="s">
        <v>41</v>
      </c>
      <c r="H100" s="2">
        <v>45123</v>
      </c>
      <c r="I100" s="1" t="s">
        <v>144</v>
      </c>
      <c r="J100" s="1" t="s">
        <v>62</v>
      </c>
      <c r="K100" s="1" t="s">
        <v>111</v>
      </c>
      <c r="L100" s="2">
        <v>45108</v>
      </c>
      <c r="M100" s="6">
        <f>T_SALES[[#This Row],[Profit]]/T_SALES[[#This Row],[Amount]]</f>
        <v>0.37480857580398164</v>
      </c>
    </row>
    <row r="101" spans="1:13" x14ac:dyDescent="0.25">
      <c r="A101" s="1" t="s">
        <v>143</v>
      </c>
      <c r="B101" s="7">
        <v>5002</v>
      </c>
      <c r="C101" s="8">
        <v>1801</v>
      </c>
      <c r="D101">
        <v>11</v>
      </c>
      <c r="E101" s="1" t="s">
        <v>27</v>
      </c>
      <c r="F101" s="1" t="s">
        <v>49</v>
      </c>
      <c r="G101" s="1" t="s">
        <v>41</v>
      </c>
      <c r="H101" s="2">
        <v>45123</v>
      </c>
      <c r="I101" s="1" t="s">
        <v>144</v>
      </c>
      <c r="J101" s="1" t="s">
        <v>62</v>
      </c>
      <c r="K101" s="1" t="s">
        <v>111</v>
      </c>
      <c r="L101" s="2">
        <v>45108</v>
      </c>
      <c r="M101" s="6">
        <f>T_SALES[[#This Row],[Profit]]/T_SALES[[#This Row],[Amount]]</f>
        <v>0.36005597760895641</v>
      </c>
    </row>
    <row r="102" spans="1:13" x14ac:dyDescent="0.25">
      <c r="A102" s="1" t="s">
        <v>143</v>
      </c>
      <c r="B102" s="7">
        <v>7380</v>
      </c>
      <c r="C102" s="8">
        <v>1673</v>
      </c>
      <c r="D102">
        <v>18</v>
      </c>
      <c r="E102" s="1" t="s">
        <v>27</v>
      </c>
      <c r="F102" s="1" t="s">
        <v>49</v>
      </c>
      <c r="G102" s="1" t="s">
        <v>56</v>
      </c>
      <c r="H102" s="2">
        <v>45123</v>
      </c>
      <c r="I102" s="1" t="s">
        <v>144</v>
      </c>
      <c r="J102" s="1" t="s">
        <v>62</v>
      </c>
      <c r="K102" s="1" t="s">
        <v>111</v>
      </c>
      <c r="L102" s="2">
        <v>45108</v>
      </c>
      <c r="M102" s="6">
        <f>T_SALES[[#This Row],[Profit]]/T_SALES[[#This Row],[Amount]]</f>
        <v>0.22669376693766938</v>
      </c>
    </row>
    <row r="103" spans="1:13" x14ac:dyDescent="0.25">
      <c r="A103" s="1" t="s">
        <v>145</v>
      </c>
      <c r="B103" s="7">
        <v>7595</v>
      </c>
      <c r="C103" s="8">
        <v>2873</v>
      </c>
      <c r="D103">
        <v>4</v>
      </c>
      <c r="E103" s="1" t="s">
        <v>39</v>
      </c>
      <c r="F103" s="1" t="s">
        <v>43</v>
      </c>
      <c r="G103" s="1" t="s">
        <v>29</v>
      </c>
      <c r="H103" s="2">
        <v>44061</v>
      </c>
      <c r="I103" s="1" t="s">
        <v>146</v>
      </c>
      <c r="J103" s="1" t="s">
        <v>37</v>
      </c>
      <c r="K103" s="1" t="s">
        <v>38</v>
      </c>
      <c r="L103" s="2">
        <v>44044</v>
      </c>
      <c r="M103" s="6">
        <f>T_SALES[[#This Row],[Profit]]/T_SALES[[#This Row],[Amount]]</f>
        <v>0.378275181040158</v>
      </c>
    </row>
    <row r="104" spans="1:13" x14ac:dyDescent="0.25">
      <c r="A104" s="1" t="s">
        <v>145</v>
      </c>
      <c r="B104" s="7">
        <v>7595</v>
      </c>
      <c r="C104" s="8">
        <v>2873</v>
      </c>
      <c r="D104">
        <v>4</v>
      </c>
      <c r="E104" s="1" t="s">
        <v>39</v>
      </c>
      <c r="F104" s="1" t="s">
        <v>43</v>
      </c>
      <c r="G104" s="1" t="s">
        <v>29</v>
      </c>
      <c r="H104" s="2">
        <v>44670</v>
      </c>
      <c r="I104" s="1" t="s">
        <v>147</v>
      </c>
      <c r="J104" s="1" t="s">
        <v>23</v>
      </c>
      <c r="K104" s="1" t="s">
        <v>59</v>
      </c>
      <c r="L104" s="2">
        <v>44652</v>
      </c>
      <c r="M104" s="6">
        <f>T_SALES[[#This Row],[Profit]]/T_SALES[[#This Row],[Amount]]</f>
        <v>0.378275181040158</v>
      </c>
    </row>
    <row r="105" spans="1:13" x14ac:dyDescent="0.25">
      <c r="A105" s="1" t="s">
        <v>148</v>
      </c>
      <c r="B105" s="7">
        <v>1954</v>
      </c>
      <c r="C105" s="8">
        <v>294</v>
      </c>
      <c r="D105">
        <v>7</v>
      </c>
      <c r="E105" s="1" t="s">
        <v>39</v>
      </c>
      <c r="F105" s="1" t="s">
        <v>51</v>
      </c>
      <c r="G105" s="1" t="s">
        <v>29</v>
      </c>
      <c r="H105" s="2">
        <v>44918</v>
      </c>
      <c r="I105" s="1" t="s">
        <v>149</v>
      </c>
      <c r="J105" s="1" t="s">
        <v>62</v>
      </c>
      <c r="K105" s="1" t="s">
        <v>74</v>
      </c>
      <c r="L105" s="2">
        <v>44896</v>
      </c>
      <c r="M105" s="6">
        <f>T_SALES[[#This Row],[Profit]]/T_SALES[[#This Row],[Amount]]</f>
        <v>0.15046059365404299</v>
      </c>
    </row>
    <row r="106" spans="1:13" x14ac:dyDescent="0.25">
      <c r="A106" s="1" t="s">
        <v>150</v>
      </c>
      <c r="B106" s="7">
        <v>523</v>
      </c>
      <c r="C106" s="8">
        <v>95</v>
      </c>
      <c r="D106">
        <v>20</v>
      </c>
      <c r="E106" s="1" t="s">
        <v>13</v>
      </c>
      <c r="F106" s="1" t="s">
        <v>25</v>
      </c>
      <c r="G106" s="1" t="s">
        <v>35</v>
      </c>
      <c r="H106" s="2">
        <v>45633</v>
      </c>
      <c r="I106" s="1" t="s">
        <v>151</v>
      </c>
      <c r="J106" s="1" t="s">
        <v>62</v>
      </c>
      <c r="K106" s="1" t="s">
        <v>63</v>
      </c>
      <c r="L106" s="2">
        <v>45627</v>
      </c>
      <c r="M106" s="6">
        <f>T_SALES[[#This Row],[Profit]]/T_SALES[[#This Row],[Amount]]</f>
        <v>0.18164435946462715</v>
      </c>
    </row>
    <row r="107" spans="1:13" x14ac:dyDescent="0.25">
      <c r="A107" s="1" t="s">
        <v>152</v>
      </c>
      <c r="B107" s="7">
        <v>5704</v>
      </c>
      <c r="C107" s="8">
        <v>714</v>
      </c>
      <c r="D107">
        <v>13</v>
      </c>
      <c r="E107" s="1" t="s">
        <v>13</v>
      </c>
      <c r="F107" s="1" t="s">
        <v>34</v>
      </c>
      <c r="G107" s="1" t="s">
        <v>35</v>
      </c>
      <c r="H107" s="2">
        <v>44595</v>
      </c>
      <c r="I107" s="1" t="s">
        <v>153</v>
      </c>
      <c r="J107" s="1" t="s">
        <v>62</v>
      </c>
      <c r="K107" s="1" t="s">
        <v>74</v>
      </c>
      <c r="L107" s="2">
        <v>44593</v>
      </c>
      <c r="M107" s="6">
        <f>T_SALES[[#This Row],[Profit]]/T_SALES[[#This Row],[Amount]]</f>
        <v>0.12517531556802244</v>
      </c>
    </row>
    <row r="108" spans="1:13" x14ac:dyDescent="0.25">
      <c r="A108" s="1" t="s">
        <v>152</v>
      </c>
      <c r="B108" s="7">
        <v>5704</v>
      </c>
      <c r="C108" s="8">
        <v>714</v>
      </c>
      <c r="D108">
        <v>13</v>
      </c>
      <c r="E108" s="1" t="s">
        <v>13</v>
      </c>
      <c r="F108" s="1" t="s">
        <v>34</v>
      </c>
      <c r="G108" s="1" t="s">
        <v>35</v>
      </c>
      <c r="H108" s="2">
        <v>44542</v>
      </c>
      <c r="I108" s="1" t="s">
        <v>154</v>
      </c>
      <c r="J108" s="1" t="s">
        <v>37</v>
      </c>
      <c r="K108" s="1" t="s">
        <v>65</v>
      </c>
      <c r="L108" s="2">
        <v>44531</v>
      </c>
      <c r="M108" s="6">
        <f>T_SALES[[#This Row],[Profit]]/T_SALES[[#This Row],[Amount]]</f>
        <v>0.12517531556802244</v>
      </c>
    </row>
    <row r="109" spans="1:13" x14ac:dyDescent="0.25">
      <c r="A109" s="1" t="s">
        <v>152</v>
      </c>
      <c r="B109" s="7">
        <v>8797</v>
      </c>
      <c r="C109" s="8">
        <v>1010</v>
      </c>
      <c r="D109">
        <v>8</v>
      </c>
      <c r="E109" s="1" t="s">
        <v>39</v>
      </c>
      <c r="F109" s="1" t="s">
        <v>40</v>
      </c>
      <c r="G109" s="1" t="s">
        <v>15</v>
      </c>
      <c r="H109" s="2">
        <v>44595</v>
      </c>
      <c r="I109" s="1" t="s">
        <v>153</v>
      </c>
      <c r="J109" s="1" t="s">
        <v>62</v>
      </c>
      <c r="K109" s="1" t="s">
        <v>74</v>
      </c>
      <c r="L109" s="2">
        <v>44593</v>
      </c>
      <c r="M109" s="6">
        <f>T_SALES[[#This Row],[Profit]]/T_SALES[[#This Row],[Amount]]</f>
        <v>0.11481186768216438</v>
      </c>
    </row>
    <row r="110" spans="1:13" x14ac:dyDescent="0.25">
      <c r="A110" s="1" t="s">
        <v>152</v>
      </c>
      <c r="B110" s="7">
        <v>8797</v>
      </c>
      <c r="C110" s="8">
        <v>1010</v>
      </c>
      <c r="D110">
        <v>8</v>
      </c>
      <c r="E110" s="1" t="s">
        <v>39</v>
      </c>
      <c r="F110" s="1" t="s">
        <v>40</v>
      </c>
      <c r="G110" s="1" t="s">
        <v>15</v>
      </c>
      <c r="H110" s="2">
        <v>44542</v>
      </c>
      <c r="I110" s="1" t="s">
        <v>154</v>
      </c>
      <c r="J110" s="1" t="s">
        <v>37</v>
      </c>
      <c r="K110" s="1" t="s">
        <v>65</v>
      </c>
      <c r="L110" s="2">
        <v>44531</v>
      </c>
      <c r="M110" s="6">
        <f>T_SALES[[#This Row],[Profit]]/T_SALES[[#This Row],[Amount]]</f>
        <v>0.11481186768216438</v>
      </c>
    </row>
    <row r="111" spans="1:13" x14ac:dyDescent="0.25">
      <c r="A111" s="1" t="s">
        <v>152</v>
      </c>
      <c r="B111" s="7">
        <v>9236</v>
      </c>
      <c r="C111" s="8">
        <v>2899</v>
      </c>
      <c r="D111">
        <v>5</v>
      </c>
      <c r="E111" s="1" t="s">
        <v>13</v>
      </c>
      <c r="F111" s="1" t="s">
        <v>34</v>
      </c>
      <c r="G111" s="1" t="s">
        <v>29</v>
      </c>
      <c r="H111" s="2">
        <v>44595</v>
      </c>
      <c r="I111" s="1" t="s">
        <v>153</v>
      </c>
      <c r="J111" s="1" t="s">
        <v>62</v>
      </c>
      <c r="K111" s="1" t="s">
        <v>74</v>
      </c>
      <c r="L111" s="2">
        <v>44593</v>
      </c>
      <c r="M111" s="6">
        <f>T_SALES[[#This Row],[Profit]]/T_SALES[[#This Row],[Amount]]</f>
        <v>0.31388046773495021</v>
      </c>
    </row>
    <row r="112" spans="1:13" x14ac:dyDescent="0.25">
      <c r="A112" s="1" t="s">
        <v>152</v>
      </c>
      <c r="B112" s="7">
        <v>9236</v>
      </c>
      <c r="C112" s="8">
        <v>2899</v>
      </c>
      <c r="D112">
        <v>5</v>
      </c>
      <c r="E112" s="1" t="s">
        <v>13</v>
      </c>
      <c r="F112" s="1" t="s">
        <v>34</v>
      </c>
      <c r="G112" s="1" t="s">
        <v>29</v>
      </c>
      <c r="H112" s="2">
        <v>44542</v>
      </c>
      <c r="I112" s="1" t="s">
        <v>154</v>
      </c>
      <c r="J112" s="1" t="s">
        <v>37</v>
      </c>
      <c r="K112" s="1" t="s">
        <v>65</v>
      </c>
      <c r="L112" s="2">
        <v>44531</v>
      </c>
      <c r="M112" s="6">
        <f>T_SALES[[#This Row],[Profit]]/T_SALES[[#This Row],[Amount]]</f>
        <v>0.31388046773495021</v>
      </c>
    </row>
    <row r="113" spans="1:13" x14ac:dyDescent="0.25">
      <c r="A113" s="1" t="s">
        <v>155</v>
      </c>
      <c r="B113" s="7">
        <v>9109</v>
      </c>
      <c r="C113" s="8">
        <v>586</v>
      </c>
      <c r="D113">
        <v>17</v>
      </c>
      <c r="E113" s="1" t="s">
        <v>39</v>
      </c>
      <c r="F113" s="1" t="s">
        <v>51</v>
      </c>
      <c r="G113" s="1" t="s">
        <v>35</v>
      </c>
      <c r="H113" s="2">
        <v>43968</v>
      </c>
      <c r="I113" s="1" t="s">
        <v>156</v>
      </c>
      <c r="J113" s="1" t="s">
        <v>17</v>
      </c>
      <c r="K113" s="1" t="s">
        <v>18</v>
      </c>
      <c r="L113" s="2">
        <v>43952</v>
      </c>
      <c r="M113" s="6">
        <f>T_SALES[[#This Row],[Profit]]/T_SALES[[#This Row],[Amount]]</f>
        <v>6.4331979361071462E-2</v>
      </c>
    </row>
    <row r="114" spans="1:13" x14ac:dyDescent="0.25">
      <c r="A114" s="1" t="s">
        <v>157</v>
      </c>
      <c r="B114" s="7">
        <v>4358</v>
      </c>
      <c r="C114" s="8">
        <v>526</v>
      </c>
      <c r="D114">
        <v>19</v>
      </c>
      <c r="E114" s="1" t="s">
        <v>13</v>
      </c>
      <c r="F114" s="1" t="s">
        <v>70</v>
      </c>
      <c r="G114" s="1" t="s">
        <v>41</v>
      </c>
      <c r="H114" s="2">
        <v>44900</v>
      </c>
      <c r="I114" s="1" t="s">
        <v>158</v>
      </c>
      <c r="J114" s="1" t="s">
        <v>62</v>
      </c>
      <c r="K114" s="1" t="s">
        <v>63</v>
      </c>
      <c r="L114" s="2">
        <v>44896</v>
      </c>
      <c r="M114" s="6">
        <f>T_SALES[[#This Row],[Profit]]/T_SALES[[#This Row],[Amount]]</f>
        <v>0.12069756769160166</v>
      </c>
    </row>
    <row r="115" spans="1:13" x14ac:dyDescent="0.25">
      <c r="A115" s="1" t="s">
        <v>157</v>
      </c>
      <c r="B115" s="7">
        <v>4358</v>
      </c>
      <c r="C115" s="8">
        <v>526</v>
      </c>
      <c r="D115">
        <v>19</v>
      </c>
      <c r="E115" s="1" t="s">
        <v>13</v>
      </c>
      <c r="F115" s="1" t="s">
        <v>70</v>
      </c>
      <c r="G115" s="1" t="s">
        <v>41</v>
      </c>
      <c r="H115" s="2">
        <v>45552</v>
      </c>
      <c r="I115" s="1" t="s">
        <v>159</v>
      </c>
      <c r="J115" s="1" t="s">
        <v>37</v>
      </c>
      <c r="K115" s="1" t="s">
        <v>78</v>
      </c>
      <c r="L115" s="2">
        <v>45536</v>
      </c>
      <c r="M115" s="6">
        <f>T_SALES[[#This Row],[Profit]]/T_SALES[[#This Row],[Amount]]</f>
        <v>0.12069756769160166</v>
      </c>
    </row>
    <row r="116" spans="1:13" x14ac:dyDescent="0.25">
      <c r="A116" s="1" t="s">
        <v>157</v>
      </c>
      <c r="B116" s="7">
        <v>6459</v>
      </c>
      <c r="C116" s="8">
        <v>825</v>
      </c>
      <c r="D116">
        <v>8</v>
      </c>
      <c r="E116" s="1" t="s">
        <v>13</v>
      </c>
      <c r="F116" s="1" t="s">
        <v>70</v>
      </c>
      <c r="G116" s="1" t="s">
        <v>41</v>
      </c>
      <c r="H116" s="2">
        <v>44900</v>
      </c>
      <c r="I116" s="1" t="s">
        <v>158</v>
      </c>
      <c r="J116" s="1" t="s">
        <v>62</v>
      </c>
      <c r="K116" s="1" t="s">
        <v>63</v>
      </c>
      <c r="L116" s="2">
        <v>44896</v>
      </c>
      <c r="M116" s="6">
        <f>T_SALES[[#This Row],[Profit]]/T_SALES[[#This Row],[Amount]]</f>
        <v>0.12772875058058522</v>
      </c>
    </row>
    <row r="117" spans="1:13" x14ac:dyDescent="0.25">
      <c r="A117" s="1" t="s">
        <v>157</v>
      </c>
      <c r="B117" s="7">
        <v>6459</v>
      </c>
      <c r="C117" s="8">
        <v>825</v>
      </c>
      <c r="D117">
        <v>8</v>
      </c>
      <c r="E117" s="1" t="s">
        <v>13</v>
      </c>
      <c r="F117" s="1" t="s">
        <v>70</v>
      </c>
      <c r="G117" s="1" t="s">
        <v>41</v>
      </c>
      <c r="H117" s="2">
        <v>45552</v>
      </c>
      <c r="I117" s="1" t="s">
        <v>159</v>
      </c>
      <c r="J117" s="1" t="s">
        <v>37</v>
      </c>
      <c r="K117" s="1" t="s">
        <v>78</v>
      </c>
      <c r="L117" s="2">
        <v>45536</v>
      </c>
      <c r="M117" s="6">
        <f>T_SALES[[#This Row],[Profit]]/T_SALES[[#This Row],[Amount]]</f>
        <v>0.12772875058058522</v>
      </c>
    </row>
    <row r="118" spans="1:13" x14ac:dyDescent="0.25">
      <c r="A118" s="1" t="s">
        <v>160</v>
      </c>
      <c r="B118" s="7">
        <v>2478</v>
      </c>
      <c r="C118" s="8">
        <v>92</v>
      </c>
      <c r="D118">
        <v>12</v>
      </c>
      <c r="E118" s="1" t="s">
        <v>39</v>
      </c>
      <c r="F118" s="1" t="s">
        <v>90</v>
      </c>
      <c r="G118" s="1" t="s">
        <v>56</v>
      </c>
      <c r="H118" s="2">
        <v>45054</v>
      </c>
      <c r="I118" s="1" t="s">
        <v>161</v>
      </c>
      <c r="J118" s="1" t="s">
        <v>37</v>
      </c>
      <c r="K118" s="1" t="s">
        <v>78</v>
      </c>
      <c r="L118" s="2">
        <v>45047</v>
      </c>
      <c r="M118" s="6">
        <f>T_SALES[[#This Row],[Profit]]/T_SALES[[#This Row],[Amount]]</f>
        <v>3.7126715092816787E-2</v>
      </c>
    </row>
    <row r="119" spans="1:13" x14ac:dyDescent="0.25">
      <c r="A119" s="1" t="s">
        <v>160</v>
      </c>
      <c r="B119" s="7">
        <v>2478</v>
      </c>
      <c r="C119" s="8">
        <v>92</v>
      </c>
      <c r="D119">
        <v>12</v>
      </c>
      <c r="E119" s="1" t="s">
        <v>39</v>
      </c>
      <c r="F119" s="1" t="s">
        <v>90</v>
      </c>
      <c r="G119" s="1" t="s">
        <v>56</v>
      </c>
      <c r="H119" s="2">
        <v>44258</v>
      </c>
      <c r="I119" s="1" t="s">
        <v>162</v>
      </c>
      <c r="J119" s="1" t="s">
        <v>23</v>
      </c>
      <c r="K119" s="1" t="s">
        <v>45</v>
      </c>
      <c r="L119" s="2">
        <v>44256</v>
      </c>
      <c r="M119" s="6">
        <f>T_SALES[[#This Row],[Profit]]/T_SALES[[#This Row],[Amount]]</f>
        <v>3.7126715092816787E-2</v>
      </c>
    </row>
    <row r="120" spans="1:13" x14ac:dyDescent="0.25">
      <c r="A120" s="1" t="s">
        <v>160</v>
      </c>
      <c r="B120" s="7">
        <v>2478</v>
      </c>
      <c r="C120" s="8">
        <v>92</v>
      </c>
      <c r="D120">
        <v>12</v>
      </c>
      <c r="E120" s="1" t="s">
        <v>39</v>
      </c>
      <c r="F120" s="1" t="s">
        <v>90</v>
      </c>
      <c r="G120" s="1" t="s">
        <v>56</v>
      </c>
      <c r="H120" s="2">
        <v>44273</v>
      </c>
      <c r="I120" s="1" t="s">
        <v>163</v>
      </c>
      <c r="J120" s="1" t="s">
        <v>37</v>
      </c>
      <c r="K120" s="1" t="s">
        <v>78</v>
      </c>
      <c r="L120" s="2">
        <v>44256</v>
      </c>
      <c r="M120" s="6">
        <f>T_SALES[[#This Row],[Profit]]/T_SALES[[#This Row],[Amount]]</f>
        <v>3.7126715092816787E-2</v>
      </c>
    </row>
    <row r="121" spans="1:13" x14ac:dyDescent="0.25">
      <c r="A121" s="1" t="s">
        <v>160</v>
      </c>
      <c r="B121" s="7">
        <v>2478</v>
      </c>
      <c r="C121" s="8">
        <v>92</v>
      </c>
      <c r="D121">
        <v>12</v>
      </c>
      <c r="E121" s="1" t="s">
        <v>39</v>
      </c>
      <c r="F121" s="1" t="s">
        <v>90</v>
      </c>
      <c r="G121" s="1" t="s">
        <v>56</v>
      </c>
      <c r="H121" s="2">
        <v>45040</v>
      </c>
      <c r="I121" s="1" t="s">
        <v>164</v>
      </c>
      <c r="J121" s="1" t="s">
        <v>82</v>
      </c>
      <c r="K121" s="1" t="s">
        <v>97</v>
      </c>
      <c r="L121" s="2">
        <v>45017</v>
      </c>
      <c r="M121" s="6">
        <f>T_SALES[[#This Row],[Profit]]/T_SALES[[#This Row],[Amount]]</f>
        <v>3.7126715092816787E-2</v>
      </c>
    </row>
    <row r="122" spans="1:13" x14ac:dyDescent="0.25">
      <c r="A122" s="1" t="s">
        <v>165</v>
      </c>
      <c r="B122" s="7">
        <v>9992</v>
      </c>
      <c r="C122" s="8">
        <v>3696</v>
      </c>
      <c r="D122">
        <v>20</v>
      </c>
      <c r="E122" s="1" t="s">
        <v>27</v>
      </c>
      <c r="F122" s="1" t="s">
        <v>28</v>
      </c>
      <c r="G122" s="1" t="s">
        <v>29</v>
      </c>
      <c r="H122" s="2">
        <v>44478</v>
      </c>
      <c r="I122" s="1" t="s">
        <v>166</v>
      </c>
      <c r="J122" s="1" t="s">
        <v>23</v>
      </c>
      <c r="K122" s="1" t="s">
        <v>59</v>
      </c>
      <c r="L122" s="2">
        <v>44470</v>
      </c>
      <c r="M122" s="6">
        <f>T_SALES[[#This Row],[Profit]]/T_SALES[[#This Row],[Amount]]</f>
        <v>0.36989591673338673</v>
      </c>
    </row>
    <row r="123" spans="1:13" x14ac:dyDescent="0.25">
      <c r="A123" s="1" t="s">
        <v>165</v>
      </c>
      <c r="B123" s="7">
        <v>9992</v>
      </c>
      <c r="C123" s="8">
        <v>3696</v>
      </c>
      <c r="D123">
        <v>20</v>
      </c>
      <c r="E123" s="1" t="s">
        <v>27</v>
      </c>
      <c r="F123" s="1" t="s">
        <v>28</v>
      </c>
      <c r="G123" s="1" t="s">
        <v>29</v>
      </c>
      <c r="H123" s="2">
        <v>44666</v>
      </c>
      <c r="I123" s="1" t="s">
        <v>167</v>
      </c>
      <c r="J123" s="1" t="s">
        <v>62</v>
      </c>
      <c r="K123" s="1" t="s">
        <v>74</v>
      </c>
      <c r="L123" s="2">
        <v>44652</v>
      </c>
      <c r="M123" s="6">
        <f>T_SALES[[#This Row],[Profit]]/T_SALES[[#This Row],[Amount]]</f>
        <v>0.36989591673338673</v>
      </c>
    </row>
    <row r="124" spans="1:13" x14ac:dyDescent="0.25">
      <c r="A124" s="1" t="s">
        <v>165</v>
      </c>
      <c r="B124" s="7">
        <v>9992</v>
      </c>
      <c r="C124" s="8">
        <v>3696</v>
      </c>
      <c r="D124">
        <v>20</v>
      </c>
      <c r="E124" s="1" t="s">
        <v>27</v>
      </c>
      <c r="F124" s="1" t="s">
        <v>28</v>
      </c>
      <c r="G124" s="1" t="s">
        <v>29</v>
      </c>
      <c r="H124" s="2">
        <v>44802</v>
      </c>
      <c r="I124" s="1" t="s">
        <v>168</v>
      </c>
      <c r="J124" s="1" t="s">
        <v>23</v>
      </c>
      <c r="K124" s="1" t="s">
        <v>59</v>
      </c>
      <c r="L124" s="2">
        <v>44774</v>
      </c>
      <c r="M124" s="6">
        <f>T_SALES[[#This Row],[Profit]]/T_SALES[[#This Row],[Amount]]</f>
        <v>0.36989591673338673</v>
      </c>
    </row>
    <row r="125" spans="1:13" x14ac:dyDescent="0.25">
      <c r="A125" s="1" t="s">
        <v>165</v>
      </c>
      <c r="B125" s="7">
        <v>9619</v>
      </c>
      <c r="C125" s="8">
        <v>3420</v>
      </c>
      <c r="D125">
        <v>7</v>
      </c>
      <c r="E125" s="1" t="s">
        <v>27</v>
      </c>
      <c r="F125" s="1" t="s">
        <v>67</v>
      </c>
      <c r="G125" s="1" t="s">
        <v>15</v>
      </c>
      <c r="H125" s="2">
        <v>44478</v>
      </c>
      <c r="I125" s="1" t="s">
        <v>166</v>
      </c>
      <c r="J125" s="1" t="s">
        <v>23</v>
      </c>
      <c r="K125" s="1" t="s">
        <v>59</v>
      </c>
      <c r="L125" s="2">
        <v>44470</v>
      </c>
      <c r="M125" s="6">
        <f>T_SALES[[#This Row],[Profit]]/T_SALES[[#This Row],[Amount]]</f>
        <v>0.35554631458571578</v>
      </c>
    </row>
    <row r="126" spans="1:13" x14ac:dyDescent="0.25">
      <c r="A126" s="1" t="s">
        <v>165</v>
      </c>
      <c r="B126" s="7">
        <v>9619</v>
      </c>
      <c r="C126" s="8">
        <v>3420</v>
      </c>
      <c r="D126">
        <v>7</v>
      </c>
      <c r="E126" s="1" t="s">
        <v>27</v>
      </c>
      <c r="F126" s="1" t="s">
        <v>67</v>
      </c>
      <c r="G126" s="1" t="s">
        <v>15</v>
      </c>
      <c r="H126" s="2">
        <v>44666</v>
      </c>
      <c r="I126" s="1" t="s">
        <v>167</v>
      </c>
      <c r="J126" s="1" t="s">
        <v>62</v>
      </c>
      <c r="K126" s="1" t="s">
        <v>74</v>
      </c>
      <c r="L126" s="2">
        <v>44652</v>
      </c>
      <c r="M126" s="6">
        <f>T_SALES[[#This Row],[Profit]]/T_SALES[[#This Row],[Amount]]</f>
        <v>0.35554631458571578</v>
      </c>
    </row>
    <row r="127" spans="1:13" x14ac:dyDescent="0.25">
      <c r="A127" s="1" t="s">
        <v>165</v>
      </c>
      <c r="B127" s="7">
        <v>9619</v>
      </c>
      <c r="C127" s="8">
        <v>3420</v>
      </c>
      <c r="D127">
        <v>7</v>
      </c>
      <c r="E127" s="1" t="s">
        <v>27</v>
      </c>
      <c r="F127" s="1" t="s">
        <v>67</v>
      </c>
      <c r="G127" s="1" t="s">
        <v>15</v>
      </c>
      <c r="H127" s="2">
        <v>44802</v>
      </c>
      <c r="I127" s="1" t="s">
        <v>168</v>
      </c>
      <c r="J127" s="1" t="s">
        <v>23</v>
      </c>
      <c r="K127" s="1" t="s">
        <v>59</v>
      </c>
      <c r="L127" s="2">
        <v>44774</v>
      </c>
      <c r="M127" s="6">
        <f>T_SALES[[#This Row],[Profit]]/T_SALES[[#This Row],[Amount]]</f>
        <v>0.35554631458571578</v>
      </c>
    </row>
    <row r="128" spans="1:13" x14ac:dyDescent="0.25">
      <c r="A128" s="1" t="s">
        <v>169</v>
      </c>
      <c r="B128" s="7">
        <v>9538</v>
      </c>
      <c r="C128" s="8">
        <v>3158</v>
      </c>
      <c r="D128">
        <v>20</v>
      </c>
      <c r="E128" s="1" t="s">
        <v>13</v>
      </c>
      <c r="F128" s="1" t="s">
        <v>25</v>
      </c>
      <c r="G128" s="1" t="s">
        <v>41</v>
      </c>
      <c r="H128" s="2">
        <v>45539</v>
      </c>
      <c r="I128" s="1" t="s">
        <v>170</v>
      </c>
      <c r="J128" s="1" t="s">
        <v>37</v>
      </c>
      <c r="K128" s="1" t="s">
        <v>78</v>
      </c>
      <c r="L128" s="2">
        <v>45536</v>
      </c>
      <c r="M128" s="6">
        <f>T_SALES[[#This Row],[Profit]]/T_SALES[[#This Row],[Amount]]</f>
        <v>0.33109666596770809</v>
      </c>
    </row>
    <row r="129" spans="1:13" x14ac:dyDescent="0.25">
      <c r="A129" s="1" t="s">
        <v>169</v>
      </c>
      <c r="B129" s="7">
        <v>9538</v>
      </c>
      <c r="C129" s="8">
        <v>3158</v>
      </c>
      <c r="D129">
        <v>20</v>
      </c>
      <c r="E129" s="1" t="s">
        <v>13</v>
      </c>
      <c r="F129" s="1" t="s">
        <v>25</v>
      </c>
      <c r="G129" s="1" t="s">
        <v>41</v>
      </c>
      <c r="H129" s="2">
        <v>44334</v>
      </c>
      <c r="I129" s="1" t="s">
        <v>171</v>
      </c>
      <c r="J129" s="1" t="s">
        <v>82</v>
      </c>
      <c r="K129" s="1" t="s">
        <v>97</v>
      </c>
      <c r="L129" s="2">
        <v>44317</v>
      </c>
      <c r="M129" s="6">
        <f>T_SALES[[#This Row],[Profit]]/T_SALES[[#This Row],[Amount]]</f>
        <v>0.33109666596770809</v>
      </c>
    </row>
    <row r="130" spans="1:13" x14ac:dyDescent="0.25">
      <c r="A130" s="1" t="s">
        <v>169</v>
      </c>
      <c r="B130" s="7">
        <v>9035</v>
      </c>
      <c r="C130" s="8">
        <v>1227</v>
      </c>
      <c r="D130">
        <v>14</v>
      </c>
      <c r="E130" s="1" t="s">
        <v>39</v>
      </c>
      <c r="F130" s="1" t="s">
        <v>43</v>
      </c>
      <c r="G130" s="1" t="s">
        <v>35</v>
      </c>
      <c r="H130" s="2">
        <v>45539</v>
      </c>
      <c r="I130" s="1" t="s">
        <v>170</v>
      </c>
      <c r="J130" s="1" t="s">
        <v>37</v>
      </c>
      <c r="K130" s="1" t="s">
        <v>78</v>
      </c>
      <c r="L130" s="2">
        <v>45536</v>
      </c>
      <c r="M130" s="6">
        <f>T_SALES[[#This Row],[Profit]]/T_SALES[[#This Row],[Amount]]</f>
        <v>0.13580520199225235</v>
      </c>
    </row>
    <row r="131" spans="1:13" x14ac:dyDescent="0.25">
      <c r="A131" s="1" t="s">
        <v>169</v>
      </c>
      <c r="B131" s="7">
        <v>9035</v>
      </c>
      <c r="C131" s="8">
        <v>1227</v>
      </c>
      <c r="D131">
        <v>14</v>
      </c>
      <c r="E131" s="1" t="s">
        <v>39</v>
      </c>
      <c r="F131" s="1" t="s">
        <v>43</v>
      </c>
      <c r="G131" s="1" t="s">
        <v>35</v>
      </c>
      <c r="H131" s="2">
        <v>44334</v>
      </c>
      <c r="I131" s="1" t="s">
        <v>171</v>
      </c>
      <c r="J131" s="1" t="s">
        <v>82</v>
      </c>
      <c r="K131" s="1" t="s">
        <v>97</v>
      </c>
      <c r="L131" s="2">
        <v>44317</v>
      </c>
      <c r="M131" s="6">
        <f>T_SALES[[#This Row],[Profit]]/T_SALES[[#This Row],[Amount]]</f>
        <v>0.13580520199225235</v>
      </c>
    </row>
    <row r="132" spans="1:13" x14ac:dyDescent="0.25">
      <c r="A132" s="1" t="s">
        <v>172</v>
      </c>
      <c r="B132" s="7">
        <v>2684</v>
      </c>
      <c r="C132" s="8">
        <v>670</v>
      </c>
      <c r="D132">
        <v>2</v>
      </c>
      <c r="E132" s="1" t="s">
        <v>27</v>
      </c>
      <c r="F132" s="1" t="s">
        <v>55</v>
      </c>
      <c r="G132" s="1" t="s">
        <v>56</v>
      </c>
      <c r="H132" s="2">
        <v>45475</v>
      </c>
      <c r="I132" s="1" t="s">
        <v>173</v>
      </c>
      <c r="J132" s="1" t="s">
        <v>17</v>
      </c>
      <c r="K132" s="1" t="s">
        <v>121</v>
      </c>
      <c r="L132" s="2">
        <v>45474</v>
      </c>
      <c r="M132" s="6">
        <f>T_SALES[[#This Row],[Profit]]/T_SALES[[#This Row],[Amount]]</f>
        <v>0.24962742175856931</v>
      </c>
    </row>
    <row r="133" spans="1:13" x14ac:dyDescent="0.25">
      <c r="A133" s="1" t="s">
        <v>172</v>
      </c>
      <c r="B133" s="7">
        <v>822</v>
      </c>
      <c r="C133" s="8">
        <v>147</v>
      </c>
      <c r="D133">
        <v>5</v>
      </c>
      <c r="E133" s="1" t="s">
        <v>39</v>
      </c>
      <c r="F133" s="1" t="s">
        <v>51</v>
      </c>
      <c r="G133" s="1" t="s">
        <v>41</v>
      </c>
      <c r="H133" s="2">
        <v>45475</v>
      </c>
      <c r="I133" s="1" t="s">
        <v>173</v>
      </c>
      <c r="J133" s="1" t="s">
        <v>17</v>
      </c>
      <c r="K133" s="1" t="s">
        <v>121</v>
      </c>
      <c r="L133" s="2">
        <v>45474</v>
      </c>
      <c r="M133" s="6">
        <f>T_SALES[[#This Row],[Profit]]/T_SALES[[#This Row],[Amount]]</f>
        <v>0.17883211678832117</v>
      </c>
    </row>
    <row r="134" spans="1:13" x14ac:dyDescent="0.25">
      <c r="A134" s="1" t="s">
        <v>172</v>
      </c>
      <c r="B134" s="7">
        <v>9730</v>
      </c>
      <c r="C134" s="8">
        <v>2341</v>
      </c>
      <c r="D134">
        <v>2</v>
      </c>
      <c r="E134" s="1" t="s">
        <v>39</v>
      </c>
      <c r="F134" s="1" t="s">
        <v>43</v>
      </c>
      <c r="G134" s="1" t="s">
        <v>35</v>
      </c>
      <c r="H134" s="2">
        <v>45475</v>
      </c>
      <c r="I134" s="1" t="s">
        <v>173</v>
      </c>
      <c r="J134" s="1" t="s">
        <v>17</v>
      </c>
      <c r="K134" s="1" t="s">
        <v>121</v>
      </c>
      <c r="L134" s="2">
        <v>45474</v>
      </c>
      <c r="M134" s="6">
        <f>T_SALES[[#This Row],[Profit]]/T_SALES[[#This Row],[Amount]]</f>
        <v>0.24059609455292907</v>
      </c>
    </row>
    <row r="135" spans="1:13" x14ac:dyDescent="0.25">
      <c r="A135" s="1" t="s">
        <v>172</v>
      </c>
      <c r="B135" s="7">
        <v>2483</v>
      </c>
      <c r="C135" s="8">
        <v>236</v>
      </c>
      <c r="D135">
        <v>2</v>
      </c>
      <c r="E135" s="1" t="s">
        <v>13</v>
      </c>
      <c r="F135" s="1" t="s">
        <v>14</v>
      </c>
      <c r="G135" s="1" t="s">
        <v>56</v>
      </c>
      <c r="H135" s="2">
        <v>45475</v>
      </c>
      <c r="I135" s="1" t="s">
        <v>173</v>
      </c>
      <c r="J135" s="1" t="s">
        <v>17</v>
      </c>
      <c r="K135" s="1" t="s">
        <v>121</v>
      </c>
      <c r="L135" s="2">
        <v>45474</v>
      </c>
      <c r="M135" s="6">
        <f>T_SALES[[#This Row],[Profit]]/T_SALES[[#This Row],[Amount]]</f>
        <v>9.50463149416029E-2</v>
      </c>
    </row>
    <row r="136" spans="1:13" x14ac:dyDescent="0.25">
      <c r="A136" s="1" t="s">
        <v>174</v>
      </c>
      <c r="B136" s="7">
        <v>1297</v>
      </c>
      <c r="C136" s="8">
        <v>600</v>
      </c>
      <c r="D136">
        <v>7</v>
      </c>
      <c r="E136" s="1" t="s">
        <v>27</v>
      </c>
      <c r="F136" s="1" t="s">
        <v>67</v>
      </c>
      <c r="G136" s="1" t="s">
        <v>41</v>
      </c>
      <c r="H136" s="2">
        <v>45338</v>
      </c>
      <c r="I136" s="1" t="s">
        <v>175</v>
      </c>
      <c r="J136" s="1" t="s">
        <v>17</v>
      </c>
      <c r="K136" s="1" t="s">
        <v>31</v>
      </c>
      <c r="L136" s="2">
        <v>45323</v>
      </c>
      <c r="M136" s="6">
        <f>T_SALES[[#This Row],[Profit]]/T_SALES[[#This Row],[Amount]]</f>
        <v>0.4626060138781804</v>
      </c>
    </row>
    <row r="137" spans="1:13" x14ac:dyDescent="0.25">
      <c r="A137" s="1" t="s">
        <v>174</v>
      </c>
      <c r="B137" s="7">
        <v>7909</v>
      </c>
      <c r="C137" s="8">
        <v>1942</v>
      </c>
      <c r="D137">
        <v>19</v>
      </c>
      <c r="E137" s="1" t="s">
        <v>13</v>
      </c>
      <c r="F137" s="1" t="s">
        <v>70</v>
      </c>
      <c r="G137" s="1" t="s">
        <v>56</v>
      </c>
      <c r="H137" s="2">
        <v>45338</v>
      </c>
      <c r="I137" s="1" t="s">
        <v>175</v>
      </c>
      <c r="J137" s="1" t="s">
        <v>17</v>
      </c>
      <c r="K137" s="1" t="s">
        <v>31</v>
      </c>
      <c r="L137" s="2">
        <v>45323</v>
      </c>
      <c r="M137" s="6">
        <f>T_SALES[[#This Row],[Profit]]/T_SALES[[#This Row],[Amount]]</f>
        <v>0.24554305221899103</v>
      </c>
    </row>
    <row r="138" spans="1:13" x14ac:dyDescent="0.25">
      <c r="A138" s="1" t="s">
        <v>176</v>
      </c>
      <c r="B138" s="7">
        <v>9768</v>
      </c>
      <c r="C138" s="8">
        <v>4518</v>
      </c>
      <c r="D138">
        <v>8</v>
      </c>
      <c r="E138" s="1" t="s">
        <v>39</v>
      </c>
      <c r="F138" s="1" t="s">
        <v>40</v>
      </c>
      <c r="G138" s="1" t="s">
        <v>41</v>
      </c>
      <c r="H138" s="2">
        <v>44526</v>
      </c>
      <c r="I138" s="1" t="s">
        <v>177</v>
      </c>
      <c r="J138" s="1" t="s">
        <v>62</v>
      </c>
      <c r="K138" s="1" t="s">
        <v>63</v>
      </c>
      <c r="L138" s="2">
        <v>44501</v>
      </c>
      <c r="M138" s="6">
        <f>T_SALES[[#This Row],[Profit]]/T_SALES[[#This Row],[Amount]]</f>
        <v>0.46253071253071254</v>
      </c>
    </row>
    <row r="139" spans="1:13" x14ac:dyDescent="0.25">
      <c r="A139" s="1" t="s">
        <v>176</v>
      </c>
      <c r="B139" s="7">
        <v>4968</v>
      </c>
      <c r="C139" s="8">
        <v>934</v>
      </c>
      <c r="D139">
        <v>5</v>
      </c>
      <c r="E139" s="1" t="s">
        <v>39</v>
      </c>
      <c r="F139" s="1" t="s">
        <v>51</v>
      </c>
      <c r="G139" s="1" t="s">
        <v>29</v>
      </c>
      <c r="H139" s="2">
        <v>44526</v>
      </c>
      <c r="I139" s="1" t="s">
        <v>177</v>
      </c>
      <c r="J139" s="1" t="s">
        <v>62</v>
      </c>
      <c r="K139" s="1" t="s">
        <v>63</v>
      </c>
      <c r="L139" s="2">
        <v>44501</v>
      </c>
      <c r="M139" s="6">
        <f>T_SALES[[#This Row],[Profit]]/T_SALES[[#This Row],[Amount]]</f>
        <v>0.18800322061191627</v>
      </c>
    </row>
    <row r="140" spans="1:13" x14ac:dyDescent="0.25">
      <c r="A140" s="1" t="s">
        <v>176</v>
      </c>
      <c r="B140" s="7">
        <v>1731</v>
      </c>
      <c r="C140" s="8">
        <v>149</v>
      </c>
      <c r="D140">
        <v>4</v>
      </c>
      <c r="E140" s="1" t="s">
        <v>13</v>
      </c>
      <c r="F140" s="1" t="s">
        <v>34</v>
      </c>
      <c r="G140" s="1" t="s">
        <v>35</v>
      </c>
      <c r="H140" s="2">
        <v>44526</v>
      </c>
      <c r="I140" s="1" t="s">
        <v>177</v>
      </c>
      <c r="J140" s="1" t="s">
        <v>62</v>
      </c>
      <c r="K140" s="1" t="s">
        <v>63</v>
      </c>
      <c r="L140" s="2">
        <v>44501</v>
      </c>
      <c r="M140" s="6">
        <f>T_SALES[[#This Row],[Profit]]/T_SALES[[#This Row],[Amount]]</f>
        <v>8.6077411900635475E-2</v>
      </c>
    </row>
    <row r="141" spans="1:13" x14ac:dyDescent="0.25">
      <c r="A141" s="1" t="s">
        <v>178</v>
      </c>
      <c r="B141" s="7">
        <v>3433</v>
      </c>
      <c r="C141" s="8">
        <v>1169</v>
      </c>
      <c r="D141">
        <v>10</v>
      </c>
      <c r="E141" s="1" t="s">
        <v>27</v>
      </c>
      <c r="F141" s="1" t="s">
        <v>67</v>
      </c>
      <c r="G141" s="1" t="s">
        <v>56</v>
      </c>
      <c r="H141" s="2">
        <v>45323</v>
      </c>
      <c r="I141" s="1" t="s">
        <v>179</v>
      </c>
      <c r="J141" s="1" t="s">
        <v>37</v>
      </c>
      <c r="K141" s="1" t="s">
        <v>78</v>
      </c>
      <c r="L141" s="2">
        <v>45323</v>
      </c>
      <c r="M141" s="6">
        <f>T_SALES[[#This Row],[Profit]]/T_SALES[[#This Row],[Amount]]</f>
        <v>0.34051849694145064</v>
      </c>
    </row>
    <row r="142" spans="1:13" x14ac:dyDescent="0.25">
      <c r="A142" s="1" t="s">
        <v>178</v>
      </c>
      <c r="B142" s="7">
        <v>3433</v>
      </c>
      <c r="C142" s="8">
        <v>1169</v>
      </c>
      <c r="D142">
        <v>10</v>
      </c>
      <c r="E142" s="1" t="s">
        <v>27</v>
      </c>
      <c r="F142" s="1" t="s">
        <v>67</v>
      </c>
      <c r="G142" s="1" t="s">
        <v>56</v>
      </c>
      <c r="H142" s="2">
        <v>44448</v>
      </c>
      <c r="I142" s="1" t="s">
        <v>180</v>
      </c>
      <c r="J142" s="1" t="s">
        <v>20</v>
      </c>
      <c r="K142" s="1" t="s">
        <v>54</v>
      </c>
      <c r="L142" s="2">
        <v>44440</v>
      </c>
      <c r="M142" s="6">
        <f>T_SALES[[#This Row],[Profit]]/T_SALES[[#This Row],[Amount]]</f>
        <v>0.34051849694145064</v>
      </c>
    </row>
    <row r="143" spans="1:13" x14ac:dyDescent="0.25">
      <c r="A143" s="1" t="s">
        <v>178</v>
      </c>
      <c r="B143" s="7">
        <v>3433</v>
      </c>
      <c r="C143" s="8">
        <v>1169</v>
      </c>
      <c r="D143">
        <v>10</v>
      </c>
      <c r="E143" s="1" t="s">
        <v>27</v>
      </c>
      <c r="F143" s="1" t="s">
        <v>67</v>
      </c>
      <c r="G143" s="1" t="s">
        <v>56</v>
      </c>
      <c r="H143" s="2">
        <v>44447</v>
      </c>
      <c r="I143" s="1" t="s">
        <v>181</v>
      </c>
      <c r="J143" s="1" t="s">
        <v>37</v>
      </c>
      <c r="K143" s="1" t="s">
        <v>65</v>
      </c>
      <c r="L143" s="2">
        <v>44440</v>
      </c>
      <c r="M143" s="6">
        <f>T_SALES[[#This Row],[Profit]]/T_SALES[[#This Row],[Amount]]</f>
        <v>0.34051849694145064</v>
      </c>
    </row>
    <row r="144" spans="1:13" x14ac:dyDescent="0.25">
      <c r="A144" s="1" t="s">
        <v>178</v>
      </c>
      <c r="B144" s="7">
        <v>3887</v>
      </c>
      <c r="C144" s="8">
        <v>1490</v>
      </c>
      <c r="D144">
        <v>1</v>
      </c>
      <c r="E144" s="1" t="s">
        <v>27</v>
      </c>
      <c r="F144" s="1" t="s">
        <v>67</v>
      </c>
      <c r="G144" s="1" t="s">
        <v>29</v>
      </c>
      <c r="H144" s="2">
        <v>45323</v>
      </c>
      <c r="I144" s="1" t="s">
        <v>179</v>
      </c>
      <c r="J144" s="1" t="s">
        <v>37</v>
      </c>
      <c r="K144" s="1" t="s">
        <v>78</v>
      </c>
      <c r="L144" s="2">
        <v>45323</v>
      </c>
      <c r="M144" s="6">
        <f>T_SALES[[#This Row],[Profit]]/T_SALES[[#This Row],[Amount]]</f>
        <v>0.3833290455364034</v>
      </c>
    </row>
    <row r="145" spans="1:13" x14ac:dyDescent="0.25">
      <c r="A145" s="1" t="s">
        <v>178</v>
      </c>
      <c r="B145" s="7">
        <v>3887</v>
      </c>
      <c r="C145" s="8">
        <v>1490</v>
      </c>
      <c r="D145">
        <v>1</v>
      </c>
      <c r="E145" s="1" t="s">
        <v>27</v>
      </c>
      <c r="F145" s="1" t="s">
        <v>67</v>
      </c>
      <c r="G145" s="1" t="s">
        <v>29</v>
      </c>
      <c r="H145" s="2">
        <v>44448</v>
      </c>
      <c r="I145" s="1" t="s">
        <v>180</v>
      </c>
      <c r="J145" s="1" t="s">
        <v>20</v>
      </c>
      <c r="K145" s="1" t="s">
        <v>54</v>
      </c>
      <c r="L145" s="2">
        <v>44440</v>
      </c>
      <c r="M145" s="6">
        <f>T_SALES[[#This Row],[Profit]]/T_SALES[[#This Row],[Amount]]</f>
        <v>0.3833290455364034</v>
      </c>
    </row>
    <row r="146" spans="1:13" x14ac:dyDescent="0.25">
      <c r="A146" s="1" t="s">
        <v>178</v>
      </c>
      <c r="B146" s="7">
        <v>3887</v>
      </c>
      <c r="C146" s="8">
        <v>1490</v>
      </c>
      <c r="D146">
        <v>1</v>
      </c>
      <c r="E146" s="1" t="s">
        <v>27</v>
      </c>
      <c r="F146" s="1" t="s">
        <v>67</v>
      </c>
      <c r="G146" s="1" t="s">
        <v>29</v>
      </c>
      <c r="H146" s="2">
        <v>44447</v>
      </c>
      <c r="I146" s="1" t="s">
        <v>181</v>
      </c>
      <c r="J146" s="1" t="s">
        <v>37</v>
      </c>
      <c r="K146" s="1" t="s">
        <v>65</v>
      </c>
      <c r="L146" s="2">
        <v>44440</v>
      </c>
      <c r="M146" s="6">
        <f>T_SALES[[#This Row],[Profit]]/T_SALES[[#This Row],[Amount]]</f>
        <v>0.3833290455364034</v>
      </c>
    </row>
    <row r="147" spans="1:13" x14ac:dyDescent="0.25">
      <c r="A147" s="1" t="s">
        <v>182</v>
      </c>
      <c r="B147" s="7">
        <v>1801</v>
      </c>
      <c r="C147" s="8">
        <v>641</v>
      </c>
      <c r="D147">
        <v>20</v>
      </c>
      <c r="E147" s="1" t="s">
        <v>27</v>
      </c>
      <c r="F147" s="1" t="s">
        <v>49</v>
      </c>
      <c r="G147" s="1" t="s">
        <v>41</v>
      </c>
      <c r="H147" s="2">
        <v>45482</v>
      </c>
      <c r="I147" s="1" t="s">
        <v>183</v>
      </c>
      <c r="J147" s="1" t="s">
        <v>37</v>
      </c>
      <c r="K147" s="1" t="s">
        <v>38</v>
      </c>
      <c r="L147" s="2">
        <v>45474</v>
      </c>
      <c r="M147" s="6">
        <f>T_SALES[[#This Row],[Profit]]/T_SALES[[#This Row],[Amount]]</f>
        <v>0.35591338145474738</v>
      </c>
    </row>
    <row r="148" spans="1:13" x14ac:dyDescent="0.25">
      <c r="A148" s="1" t="s">
        <v>182</v>
      </c>
      <c r="B148" s="7">
        <v>5301</v>
      </c>
      <c r="C148" s="8">
        <v>817</v>
      </c>
      <c r="D148">
        <v>10</v>
      </c>
      <c r="E148" s="1" t="s">
        <v>39</v>
      </c>
      <c r="F148" s="1" t="s">
        <v>40</v>
      </c>
      <c r="G148" s="1" t="s">
        <v>29</v>
      </c>
      <c r="H148" s="2">
        <v>45482</v>
      </c>
      <c r="I148" s="1" t="s">
        <v>183</v>
      </c>
      <c r="J148" s="1" t="s">
        <v>37</v>
      </c>
      <c r="K148" s="1" t="s">
        <v>38</v>
      </c>
      <c r="L148" s="2">
        <v>45474</v>
      </c>
      <c r="M148" s="6">
        <f>T_SALES[[#This Row],[Profit]]/T_SALES[[#This Row],[Amount]]</f>
        <v>0.15412186379928317</v>
      </c>
    </row>
    <row r="149" spans="1:13" x14ac:dyDescent="0.25">
      <c r="A149" s="1" t="s">
        <v>182</v>
      </c>
      <c r="B149" s="7">
        <v>1166</v>
      </c>
      <c r="C149" s="8">
        <v>520</v>
      </c>
      <c r="D149">
        <v>12</v>
      </c>
      <c r="E149" s="1" t="s">
        <v>27</v>
      </c>
      <c r="F149" s="1" t="s">
        <v>55</v>
      </c>
      <c r="G149" s="1" t="s">
        <v>29</v>
      </c>
      <c r="H149" s="2">
        <v>45482</v>
      </c>
      <c r="I149" s="1" t="s">
        <v>183</v>
      </c>
      <c r="J149" s="1" t="s">
        <v>37</v>
      </c>
      <c r="K149" s="1" t="s">
        <v>38</v>
      </c>
      <c r="L149" s="2">
        <v>45474</v>
      </c>
      <c r="M149" s="6">
        <f>T_SALES[[#This Row],[Profit]]/T_SALES[[#This Row],[Amount]]</f>
        <v>0.44596912521440824</v>
      </c>
    </row>
    <row r="150" spans="1:13" x14ac:dyDescent="0.25">
      <c r="A150" s="1" t="s">
        <v>182</v>
      </c>
      <c r="B150" s="7">
        <v>3196</v>
      </c>
      <c r="C150" s="8">
        <v>1411</v>
      </c>
      <c r="D150">
        <v>15</v>
      </c>
      <c r="E150" s="1" t="s">
        <v>27</v>
      </c>
      <c r="F150" s="1" t="s">
        <v>55</v>
      </c>
      <c r="G150" s="1" t="s">
        <v>29</v>
      </c>
      <c r="H150" s="2">
        <v>45482</v>
      </c>
      <c r="I150" s="1" t="s">
        <v>183</v>
      </c>
      <c r="J150" s="1" t="s">
        <v>37</v>
      </c>
      <c r="K150" s="1" t="s">
        <v>38</v>
      </c>
      <c r="L150" s="2">
        <v>45474</v>
      </c>
      <c r="M150" s="6">
        <f>T_SALES[[#This Row],[Profit]]/T_SALES[[#This Row],[Amount]]</f>
        <v>0.44148936170212766</v>
      </c>
    </row>
    <row r="151" spans="1:13" x14ac:dyDescent="0.25">
      <c r="A151" s="1" t="s">
        <v>184</v>
      </c>
      <c r="B151" s="7">
        <v>3428</v>
      </c>
      <c r="C151" s="8">
        <v>350</v>
      </c>
      <c r="D151">
        <v>1</v>
      </c>
      <c r="E151" s="1" t="s">
        <v>39</v>
      </c>
      <c r="F151" s="1" t="s">
        <v>43</v>
      </c>
      <c r="G151" s="1" t="s">
        <v>41</v>
      </c>
      <c r="H151" s="2">
        <v>44985</v>
      </c>
      <c r="I151" s="1" t="s">
        <v>185</v>
      </c>
      <c r="J151" s="1" t="s">
        <v>20</v>
      </c>
      <c r="K151" s="1" t="s">
        <v>54</v>
      </c>
      <c r="L151" s="2">
        <v>44958</v>
      </c>
      <c r="M151" s="6">
        <f>T_SALES[[#This Row],[Profit]]/T_SALES[[#This Row],[Amount]]</f>
        <v>0.10210035005834306</v>
      </c>
    </row>
    <row r="152" spans="1:13" x14ac:dyDescent="0.25">
      <c r="A152" s="1" t="s">
        <v>184</v>
      </c>
      <c r="B152" s="7">
        <v>7223</v>
      </c>
      <c r="C152" s="8">
        <v>2433</v>
      </c>
      <c r="D152">
        <v>12</v>
      </c>
      <c r="E152" s="1" t="s">
        <v>27</v>
      </c>
      <c r="F152" s="1" t="s">
        <v>67</v>
      </c>
      <c r="G152" s="1" t="s">
        <v>41</v>
      </c>
      <c r="H152" s="2">
        <v>44985</v>
      </c>
      <c r="I152" s="1" t="s">
        <v>185</v>
      </c>
      <c r="J152" s="1" t="s">
        <v>20</v>
      </c>
      <c r="K152" s="1" t="s">
        <v>54</v>
      </c>
      <c r="L152" s="2">
        <v>44958</v>
      </c>
      <c r="M152" s="6">
        <f>T_SALES[[#This Row],[Profit]]/T_SALES[[#This Row],[Amount]]</f>
        <v>0.33684064793022289</v>
      </c>
    </row>
    <row r="153" spans="1:13" x14ac:dyDescent="0.25">
      <c r="A153" s="1" t="s">
        <v>184</v>
      </c>
      <c r="B153" s="7">
        <v>3731</v>
      </c>
      <c r="C153" s="8">
        <v>647</v>
      </c>
      <c r="D153">
        <v>1</v>
      </c>
      <c r="E153" s="1" t="s">
        <v>27</v>
      </c>
      <c r="F153" s="1" t="s">
        <v>28</v>
      </c>
      <c r="G153" s="1" t="s">
        <v>41</v>
      </c>
      <c r="H153" s="2">
        <v>44985</v>
      </c>
      <c r="I153" s="1" t="s">
        <v>185</v>
      </c>
      <c r="J153" s="1" t="s">
        <v>20</v>
      </c>
      <c r="K153" s="1" t="s">
        <v>54</v>
      </c>
      <c r="L153" s="2">
        <v>44958</v>
      </c>
      <c r="M153" s="6">
        <f>T_SALES[[#This Row],[Profit]]/T_SALES[[#This Row],[Amount]]</f>
        <v>0.17341195389975878</v>
      </c>
    </row>
    <row r="154" spans="1:13" x14ac:dyDescent="0.25">
      <c r="A154" s="1" t="s">
        <v>186</v>
      </c>
      <c r="B154" s="7">
        <v>8903</v>
      </c>
      <c r="C154" s="8">
        <v>4401</v>
      </c>
      <c r="D154">
        <v>18</v>
      </c>
      <c r="E154" s="1" t="s">
        <v>27</v>
      </c>
      <c r="F154" s="1" t="s">
        <v>28</v>
      </c>
      <c r="G154" s="1" t="s">
        <v>41</v>
      </c>
      <c r="H154" s="2">
        <v>44781</v>
      </c>
      <c r="I154" s="1" t="s">
        <v>187</v>
      </c>
      <c r="J154" s="1" t="s">
        <v>82</v>
      </c>
      <c r="K154" s="1" t="s">
        <v>83</v>
      </c>
      <c r="L154" s="2">
        <v>44774</v>
      </c>
      <c r="M154" s="6">
        <f>T_SALES[[#This Row],[Profit]]/T_SALES[[#This Row],[Amount]]</f>
        <v>0.49432775468943052</v>
      </c>
    </row>
    <row r="155" spans="1:13" x14ac:dyDescent="0.25">
      <c r="A155" s="1" t="s">
        <v>188</v>
      </c>
      <c r="B155" s="7">
        <v>6009</v>
      </c>
      <c r="C155" s="8">
        <v>2107</v>
      </c>
      <c r="D155">
        <v>7</v>
      </c>
      <c r="E155" s="1" t="s">
        <v>13</v>
      </c>
      <c r="F155" s="1" t="s">
        <v>70</v>
      </c>
      <c r="G155" s="1" t="s">
        <v>15</v>
      </c>
      <c r="H155" s="2">
        <v>44902</v>
      </c>
      <c r="I155" s="1" t="s">
        <v>189</v>
      </c>
      <c r="J155" s="1" t="s">
        <v>20</v>
      </c>
      <c r="K155" s="1" t="s">
        <v>21</v>
      </c>
      <c r="L155" s="2">
        <v>44896</v>
      </c>
      <c r="M155" s="6">
        <f>T_SALES[[#This Row],[Profit]]/T_SALES[[#This Row],[Amount]]</f>
        <v>0.35064070560825428</v>
      </c>
    </row>
    <row r="156" spans="1:13" x14ac:dyDescent="0.25">
      <c r="A156" s="1" t="s">
        <v>188</v>
      </c>
      <c r="B156" s="7">
        <v>6009</v>
      </c>
      <c r="C156" s="8">
        <v>2107</v>
      </c>
      <c r="D156">
        <v>7</v>
      </c>
      <c r="E156" s="1" t="s">
        <v>13</v>
      </c>
      <c r="F156" s="1" t="s">
        <v>70</v>
      </c>
      <c r="G156" s="1" t="s">
        <v>15</v>
      </c>
      <c r="H156" s="2">
        <v>45411</v>
      </c>
      <c r="I156" s="1" t="s">
        <v>190</v>
      </c>
      <c r="J156" s="1" t="s">
        <v>62</v>
      </c>
      <c r="K156" s="1" t="s">
        <v>74</v>
      </c>
      <c r="L156" s="2">
        <v>45383</v>
      </c>
      <c r="M156" s="6">
        <f>T_SALES[[#This Row],[Profit]]/T_SALES[[#This Row],[Amount]]</f>
        <v>0.35064070560825428</v>
      </c>
    </row>
    <row r="157" spans="1:13" x14ac:dyDescent="0.25">
      <c r="A157" s="1" t="s">
        <v>188</v>
      </c>
      <c r="B157" s="7">
        <v>2858</v>
      </c>
      <c r="C157" s="8">
        <v>230</v>
      </c>
      <c r="D157">
        <v>3</v>
      </c>
      <c r="E157" s="1" t="s">
        <v>39</v>
      </c>
      <c r="F157" s="1" t="s">
        <v>40</v>
      </c>
      <c r="G157" s="1" t="s">
        <v>41</v>
      </c>
      <c r="H157" s="2">
        <v>44902</v>
      </c>
      <c r="I157" s="1" t="s">
        <v>189</v>
      </c>
      <c r="J157" s="1" t="s">
        <v>20</v>
      </c>
      <c r="K157" s="1" t="s">
        <v>21</v>
      </c>
      <c r="L157" s="2">
        <v>44896</v>
      </c>
      <c r="M157" s="6">
        <f>T_SALES[[#This Row],[Profit]]/T_SALES[[#This Row],[Amount]]</f>
        <v>8.0475857242827145E-2</v>
      </c>
    </row>
    <row r="158" spans="1:13" x14ac:dyDescent="0.25">
      <c r="A158" s="1" t="s">
        <v>188</v>
      </c>
      <c r="B158" s="7">
        <v>2858</v>
      </c>
      <c r="C158" s="8">
        <v>230</v>
      </c>
      <c r="D158">
        <v>3</v>
      </c>
      <c r="E158" s="1" t="s">
        <v>39</v>
      </c>
      <c r="F158" s="1" t="s">
        <v>40</v>
      </c>
      <c r="G158" s="1" t="s">
        <v>41</v>
      </c>
      <c r="H158" s="2">
        <v>45411</v>
      </c>
      <c r="I158" s="1" t="s">
        <v>190</v>
      </c>
      <c r="J158" s="1" t="s">
        <v>62</v>
      </c>
      <c r="K158" s="1" t="s">
        <v>74</v>
      </c>
      <c r="L158" s="2">
        <v>45383</v>
      </c>
      <c r="M158" s="6">
        <f>T_SALES[[#This Row],[Profit]]/T_SALES[[#This Row],[Amount]]</f>
        <v>8.0475857242827145E-2</v>
      </c>
    </row>
    <row r="159" spans="1:13" x14ac:dyDescent="0.25">
      <c r="A159" s="1" t="s">
        <v>188</v>
      </c>
      <c r="B159" s="7">
        <v>8175</v>
      </c>
      <c r="C159" s="8">
        <v>525</v>
      </c>
      <c r="D159">
        <v>7</v>
      </c>
      <c r="E159" s="1" t="s">
        <v>39</v>
      </c>
      <c r="F159" s="1" t="s">
        <v>51</v>
      </c>
      <c r="G159" s="1" t="s">
        <v>41</v>
      </c>
      <c r="H159" s="2">
        <v>44902</v>
      </c>
      <c r="I159" s="1" t="s">
        <v>189</v>
      </c>
      <c r="J159" s="1" t="s">
        <v>20</v>
      </c>
      <c r="K159" s="1" t="s">
        <v>21</v>
      </c>
      <c r="L159" s="2">
        <v>44896</v>
      </c>
      <c r="M159" s="6">
        <f>T_SALES[[#This Row],[Profit]]/T_SALES[[#This Row],[Amount]]</f>
        <v>6.4220183486238536E-2</v>
      </c>
    </row>
    <row r="160" spans="1:13" x14ac:dyDescent="0.25">
      <c r="A160" s="1" t="s">
        <v>188</v>
      </c>
      <c r="B160" s="7">
        <v>8175</v>
      </c>
      <c r="C160" s="8">
        <v>525</v>
      </c>
      <c r="D160">
        <v>7</v>
      </c>
      <c r="E160" s="1" t="s">
        <v>39</v>
      </c>
      <c r="F160" s="1" t="s">
        <v>51</v>
      </c>
      <c r="G160" s="1" t="s">
        <v>41</v>
      </c>
      <c r="H160" s="2">
        <v>45411</v>
      </c>
      <c r="I160" s="1" t="s">
        <v>190</v>
      </c>
      <c r="J160" s="1" t="s">
        <v>62</v>
      </c>
      <c r="K160" s="1" t="s">
        <v>74</v>
      </c>
      <c r="L160" s="2">
        <v>45383</v>
      </c>
      <c r="M160" s="6">
        <f>T_SALES[[#This Row],[Profit]]/T_SALES[[#This Row],[Amount]]</f>
        <v>6.4220183486238536E-2</v>
      </c>
    </row>
    <row r="161" spans="1:13" x14ac:dyDescent="0.25">
      <c r="A161" s="1" t="s">
        <v>188</v>
      </c>
      <c r="B161" s="7">
        <v>5846</v>
      </c>
      <c r="C161" s="8">
        <v>586</v>
      </c>
      <c r="D161">
        <v>18</v>
      </c>
      <c r="E161" s="1" t="s">
        <v>39</v>
      </c>
      <c r="F161" s="1" t="s">
        <v>51</v>
      </c>
      <c r="G161" s="1" t="s">
        <v>15</v>
      </c>
      <c r="H161" s="2">
        <v>44902</v>
      </c>
      <c r="I161" s="1" t="s">
        <v>189</v>
      </c>
      <c r="J161" s="1" t="s">
        <v>20</v>
      </c>
      <c r="K161" s="1" t="s">
        <v>21</v>
      </c>
      <c r="L161" s="2">
        <v>44896</v>
      </c>
      <c r="M161" s="6">
        <f>T_SALES[[#This Row],[Profit]]/T_SALES[[#This Row],[Amount]]</f>
        <v>0.10023947998631542</v>
      </c>
    </row>
    <row r="162" spans="1:13" x14ac:dyDescent="0.25">
      <c r="A162" s="1" t="s">
        <v>188</v>
      </c>
      <c r="B162" s="7">
        <v>5846</v>
      </c>
      <c r="C162" s="8">
        <v>586</v>
      </c>
      <c r="D162">
        <v>18</v>
      </c>
      <c r="E162" s="1" t="s">
        <v>39</v>
      </c>
      <c r="F162" s="1" t="s">
        <v>51</v>
      </c>
      <c r="G162" s="1" t="s">
        <v>15</v>
      </c>
      <c r="H162" s="2">
        <v>45411</v>
      </c>
      <c r="I162" s="1" t="s">
        <v>190</v>
      </c>
      <c r="J162" s="1" t="s">
        <v>62</v>
      </c>
      <c r="K162" s="1" t="s">
        <v>74</v>
      </c>
      <c r="L162" s="2">
        <v>45383</v>
      </c>
      <c r="M162" s="6">
        <f>T_SALES[[#This Row],[Profit]]/T_SALES[[#This Row],[Amount]]</f>
        <v>0.10023947998631542</v>
      </c>
    </row>
    <row r="163" spans="1:13" x14ac:dyDescent="0.25">
      <c r="A163" s="1" t="s">
        <v>191</v>
      </c>
      <c r="B163" s="7">
        <v>706</v>
      </c>
      <c r="C163" s="8">
        <v>197</v>
      </c>
      <c r="D163">
        <v>11</v>
      </c>
      <c r="E163" s="1" t="s">
        <v>13</v>
      </c>
      <c r="F163" s="1" t="s">
        <v>34</v>
      </c>
      <c r="G163" s="1" t="s">
        <v>41</v>
      </c>
      <c r="H163" s="2">
        <v>44563</v>
      </c>
      <c r="I163" s="1" t="s">
        <v>192</v>
      </c>
      <c r="J163" s="1" t="s">
        <v>62</v>
      </c>
      <c r="K163" s="1" t="s">
        <v>74</v>
      </c>
      <c r="L163" s="2">
        <v>44562</v>
      </c>
      <c r="M163" s="6">
        <f>T_SALES[[#This Row],[Profit]]/T_SALES[[#This Row],[Amount]]</f>
        <v>0.27903682719546741</v>
      </c>
    </row>
    <row r="164" spans="1:13" x14ac:dyDescent="0.25">
      <c r="A164" s="1" t="s">
        <v>193</v>
      </c>
      <c r="B164" s="7">
        <v>9835</v>
      </c>
      <c r="C164" s="8">
        <v>2571</v>
      </c>
      <c r="D164">
        <v>16</v>
      </c>
      <c r="E164" s="1" t="s">
        <v>39</v>
      </c>
      <c r="F164" s="1" t="s">
        <v>40</v>
      </c>
      <c r="G164" s="1" t="s">
        <v>56</v>
      </c>
      <c r="H164" s="2">
        <v>44722</v>
      </c>
      <c r="I164" s="1" t="s">
        <v>194</v>
      </c>
      <c r="J164" s="1" t="s">
        <v>62</v>
      </c>
      <c r="K164" s="1" t="s">
        <v>63</v>
      </c>
      <c r="L164" s="2">
        <v>44713</v>
      </c>
      <c r="M164" s="6">
        <f>T_SALES[[#This Row],[Profit]]/T_SALES[[#This Row],[Amount]]</f>
        <v>0.26141331977630911</v>
      </c>
    </row>
    <row r="165" spans="1:13" x14ac:dyDescent="0.25">
      <c r="A165" s="1" t="s">
        <v>193</v>
      </c>
      <c r="B165" s="7">
        <v>9835</v>
      </c>
      <c r="C165" s="8">
        <v>2571</v>
      </c>
      <c r="D165">
        <v>16</v>
      </c>
      <c r="E165" s="1" t="s">
        <v>39</v>
      </c>
      <c r="F165" s="1" t="s">
        <v>40</v>
      </c>
      <c r="G165" s="1" t="s">
        <v>56</v>
      </c>
      <c r="H165" s="2">
        <v>44516</v>
      </c>
      <c r="I165" s="1" t="s">
        <v>195</v>
      </c>
      <c r="J165" s="1" t="s">
        <v>17</v>
      </c>
      <c r="K165" s="1" t="s">
        <v>31</v>
      </c>
      <c r="L165" s="2">
        <v>44501</v>
      </c>
      <c r="M165" s="6">
        <f>T_SALES[[#This Row],[Profit]]/T_SALES[[#This Row],[Amount]]</f>
        <v>0.26141331977630911</v>
      </c>
    </row>
    <row r="166" spans="1:13" x14ac:dyDescent="0.25">
      <c r="A166" s="1" t="s">
        <v>193</v>
      </c>
      <c r="B166" s="7">
        <v>9835</v>
      </c>
      <c r="C166" s="8">
        <v>2571</v>
      </c>
      <c r="D166">
        <v>16</v>
      </c>
      <c r="E166" s="1" t="s">
        <v>39</v>
      </c>
      <c r="F166" s="1" t="s">
        <v>40</v>
      </c>
      <c r="G166" s="1" t="s">
        <v>56</v>
      </c>
      <c r="H166" s="2">
        <v>44790</v>
      </c>
      <c r="I166" s="1" t="s">
        <v>196</v>
      </c>
      <c r="J166" s="1" t="s">
        <v>37</v>
      </c>
      <c r="K166" s="1" t="s">
        <v>38</v>
      </c>
      <c r="L166" s="2">
        <v>44774</v>
      </c>
      <c r="M166" s="6">
        <f>T_SALES[[#This Row],[Profit]]/T_SALES[[#This Row],[Amount]]</f>
        <v>0.26141331977630911</v>
      </c>
    </row>
    <row r="167" spans="1:13" x14ac:dyDescent="0.25">
      <c r="A167" s="1" t="s">
        <v>193</v>
      </c>
      <c r="B167" s="7">
        <v>9691</v>
      </c>
      <c r="C167" s="8">
        <v>3056</v>
      </c>
      <c r="D167">
        <v>13</v>
      </c>
      <c r="E167" s="1" t="s">
        <v>27</v>
      </c>
      <c r="F167" s="1" t="s">
        <v>49</v>
      </c>
      <c r="G167" s="1" t="s">
        <v>41</v>
      </c>
      <c r="H167" s="2">
        <v>44722</v>
      </c>
      <c r="I167" s="1" t="s">
        <v>194</v>
      </c>
      <c r="J167" s="1" t="s">
        <v>62</v>
      </c>
      <c r="K167" s="1" t="s">
        <v>63</v>
      </c>
      <c r="L167" s="2">
        <v>44713</v>
      </c>
      <c r="M167" s="6">
        <f>T_SALES[[#This Row],[Profit]]/T_SALES[[#This Row],[Amount]]</f>
        <v>0.31534413373232895</v>
      </c>
    </row>
    <row r="168" spans="1:13" x14ac:dyDescent="0.25">
      <c r="A168" s="1" t="s">
        <v>193</v>
      </c>
      <c r="B168" s="7">
        <v>9691</v>
      </c>
      <c r="C168" s="8">
        <v>3056</v>
      </c>
      <c r="D168">
        <v>13</v>
      </c>
      <c r="E168" s="1" t="s">
        <v>27</v>
      </c>
      <c r="F168" s="1" t="s">
        <v>49</v>
      </c>
      <c r="G168" s="1" t="s">
        <v>41</v>
      </c>
      <c r="H168" s="2">
        <v>44516</v>
      </c>
      <c r="I168" s="1" t="s">
        <v>195</v>
      </c>
      <c r="J168" s="1" t="s">
        <v>17</v>
      </c>
      <c r="K168" s="1" t="s">
        <v>31</v>
      </c>
      <c r="L168" s="2">
        <v>44501</v>
      </c>
      <c r="M168" s="6">
        <f>T_SALES[[#This Row],[Profit]]/T_SALES[[#This Row],[Amount]]</f>
        <v>0.31534413373232895</v>
      </c>
    </row>
    <row r="169" spans="1:13" x14ac:dyDescent="0.25">
      <c r="A169" s="1" t="s">
        <v>193</v>
      </c>
      <c r="B169" s="7">
        <v>9691</v>
      </c>
      <c r="C169" s="8">
        <v>3056</v>
      </c>
      <c r="D169">
        <v>13</v>
      </c>
      <c r="E169" s="1" t="s">
        <v>27</v>
      </c>
      <c r="F169" s="1" t="s">
        <v>49</v>
      </c>
      <c r="G169" s="1" t="s">
        <v>41</v>
      </c>
      <c r="H169" s="2">
        <v>44790</v>
      </c>
      <c r="I169" s="1" t="s">
        <v>196</v>
      </c>
      <c r="J169" s="1" t="s">
        <v>37</v>
      </c>
      <c r="K169" s="1" t="s">
        <v>38</v>
      </c>
      <c r="L169" s="2">
        <v>44774</v>
      </c>
      <c r="M169" s="6">
        <f>T_SALES[[#This Row],[Profit]]/T_SALES[[#This Row],[Amount]]</f>
        <v>0.31534413373232895</v>
      </c>
    </row>
    <row r="170" spans="1:13" x14ac:dyDescent="0.25">
      <c r="A170" s="1" t="s">
        <v>193</v>
      </c>
      <c r="B170" s="7">
        <v>7826</v>
      </c>
      <c r="C170" s="8">
        <v>1221</v>
      </c>
      <c r="D170">
        <v>14</v>
      </c>
      <c r="E170" s="1" t="s">
        <v>39</v>
      </c>
      <c r="F170" s="1" t="s">
        <v>90</v>
      </c>
      <c r="G170" s="1" t="s">
        <v>15</v>
      </c>
      <c r="H170" s="2">
        <v>44722</v>
      </c>
      <c r="I170" s="1" t="s">
        <v>194</v>
      </c>
      <c r="J170" s="1" t="s">
        <v>62</v>
      </c>
      <c r="K170" s="1" t="s">
        <v>63</v>
      </c>
      <c r="L170" s="2">
        <v>44713</v>
      </c>
      <c r="M170" s="6">
        <f>T_SALES[[#This Row],[Profit]]/T_SALES[[#This Row],[Amount]]</f>
        <v>0.15601840020444671</v>
      </c>
    </row>
    <row r="171" spans="1:13" x14ac:dyDescent="0.25">
      <c r="A171" s="1" t="s">
        <v>193</v>
      </c>
      <c r="B171" s="7">
        <v>7826</v>
      </c>
      <c r="C171" s="8">
        <v>1221</v>
      </c>
      <c r="D171">
        <v>14</v>
      </c>
      <c r="E171" s="1" t="s">
        <v>39</v>
      </c>
      <c r="F171" s="1" t="s">
        <v>90</v>
      </c>
      <c r="G171" s="1" t="s">
        <v>15</v>
      </c>
      <c r="H171" s="2">
        <v>44516</v>
      </c>
      <c r="I171" s="1" t="s">
        <v>195</v>
      </c>
      <c r="J171" s="1" t="s">
        <v>17</v>
      </c>
      <c r="K171" s="1" t="s">
        <v>31</v>
      </c>
      <c r="L171" s="2">
        <v>44501</v>
      </c>
      <c r="M171" s="6">
        <f>T_SALES[[#This Row],[Profit]]/T_SALES[[#This Row],[Amount]]</f>
        <v>0.15601840020444671</v>
      </c>
    </row>
    <row r="172" spans="1:13" x14ac:dyDescent="0.25">
      <c r="A172" s="1" t="s">
        <v>193</v>
      </c>
      <c r="B172" s="7">
        <v>7826</v>
      </c>
      <c r="C172" s="8">
        <v>1221</v>
      </c>
      <c r="D172">
        <v>14</v>
      </c>
      <c r="E172" s="1" t="s">
        <v>39</v>
      </c>
      <c r="F172" s="1" t="s">
        <v>90</v>
      </c>
      <c r="G172" s="1" t="s">
        <v>15</v>
      </c>
      <c r="H172" s="2">
        <v>44790</v>
      </c>
      <c r="I172" s="1" t="s">
        <v>196</v>
      </c>
      <c r="J172" s="1" t="s">
        <v>37</v>
      </c>
      <c r="K172" s="1" t="s">
        <v>38</v>
      </c>
      <c r="L172" s="2">
        <v>44774</v>
      </c>
      <c r="M172" s="6">
        <f>T_SALES[[#This Row],[Profit]]/T_SALES[[#This Row],[Amount]]</f>
        <v>0.15601840020444671</v>
      </c>
    </row>
    <row r="173" spans="1:13" x14ac:dyDescent="0.25">
      <c r="A173" s="1" t="s">
        <v>197</v>
      </c>
      <c r="B173" s="7">
        <v>770</v>
      </c>
      <c r="C173" s="8">
        <v>241</v>
      </c>
      <c r="D173">
        <v>11</v>
      </c>
      <c r="E173" s="1" t="s">
        <v>39</v>
      </c>
      <c r="F173" s="1" t="s">
        <v>51</v>
      </c>
      <c r="G173" s="1" t="s">
        <v>56</v>
      </c>
      <c r="H173" s="2">
        <v>44523</v>
      </c>
      <c r="I173" s="1" t="s">
        <v>198</v>
      </c>
      <c r="J173" s="1" t="s">
        <v>62</v>
      </c>
      <c r="K173" s="1" t="s">
        <v>74</v>
      </c>
      <c r="L173" s="2">
        <v>44501</v>
      </c>
      <c r="M173" s="6">
        <f>T_SALES[[#This Row],[Profit]]/T_SALES[[#This Row],[Amount]]</f>
        <v>0.31298701298701298</v>
      </c>
    </row>
    <row r="174" spans="1:13" x14ac:dyDescent="0.25">
      <c r="A174" s="1" t="s">
        <v>197</v>
      </c>
      <c r="B174" s="7">
        <v>770</v>
      </c>
      <c r="C174" s="8">
        <v>241</v>
      </c>
      <c r="D174">
        <v>11</v>
      </c>
      <c r="E174" s="1" t="s">
        <v>39</v>
      </c>
      <c r="F174" s="1" t="s">
        <v>51</v>
      </c>
      <c r="G174" s="1" t="s">
        <v>56</v>
      </c>
      <c r="H174" s="2">
        <v>44989</v>
      </c>
      <c r="I174" s="1" t="s">
        <v>199</v>
      </c>
      <c r="J174" s="1" t="s">
        <v>82</v>
      </c>
      <c r="K174" s="1" t="s">
        <v>89</v>
      </c>
      <c r="L174" s="2">
        <v>44986</v>
      </c>
      <c r="M174" s="6">
        <f>T_SALES[[#This Row],[Profit]]/T_SALES[[#This Row],[Amount]]</f>
        <v>0.31298701298701298</v>
      </c>
    </row>
    <row r="175" spans="1:13" x14ac:dyDescent="0.25">
      <c r="A175" s="1" t="s">
        <v>200</v>
      </c>
      <c r="B175" s="7">
        <v>9895</v>
      </c>
      <c r="C175" s="8">
        <v>1598</v>
      </c>
      <c r="D175">
        <v>20</v>
      </c>
      <c r="E175" s="1" t="s">
        <v>39</v>
      </c>
      <c r="F175" s="1" t="s">
        <v>90</v>
      </c>
      <c r="G175" s="1" t="s">
        <v>56</v>
      </c>
      <c r="H175" s="2">
        <v>45276</v>
      </c>
      <c r="I175" s="1" t="s">
        <v>201</v>
      </c>
      <c r="J175" s="1" t="s">
        <v>23</v>
      </c>
      <c r="K175" s="1" t="s">
        <v>59</v>
      </c>
      <c r="L175" s="2">
        <v>45261</v>
      </c>
      <c r="M175" s="6">
        <f>T_SALES[[#This Row],[Profit]]/T_SALES[[#This Row],[Amount]]</f>
        <v>0.16149570490146539</v>
      </c>
    </row>
    <row r="176" spans="1:13" x14ac:dyDescent="0.25">
      <c r="A176" s="1" t="s">
        <v>202</v>
      </c>
      <c r="B176" s="7">
        <v>6517</v>
      </c>
      <c r="C176" s="8">
        <v>1581</v>
      </c>
      <c r="D176">
        <v>10</v>
      </c>
      <c r="E176" s="1" t="s">
        <v>27</v>
      </c>
      <c r="F176" s="1" t="s">
        <v>55</v>
      </c>
      <c r="G176" s="1" t="s">
        <v>29</v>
      </c>
      <c r="H176" s="2">
        <v>45431</v>
      </c>
      <c r="I176" s="1" t="s">
        <v>203</v>
      </c>
      <c r="J176" s="1" t="s">
        <v>17</v>
      </c>
      <c r="K176" s="1" t="s">
        <v>18</v>
      </c>
      <c r="L176" s="2">
        <v>45413</v>
      </c>
      <c r="M176" s="6">
        <f>T_SALES[[#This Row],[Profit]]/T_SALES[[#This Row],[Amount]]</f>
        <v>0.24259628663495472</v>
      </c>
    </row>
    <row r="177" spans="1:13" x14ac:dyDescent="0.25">
      <c r="A177" s="1" t="s">
        <v>202</v>
      </c>
      <c r="B177" s="7">
        <v>6517</v>
      </c>
      <c r="C177" s="8">
        <v>1581</v>
      </c>
      <c r="D177">
        <v>10</v>
      </c>
      <c r="E177" s="1" t="s">
        <v>27</v>
      </c>
      <c r="F177" s="1" t="s">
        <v>55</v>
      </c>
      <c r="G177" s="1" t="s">
        <v>29</v>
      </c>
      <c r="H177" s="2">
        <v>43965</v>
      </c>
      <c r="I177" s="1" t="s">
        <v>204</v>
      </c>
      <c r="J177" s="1" t="s">
        <v>17</v>
      </c>
      <c r="K177" s="1" t="s">
        <v>121</v>
      </c>
      <c r="L177" s="2">
        <v>43952</v>
      </c>
      <c r="M177" s="6">
        <f>T_SALES[[#This Row],[Profit]]/T_SALES[[#This Row],[Amount]]</f>
        <v>0.24259628663495472</v>
      </c>
    </row>
    <row r="178" spans="1:13" x14ac:dyDescent="0.25">
      <c r="A178" s="1" t="s">
        <v>202</v>
      </c>
      <c r="B178" s="7">
        <v>1166</v>
      </c>
      <c r="C178" s="8">
        <v>349</v>
      </c>
      <c r="D178">
        <v>11</v>
      </c>
      <c r="E178" s="1" t="s">
        <v>39</v>
      </c>
      <c r="F178" s="1" t="s">
        <v>40</v>
      </c>
      <c r="G178" s="1" t="s">
        <v>41</v>
      </c>
      <c r="H178" s="2">
        <v>45431</v>
      </c>
      <c r="I178" s="1" t="s">
        <v>203</v>
      </c>
      <c r="J178" s="1" t="s">
        <v>17</v>
      </c>
      <c r="K178" s="1" t="s">
        <v>18</v>
      </c>
      <c r="L178" s="2">
        <v>45413</v>
      </c>
      <c r="M178" s="6">
        <f>T_SALES[[#This Row],[Profit]]/T_SALES[[#This Row],[Amount]]</f>
        <v>0.29931389365351629</v>
      </c>
    </row>
    <row r="179" spans="1:13" x14ac:dyDescent="0.25">
      <c r="A179" s="1" t="s">
        <v>202</v>
      </c>
      <c r="B179" s="7">
        <v>1166</v>
      </c>
      <c r="C179" s="8">
        <v>349</v>
      </c>
      <c r="D179">
        <v>11</v>
      </c>
      <c r="E179" s="1" t="s">
        <v>39</v>
      </c>
      <c r="F179" s="1" t="s">
        <v>40</v>
      </c>
      <c r="G179" s="1" t="s">
        <v>41</v>
      </c>
      <c r="H179" s="2">
        <v>43965</v>
      </c>
      <c r="I179" s="1" t="s">
        <v>204</v>
      </c>
      <c r="J179" s="1" t="s">
        <v>17</v>
      </c>
      <c r="K179" s="1" t="s">
        <v>121</v>
      </c>
      <c r="L179" s="2">
        <v>43952</v>
      </c>
      <c r="M179" s="6">
        <f>T_SALES[[#This Row],[Profit]]/T_SALES[[#This Row],[Amount]]</f>
        <v>0.29931389365351629</v>
      </c>
    </row>
    <row r="180" spans="1:13" x14ac:dyDescent="0.25">
      <c r="A180" s="1" t="s">
        <v>205</v>
      </c>
      <c r="B180" s="7">
        <v>9820</v>
      </c>
      <c r="C180" s="8">
        <v>793</v>
      </c>
      <c r="D180">
        <v>16</v>
      </c>
      <c r="E180" s="1" t="s">
        <v>39</v>
      </c>
      <c r="F180" s="1" t="s">
        <v>43</v>
      </c>
      <c r="G180" s="1" t="s">
        <v>41</v>
      </c>
      <c r="H180" s="2">
        <v>44437</v>
      </c>
      <c r="I180" s="1" t="s">
        <v>206</v>
      </c>
      <c r="J180" s="1" t="s">
        <v>23</v>
      </c>
      <c r="K180" s="1" t="s">
        <v>24</v>
      </c>
      <c r="L180" s="2">
        <v>44409</v>
      </c>
      <c r="M180" s="6">
        <f>T_SALES[[#This Row],[Profit]]/T_SALES[[#This Row],[Amount]]</f>
        <v>8.0753564154786156E-2</v>
      </c>
    </row>
    <row r="181" spans="1:13" x14ac:dyDescent="0.25">
      <c r="A181" s="1" t="s">
        <v>207</v>
      </c>
      <c r="B181" s="7">
        <v>8563</v>
      </c>
      <c r="C181" s="8">
        <v>2624</v>
      </c>
      <c r="D181">
        <v>8</v>
      </c>
      <c r="E181" s="1" t="s">
        <v>27</v>
      </c>
      <c r="F181" s="1" t="s">
        <v>67</v>
      </c>
      <c r="G181" s="1" t="s">
        <v>56</v>
      </c>
      <c r="H181" s="2">
        <v>45606</v>
      </c>
      <c r="I181" s="1" t="s">
        <v>208</v>
      </c>
      <c r="J181" s="1" t="s">
        <v>62</v>
      </c>
      <c r="K181" s="1" t="s">
        <v>63</v>
      </c>
      <c r="L181" s="2">
        <v>45597</v>
      </c>
      <c r="M181" s="6">
        <f>T_SALES[[#This Row],[Profit]]/T_SALES[[#This Row],[Amount]]</f>
        <v>0.30643466074973724</v>
      </c>
    </row>
    <row r="182" spans="1:13" x14ac:dyDescent="0.25">
      <c r="A182" s="1" t="s">
        <v>207</v>
      </c>
      <c r="B182" s="7">
        <v>4441</v>
      </c>
      <c r="C182" s="8">
        <v>281</v>
      </c>
      <c r="D182">
        <v>20</v>
      </c>
      <c r="E182" s="1" t="s">
        <v>13</v>
      </c>
      <c r="F182" s="1" t="s">
        <v>25</v>
      </c>
      <c r="G182" s="1" t="s">
        <v>56</v>
      </c>
      <c r="H182" s="2">
        <v>45606</v>
      </c>
      <c r="I182" s="1" t="s">
        <v>208</v>
      </c>
      <c r="J182" s="1" t="s">
        <v>62</v>
      </c>
      <c r="K182" s="1" t="s">
        <v>63</v>
      </c>
      <c r="L182" s="2">
        <v>45597</v>
      </c>
      <c r="M182" s="6">
        <f>T_SALES[[#This Row],[Profit]]/T_SALES[[#This Row],[Amount]]</f>
        <v>6.3274037378968695E-2</v>
      </c>
    </row>
    <row r="183" spans="1:13" x14ac:dyDescent="0.25">
      <c r="A183" s="1" t="s">
        <v>209</v>
      </c>
      <c r="B183" s="7">
        <v>7340</v>
      </c>
      <c r="C183" s="8">
        <v>2271</v>
      </c>
      <c r="D183">
        <v>8</v>
      </c>
      <c r="E183" s="1" t="s">
        <v>27</v>
      </c>
      <c r="F183" s="1" t="s">
        <v>55</v>
      </c>
      <c r="G183" s="1" t="s">
        <v>35</v>
      </c>
      <c r="H183" s="2">
        <v>44535</v>
      </c>
      <c r="I183" s="1" t="s">
        <v>210</v>
      </c>
      <c r="J183" s="1" t="s">
        <v>17</v>
      </c>
      <c r="K183" s="1" t="s">
        <v>31</v>
      </c>
      <c r="L183" s="2">
        <v>44531</v>
      </c>
      <c r="M183" s="6">
        <f>T_SALES[[#This Row],[Profit]]/T_SALES[[#This Row],[Amount]]</f>
        <v>0.30940054495912805</v>
      </c>
    </row>
    <row r="184" spans="1:13" x14ac:dyDescent="0.25">
      <c r="A184" s="1" t="s">
        <v>209</v>
      </c>
      <c r="B184" s="7">
        <v>5442</v>
      </c>
      <c r="C184" s="8">
        <v>1610</v>
      </c>
      <c r="D184">
        <v>1</v>
      </c>
      <c r="E184" s="1" t="s">
        <v>13</v>
      </c>
      <c r="F184" s="1" t="s">
        <v>70</v>
      </c>
      <c r="G184" s="1" t="s">
        <v>35</v>
      </c>
      <c r="H184" s="2">
        <v>44535</v>
      </c>
      <c r="I184" s="1" t="s">
        <v>210</v>
      </c>
      <c r="J184" s="1" t="s">
        <v>17</v>
      </c>
      <c r="K184" s="1" t="s">
        <v>31</v>
      </c>
      <c r="L184" s="2">
        <v>44531</v>
      </c>
      <c r="M184" s="6">
        <f>T_SALES[[#This Row],[Profit]]/T_SALES[[#This Row],[Amount]]</f>
        <v>0.29584711503123851</v>
      </c>
    </row>
    <row r="185" spans="1:13" x14ac:dyDescent="0.25">
      <c r="A185" s="1" t="s">
        <v>211</v>
      </c>
      <c r="B185" s="7">
        <v>1895</v>
      </c>
      <c r="C185" s="8">
        <v>391</v>
      </c>
      <c r="D185">
        <v>14</v>
      </c>
      <c r="E185" s="1" t="s">
        <v>39</v>
      </c>
      <c r="F185" s="1" t="s">
        <v>40</v>
      </c>
      <c r="G185" s="1" t="s">
        <v>15</v>
      </c>
      <c r="H185" s="2">
        <v>45478</v>
      </c>
      <c r="I185" s="1" t="s">
        <v>212</v>
      </c>
      <c r="J185" s="1" t="s">
        <v>17</v>
      </c>
      <c r="K185" s="1" t="s">
        <v>121</v>
      </c>
      <c r="L185" s="2">
        <v>45474</v>
      </c>
      <c r="M185" s="6">
        <f>T_SALES[[#This Row],[Profit]]/T_SALES[[#This Row],[Amount]]</f>
        <v>0.20633245382585752</v>
      </c>
    </row>
    <row r="186" spans="1:13" x14ac:dyDescent="0.25">
      <c r="A186" s="1" t="s">
        <v>211</v>
      </c>
      <c r="B186" s="7">
        <v>5323</v>
      </c>
      <c r="C186" s="8">
        <v>322</v>
      </c>
      <c r="D186">
        <v>13</v>
      </c>
      <c r="E186" s="1" t="s">
        <v>27</v>
      </c>
      <c r="F186" s="1" t="s">
        <v>67</v>
      </c>
      <c r="G186" s="1" t="s">
        <v>56</v>
      </c>
      <c r="H186" s="2">
        <v>45478</v>
      </c>
      <c r="I186" s="1" t="s">
        <v>212</v>
      </c>
      <c r="J186" s="1" t="s">
        <v>17</v>
      </c>
      <c r="K186" s="1" t="s">
        <v>121</v>
      </c>
      <c r="L186" s="2">
        <v>45474</v>
      </c>
      <c r="M186" s="6">
        <f>T_SALES[[#This Row],[Profit]]/T_SALES[[#This Row],[Amount]]</f>
        <v>6.0492203644561336E-2</v>
      </c>
    </row>
    <row r="187" spans="1:13" x14ac:dyDescent="0.25">
      <c r="A187" s="1" t="s">
        <v>213</v>
      </c>
      <c r="B187" s="7">
        <v>8850</v>
      </c>
      <c r="C187" s="8">
        <v>279</v>
      </c>
      <c r="D187">
        <v>13</v>
      </c>
      <c r="E187" s="1" t="s">
        <v>27</v>
      </c>
      <c r="F187" s="1" t="s">
        <v>49</v>
      </c>
      <c r="G187" s="1" t="s">
        <v>29</v>
      </c>
      <c r="H187" s="2">
        <v>45468</v>
      </c>
      <c r="I187" s="1" t="s">
        <v>214</v>
      </c>
      <c r="J187" s="1" t="s">
        <v>17</v>
      </c>
      <c r="K187" s="1" t="s">
        <v>18</v>
      </c>
      <c r="L187" s="2">
        <v>45444</v>
      </c>
      <c r="M187" s="6">
        <f>T_SALES[[#This Row],[Profit]]/T_SALES[[#This Row],[Amount]]</f>
        <v>3.1525423728813562E-2</v>
      </c>
    </row>
    <row r="188" spans="1:13" x14ac:dyDescent="0.25">
      <c r="A188" s="1" t="s">
        <v>213</v>
      </c>
      <c r="B188" s="7">
        <v>8667</v>
      </c>
      <c r="C188" s="8">
        <v>1266</v>
      </c>
      <c r="D188">
        <v>6</v>
      </c>
      <c r="E188" s="1" t="s">
        <v>27</v>
      </c>
      <c r="F188" s="1" t="s">
        <v>55</v>
      </c>
      <c r="G188" s="1" t="s">
        <v>29</v>
      </c>
      <c r="H188" s="2">
        <v>45468</v>
      </c>
      <c r="I188" s="1" t="s">
        <v>214</v>
      </c>
      <c r="J188" s="1" t="s">
        <v>17</v>
      </c>
      <c r="K188" s="1" t="s">
        <v>18</v>
      </c>
      <c r="L188" s="2">
        <v>45444</v>
      </c>
      <c r="M188" s="6">
        <f>T_SALES[[#This Row],[Profit]]/T_SALES[[#This Row],[Amount]]</f>
        <v>0.14607130494980963</v>
      </c>
    </row>
    <row r="189" spans="1:13" x14ac:dyDescent="0.25">
      <c r="A189" s="1" t="s">
        <v>215</v>
      </c>
      <c r="B189" s="7">
        <v>6903</v>
      </c>
      <c r="C189" s="8">
        <v>105</v>
      </c>
      <c r="D189">
        <v>1</v>
      </c>
      <c r="E189" s="1" t="s">
        <v>39</v>
      </c>
      <c r="F189" s="1" t="s">
        <v>40</v>
      </c>
      <c r="G189" s="1" t="s">
        <v>56</v>
      </c>
      <c r="H189" s="2">
        <v>45443</v>
      </c>
      <c r="I189" s="1" t="s">
        <v>216</v>
      </c>
      <c r="J189" s="1" t="s">
        <v>20</v>
      </c>
      <c r="K189" s="1" t="s">
        <v>21</v>
      </c>
      <c r="L189" s="2">
        <v>45413</v>
      </c>
      <c r="M189" s="6">
        <f>T_SALES[[#This Row],[Profit]]/T_SALES[[#This Row],[Amount]]</f>
        <v>1.5210777922642329E-2</v>
      </c>
    </row>
    <row r="190" spans="1:13" x14ac:dyDescent="0.25">
      <c r="A190" s="1" t="s">
        <v>215</v>
      </c>
      <c r="B190" s="7">
        <v>8793</v>
      </c>
      <c r="C190" s="8">
        <v>3010</v>
      </c>
      <c r="D190">
        <v>7</v>
      </c>
      <c r="E190" s="1" t="s">
        <v>27</v>
      </c>
      <c r="F190" s="1" t="s">
        <v>28</v>
      </c>
      <c r="G190" s="1" t="s">
        <v>56</v>
      </c>
      <c r="H190" s="2">
        <v>45443</v>
      </c>
      <c r="I190" s="1" t="s">
        <v>216</v>
      </c>
      <c r="J190" s="1" t="s">
        <v>20</v>
      </c>
      <c r="K190" s="1" t="s">
        <v>21</v>
      </c>
      <c r="L190" s="2">
        <v>45413</v>
      </c>
      <c r="M190" s="6">
        <f>T_SALES[[#This Row],[Profit]]/T_SALES[[#This Row],[Amount]]</f>
        <v>0.34231775275787557</v>
      </c>
    </row>
    <row r="191" spans="1:13" x14ac:dyDescent="0.25">
      <c r="A191" s="1" t="s">
        <v>217</v>
      </c>
      <c r="B191" s="7">
        <v>9883</v>
      </c>
      <c r="C191" s="8">
        <v>4812</v>
      </c>
      <c r="D191">
        <v>16</v>
      </c>
      <c r="E191" s="1" t="s">
        <v>27</v>
      </c>
      <c r="F191" s="1" t="s">
        <v>55</v>
      </c>
      <c r="G191" s="1" t="s">
        <v>15</v>
      </c>
      <c r="H191" s="2">
        <v>44124</v>
      </c>
      <c r="I191" s="1" t="s">
        <v>218</v>
      </c>
      <c r="J191" s="1" t="s">
        <v>23</v>
      </c>
      <c r="K191" s="1" t="s">
        <v>24</v>
      </c>
      <c r="L191" s="2">
        <v>44105</v>
      </c>
      <c r="M191" s="6">
        <f>T_SALES[[#This Row],[Profit]]/T_SALES[[#This Row],[Amount]]</f>
        <v>0.48689669128807045</v>
      </c>
    </row>
    <row r="192" spans="1:13" x14ac:dyDescent="0.25">
      <c r="A192" s="1" t="s">
        <v>217</v>
      </c>
      <c r="B192" s="7">
        <v>9883</v>
      </c>
      <c r="C192" s="8">
        <v>4812</v>
      </c>
      <c r="D192">
        <v>16</v>
      </c>
      <c r="E192" s="1" t="s">
        <v>27</v>
      </c>
      <c r="F192" s="1" t="s">
        <v>55</v>
      </c>
      <c r="G192" s="1" t="s">
        <v>15</v>
      </c>
      <c r="H192" s="2">
        <v>44784</v>
      </c>
      <c r="I192" s="1" t="s">
        <v>219</v>
      </c>
      <c r="J192" s="1" t="s">
        <v>17</v>
      </c>
      <c r="K192" s="1" t="s">
        <v>31</v>
      </c>
      <c r="L192" s="2">
        <v>44774</v>
      </c>
      <c r="M192" s="6">
        <f>T_SALES[[#This Row],[Profit]]/T_SALES[[#This Row],[Amount]]</f>
        <v>0.48689669128807045</v>
      </c>
    </row>
    <row r="193" spans="1:13" x14ac:dyDescent="0.25">
      <c r="A193" s="1" t="s">
        <v>217</v>
      </c>
      <c r="B193" s="7">
        <v>9883</v>
      </c>
      <c r="C193" s="8">
        <v>4812</v>
      </c>
      <c r="D193">
        <v>16</v>
      </c>
      <c r="E193" s="1" t="s">
        <v>27</v>
      </c>
      <c r="F193" s="1" t="s">
        <v>55</v>
      </c>
      <c r="G193" s="1" t="s">
        <v>15</v>
      </c>
      <c r="H193" s="2">
        <v>44486</v>
      </c>
      <c r="I193" s="1" t="s">
        <v>220</v>
      </c>
      <c r="J193" s="1" t="s">
        <v>20</v>
      </c>
      <c r="K193" s="1" t="s">
        <v>54</v>
      </c>
      <c r="L193" s="2">
        <v>44470</v>
      </c>
      <c r="M193" s="6">
        <f>T_SALES[[#This Row],[Profit]]/T_SALES[[#This Row],[Amount]]</f>
        <v>0.48689669128807045</v>
      </c>
    </row>
    <row r="194" spans="1:13" x14ac:dyDescent="0.25">
      <c r="A194" s="1" t="s">
        <v>217</v>
      </c>
      <c r="B194" s="7">
        <v>5210</v>
      </c>
      <c r="C194" s="8">
        <v>1185</v>
      </c>
      <c r="D194">
        <v>7</v>
      </c>
      <c r="E194" s="1" t="s">
        <v>27</v>
      </c>
      <c r="F194" s="1" t="s">
        <v>55</v>
      </c>
      <c r="G194" s="1" t="s">
        <v>15</v>
      </c>
      <c r="H194" s="2">
        <v>44124</v>
      </c>
      <c r="I194" s="1" t="s">
        <v>218</v>
      </c>
      <c r="J194" s="1" t="s">
        <v>23</v>
      </c>
      <c r="K194" s="1" t="s">
        <v>24</v>
      </c>
      <c r="L194" s="2">
        <v>44105</v>
      </c>
      <c r="M194" s="6">
        <f>T_SALES[[#This Row],[Profit]]/T_SALES[[#This Row],[Amount]]</f>
        <v>0.22744721689059502</v>
      </c>
    </row>
    <row r="195" spans="1:13" x14ac:dyDescent="0.25">
      <c r="A195" s="1" t="s">
        <v>217</v>
      </c>
      <c r="B195" s="7">
        <v>5210</v>
      </c>
      <c r="C195" s="8">
        <v>1185</v>
      </c>
      <c r="D195">
        <v>7</v>
      </c>
      <c r="E195" s="1" t="s">
        <v>27</v>
      </c>
      <c r="F195" s="1" t="s">
        <v>55</v>
      </c>
      <c r="G195" s="1" t="s">
        <v>15</v>
      </c>
      <c r="H195" s="2">
        <v>44784</v>
      </c>
      <c r="I195" s="1" t="s">
        <v>219</v>
      </c>
      <c r="J195" s="1" t="s">
        <v>17</v>
      </c>
      <c r="K195" s="1" t="s">
        <v>31</v>
      </c>
      <c r="L195" s="2">
        <v>44774</v>
      </c>
      <c r="M195" s="6">
        <f>T_SALES[[#This Row],[Profit]]/T_SALES[[#This Row],[Amount]]</f>
        <v>0.22744721689059502</v>
      </c>
    </row>
    <row r="196" spans="1:13" x14ac:dyDescent="0.25">
      <c r="A196" s="1" t="s">
        <v>217</v>
      </c>
      <c r="B196" s="7">
        <v>5210</v>
      </c>
      <c r="C196" s="8">
        <v>1185</v>
      </c>
      <c r="D196">
        <v>7</v>
      </c>
      <c r="E196" s="1" t="s">
        <v>27</v>
      </c>
      <c r="F196" s="1" t="s">
        <v>55</v>
      </c>
      <c r="G196" s="1" t="s">
        <v>15</v>
      </c>
      <c r="H196" s="2">
        <v>44486</v>
      </c>
      <c r="I196" s="1" t="s">
        <v>220</v>
      </c>
      <c r="J196" s="1" t="s">
        <v>20</v>
      </c>
      <c r="K196" s="1" t="s">
        <v>54</v>
      </c>
      <c r="L196" s="2">
        <v>44470</v>
      </c>
      <c r="M196" s="6">
        <f>T_SALES[[#This Row],[Profit]]/T_SALES[[#This Row],[Amount]]</f>
        <v>0.22744721689059502</v>
      </c>
    </row>
    <row r="197" spans="1:13" x14ac:dyDescent="0.25">
      <c r="A197" s="1" t="s">
        <v>221</v>
      </c>
      <c r="B197" s="7">
        <v>3574</v>
      </c>
      <c r="C197" s="8">
        <v>851</v>
      </c>
      <c r="D197">
        <v>4</v>
      </c>
      <c r="E197" s="1" t="s">
        <v>13</v>
      </c>
      <c r="F197" s="1" t="s">
        <v>25</v>
      </c>
      <c r="G197" s="1" t="s">
        <v>41</v>
      </c>
      <c r="H197" s="2">
        <v>44615</v>
      </c>
      <c r="I197" s="1" t="s">
        <v>222</v>
      </c>
      <c r="J197" s="1" t="s">
        <v>37</v>
      </c>
      <c r="K197" s="1" t="s">
        <v>38</v>
      </c>
      <c r="L197" s="2">
        <v>44593</v>
      </c>
      <c r="M197" s="6">
        <f>T_SALES[[#This Row],[Profit]]/T_SALES[[#This Row],[Amount]]</f>
        <v>0.23810856183547846</v>
      </c>
    </row>
    <row r="198" spans="1:13" x14ac:dyDescent="0.25">
      <c r="A198" s="1" t="s">
        <v>221</v>
      </c>
      <c r="B198" s="7">
        <v>576</v>
      </c>
      <c r="C198" s="8">
        <v>76</v>
      </c>
      <c r="D198">
        <v>13</v>
      </c>
      <c r="E198" s="1" t="s">
        <v>39</v>
      </c>
      <c r="F198" s="1" t="s">
        <v>51</v>
      </c>
      <c r="G198" s="1" t="s">
        <v>15</v>
      </c>
      <c r="H198" s="2">
        <v>44615</v>
      </c>
      <c r="I198" s="1" t="s">
        <v>222</v>
      </c>
      <c r="J198" s="1" t="s">
        <v>37</v>
      </c>
      <c r="K198" s="1" t="s">
        <v>38</v>
      </c>
      <c r="L198" s="2">
        <v>44593</v>
      </c>
      <c r="M198" s="6">
        <f>T_SALES[[#This Row],[Profit]]/T_SALES[[#This Row],[Amount]]</f>
        <v>0.13194444444444445</v>
      </c>
    </row>
    <row r="199" spans="1:13" x14ac:dyDescent="0.25">
      <c r="A199" s="1" t="s">
        <v>223</v>
      </c>
      <c r="B199" s="7">
        <v>1860</v>
      </c>
      <c r="C199" s="8">
        <v>457</v>
      </c>
      <c r="D199">
        <v>13</v>
      </c>
      <c r="E199" s="1" t="s">
        <v>13</v>
      </c>
      <c r="F199" s="1" t="s">
        <v>25</v>
      </c>
      <c r="G199" s="1" t="s">
        <v>35</v>
      </c>
      <c r="H199" s="2">
        <v>45189</v>
      </c>
      <c r="I199" s="1" t="s">
        <v>224</v>
      </c>
      <c r="J199" s="1" t="s">
        <v>82</v>
      </c>
      <c r="K199" s="1" t="s">
        <v>97</v>
      </c>
      <c r="L199" s="2">
        <v>45170</v>
      </c>
      <c r="M199" s="6">
        <f>T_SALES[[#This Row],[Profit]]/T_SALES[[#This Row],[Amount]]</f>
        <v>0.24569892473118279</v>
      </c>
    </row>
    <row r="200" spans="1:13" x14ac:dyDescent="0.25">
      <c r="A200" s="1" t="s">
        <v>225</v>
      </c>
      <c r="B200" s="7">
        <v>782</v>
      </c>
      <c r="C200" s="8">
        <v>374</v>
      </c>
      <c r="D200">
        <v>8</v>
      </c>
      <c r="E200" s="1" t="s">
        <v>27</v>
      </c>
      <c r="F200" s="1" t="s">
        <v>28</v>
      </c>
      <c r="G200" s="1" t="s">
        <v>35</v>
      </c>
      <c r="H200" s="2">
        <v>44215</v>
      </c>
      <c r="I200" s="1" t="s">
        <v>226</v>
      </c>
      <c r="J200" s="1" t="s">
        <v>20</v>
      </c>
      <c r="K200" s="1" t="s">
        <v>137</v>
      </c>
      <c r="L200" s="2">
        <v>44197</v>
      </c>
      <c r="M200" s="6">
        <f>T_SALES[[#This Row],[Profit]]/T_SALES[[#This Row],[Amount]]</f>
        <v>0.47826086956521741</v>
      </c>
    </row>
    <row r="201" spans="1:13" x14ac:dyDescent="0.25">
      <c r="A201" s="1" t="s">
        <v>225</v>
      </c>
      <c r="B201" s="7">
        <v>4371</v>
      </c>
      <c r="C201" s="8">
        <v>1852</v>
      </c>
      <c r="D201">
        <v>1</v>
      </c>
      <c r="E201" s="1" t="s">
        <v>13</v>
      </c>
      <c r="F201" s="1" t="s">
        <v>34</v>
      </c>
      <c r="G201" s="1" t="s">
        <v>15</v>
      </c>
      <c r="H201" s="2">
        <v>44215</v>
      </c>
      <c r="I201" s="1" t="s">
        <v>226</v>
      </c>
      <c r="J201" s="1" t="s">
        <v>20</v>
      </c>
      <c r="K201" s="1" t="s">
        <v>137</v>
      </c>
      <c r="L201" s="2">
        <v>44197</v>
      </c>
      <c r="M201" s="6">
        <f>T_SALES[[#This Row],[Profit]]/T_SALES[[#This Row],[Amount]]</f>
        <v>0.42370167009837567</v>
      </c>
    </row>
    <row r="202" spans="1:13" x14ac:dyDescent="0.25">
      <c r="A202" s="1" t="s">
        <v>227</v>
      </c>
      <c r="B202" s="7">
        <v>8346</v>
      </c>
      <c r="C202" s="8">
        <v>1176</v>
      </c>
      <c r="D202">
        <v>1</v>
      </c>
      <c r="E202" s="1" t="s">
        <v>13</v>
      </c>
      <c r="F202" s="1" t="s">
        <v>70</v>
      </c>
      <c r="G202" s="1" t="s">
        <v>56</v>
      </c>
      <c r="H202" s="2">
        <v>44064</v>
      </c>
      <c r="I202" s="1" t="s">
        <v>228</v>
      </c>
      <c r="J202" s="1" t="s">
        <v>62</v>
      </c>
      <c r="K202" s="1" t="s">
        <v>111</v>
      </c>
      <c r="L202" s="2">
        <v>44044</v>
      </c>
      <c r="M202" s="6">
        <f>T_SALES[[#This Row],[Profit]]/T_SALES[[#This Row],[Amount]]</f>
        <v>0.14090582314881381</v>
      </c>
    </row>
    <row r="203" spans="1:13" x14ac:dyDescent="0.25">
      <c r="A203" s="1" t="s">
        <v>227</v>
      </c>
      <c r="B203" s="7">
        <v>8346</v>
      </c>
      <c r="C203" s="8">
        <v>1176</v>
      </c>
      <c r="D203">
        <v>1</v>
      </c>
      <c r="E203" s="1" t="s">
        <v>13</v>
      </c>
      <c r="F203" s="1" t="s">
        <v>70</v>
      </c>
      <c r="G203" s="1" t="s">
        <v>56</v>
      </c>
      <c r="H203" s="2">
        <v>45033</v>
      </c>
      <c r="I203" s="1" t="s">
        <v>229</v>
      </c>
      <c r="J203" s="1" t="s">
        <v>20</v>
      </c>
      <c r="K203" s="1" t="s">
        <v>21</v>
      </c>
      <c r="L203" s="2">
        <v>45017</v>
      </c>
      <c r="M203" s="6">
        <f>T_SALES[[#This Row],[Profit]]/T_SALES[[#This Row],[Amount]]</f>
        <v>0.14090582314881381</v>
      </c>
    </row>
    <row r="204" spans="1:13" x14ac:dyDescent="0.25">
      <c r="A204" s="1" t="s">
        <v>227</v>
      </c>
      <c r="B204" s="7">
        <v>8346</v>
      </c>
      <c r="C204" s="8">
        <v>1176</v>
      </c>
      <c r="D204">
        <v>1</v>
      </c>
      <c r="E204" s="1" t="s">
        <v>13</v>
      </c>
      <c r="F204" s="1" t="s">
        <v>70</v>
      </c>
      <c r="G204" s="1" t="s">
        <v>56</v>
      </c>
      <c r="H204" s="2">
        <v>45284</v>
      </c>
      <c r="I204" s="1" t="s">
        <v>230</v>
      </c>
      <c r="J204" s="1" t="s">
        <v>37</v>
      </c>
      <c r="K204" s="1" t="s">
        <v>78</v>
      </c>
      <c r="L204" s="2">
        <v>45261</v>
      </c>
      <c r="M204" s="6">
        <f>T_SALES[[#This Row],[Profit]]/T_SALES[[#This Row],[Amount]]</f>
        <v>0.14090582314881381</v>
      </c>
    </row>
    <row r="205" spans="1:13" x14ac:dyDescent="0.25">
      <c r="A205" s="1" t="s">
        <v>227</v>
      </c>
      <c r="B205" s="7">
        <v>6218</v>
      </c>
      <c r="C205" s="8">
        <v>1125</v>
      </c>
      <c r="D205">
        <v>5</v>
      </c>
      <c r="E205" s="1" t="s">
        <v>39</v>
      </c>
      <c r="F205" s="1" t="s">
        <v>40</v>
      </c>
      <c r="G205" s="1" t="s">
        <v>29</v>
      </c>
      <c r="H205" s="2">
        <v>44064</v>
      </c>
      <c r="I205" s="1" t="s">
        <v>228</v>
      </c>
      <c r="J205" s="1" t="s">
        <v>62</v>
      </c>
      <c r="K205" s="1" t="s">
        <v>111</v>
      </c>
      <c r="L205" s="2">
        <v>44044</v>
      </c>
      <c r="M205" s="6">
        <f>T_SALES[[#This Row],[Profit]]/T_SALES[[#This Row],[Amount]]</f>
        <v>0.18092634287552267</v>
      </c>
    </row>
    <row r="206" spans="1:13" x14ac:dyDescent="0.25">
      <c r="A206" s="1" t="s">
        <v>227</v>
      </c>
      <c r="B206" s="7">
        <v>6218</v>
      </c>
      <c r="C206" s="8">
        <v>1125</v>
      </c>
      <c r="D206">
        <v>5</v>
      </c>
      <c r="E206" s="1" t="s">
        <v>39</v>
      </c>
      <c r="F206" s="1" t="s">
        <v>40</v>
      </c>
      <c r="G206" s="1" t="s">
        <v>29</v>
      </c>
      <c r="H206" s="2">
        <v>45033</v>
      </c>
      <c r="I206" s="1" t="s">
        <v>229</v>
      </c>
      <c r="J206" s="1" t="s">
        <v>20</v>
      </c>
      <c r="K206" s="1" t="s">
        <v>21</v>
      </c>
      <c r="L206" s="2">
        <v>45017</v>
      </c>
      <c r="M206" s="6">
        <f>T_SALES[[#This Row],[Profit]]/T_SALES[[#This Row],[Amount]]</f>
        <v>0.18092634287552267</v>
      </c>
    </row>
    <row r="207" spans="1:13" x14ac:dyDescent="0.25">
      <c r="A207" s="1" t="s">
        <v>227</v>
      </c>
      <c r="B207" s="7">
        <v>6218</v>
      </c>
      <c r="C207" s="8">
        <v>1125</v>
      </c>
      <c r="D207">
        <v>5</v>
      </c>
      <c r="E207" s="1" t="s">
        <v>39</v>
      </c>
      <c r="F207" s="1" t="s">
        <v>40</v>
      </c>
      <c r="G207" s="1" t="s">
        <v>29</v>
      </c>
      <c r="H207" s="2">
        <v>45284</v>
      </c>
      <c r="I207" s="1" t="s">
        <v>230</v>
      </c>
      <c r="J207" s="1" t="s">
        <v>37</v>
      </c>
      <c r="K207" s="1" t="s">
        <v>78</v>
      </c>
      <c r="L207" s="2">
        <v>45261</v>
      </c>
      <c r="M207" s="6">
        <f>T_SALES[[#This Row],[Profit]]/T_SALES[[#This Row],[Amount]]</f>
        <v>0.18092634287552267</v>
      </c>
    </row>
    <row r="208" spans="1:13" x14ac:dyDescent="0.25">
      <c r="A208" s="1" t="s">
        <v>227</v>
      </c>
      <c r="B208" s="7">
        <v>5167</v>
      </c>
      <c r="C208" s="8">
        <v>253</v>
      </c>
      <c r="D208">
        <v>14</v>
      </c>
      <c r="E208" s="1" t="s">
        <v>13</v>
      </c>
      <c r="F208" s="1" t="s">
        <v>25</v>
      </c>
      <c r="G208" s="1" t="s">
        <v>41</v>
      </c>
      <c r="H208" s="2">
        <v>44064</v>
      </c>
      <c r="I208" s="1" t="s">
        <v>228</v>
      </c>
      <c r="J208" s="1" t="s">
        <v>62</v>
      </c>
      <c r="K208" s="1" t="s">
        <v>111</v>
      </c>
      <c r="L208" s="2">
        <v>44044</v>
      </c>
      <c r="M208" s="6">
        <f>T_SALES[[#This Row],[Profit]]/T_SALES[[#This Row],[Amount]]</f>
        <v>4.8964582930133539E-2</v>
      </c>
    </row>
    <row r="209" spans="1:13" x14ac:dyDescent="0.25">
      <c r="A209" s="1" t="s">
        <v>227</v>
      </c>
      <c r="B209" s="7">
        <v>5167</v>
      </c>
      <c r="C209" s="8">
        <v>253</v>
      </c>
      <c r="D209">
        <v>14</v>
      </c>
      <c r="E209" s="1" t="s">
        <v>13</v>
      </c>
      <c r="F209" s="1" t="s">
        <v>25</v>
      </c>
      <c r="G209" s="1" t="s">
        <v>41</v>
      </c>
      <c r="H209" s="2">
        <v>45033</v>
      </c>
      <c r="I209" s="1" t="s">
        <v>229</v>
      </c>
      <c r="J209" s="1" t="s">
        <v>20</v>
      </c>
      <c r="K209" s="1" t="s">
        <v>21</v>
      </c>
      <c r="L209" s="2">
        <v>45017</v>
      </c>
      <c r="M209" s="6">
        <f>T_SALES[[#This Row],[Profit]]/T_SALES[[#This Row],[Amount]]</f>
        <v>4.8964582930133539E-2</v>
      </c>
    </row>
    <row r="210" spans="1:13" x14ac:dyDescent="0.25">
      <c r="A210" s="1" t="s">
        <v>227</v>
      </c>
      <c r="B210" s="7">
        <v>5167</v>
      </c>
      <c r="C210" s="8">
        <v>253</v>
      </c>
      <c r="D210">
        <v>14</v>
      </c>
      <c r="E210" s="1" t="s">
        <v>13</v>
      </c>
      <c r="F210" s="1" t="s">
        <v>25</v>
      </c>
      <c r="G210" s="1" t="s">
        <v>41</v>
      </c>
      <c r="H210" s="2">
        <v>45284</v>
      </c>
      <c r="I210" s="1" t="s">
        <v>230</v>
      </c>
      <c r="J210" s="1" t="s">
        <v>37</v>
      </c>
      <c r="K210" s="1" t="s">
        <v>78</v>
      </c>
      <c r="L210" s="2">
        <v>45261</v>
      </c>
      <c r="M210" s="6">
        <f>T_SALES[[#This Row],[Profit]]/T_SALES[[#This Row],[Amount]]</f>
        <v>4.8964582930133539E-2</v>
      </c>
    </row>
    <row r="211" spans="1:13" x14ac:dyDescent="0.25">
      <c r="A211" s="1" t="s">
        <v>227</v>
      </c>
      <c r="B211" s="7">
        <v>2799</v>
      </c>
      <c r="C211" s="8">
        <v>1239</v>
      </c>
      <c r="D211">
        <v>5</v>
      </c>
      <c r="E211" s="1" t="s">
        <v>39</v>
      </c>
      <c r="F211" s="1" t="s">
        <v>51</v>
      </c>
      <c r="G211" s="1" t="s">
        <v>29</v>
      </c>
      <c r="H211" s="2">
        <v>44064</v>
      </c>
      <c r="I211" s="1" t="s">
        <v>228</v>
      </c>
      <c r="J211" s="1" t="s">
        <v>62</v>
      </c>
      <c r="K211" s="1" t="s">
        <v>111</v>
      </c>
      <c r="L211" s="2">
        <v>44044</v>
      </c>
      <c r="M211" s="6">
        <f>T_SALES[[#This Row],[Profit]]/T_SALES[[#This Row],[Amount]]</f>
        <v>0.44265809217577706</v>
      </c>
    </row>
    <row r="212" spans="1:13" x14ac:dyDescent="0.25">
      <c r="A212" s="1" t="s">
        <v>227</v>
      </c>
      <c r="B212" s="7">
        <v>2799</v>
      </c>
      <c r="C212" s="8">
        <v>1239</v>
      </c>
      <c r="D212">
        <v>5</v>
      </c>
      <c r="E212" s="1" t="s">
        <v>39</v>
      </c>
      <c r="F212" s="1" t="s">
        <v>51</v>
      </c>
      <c r="G212" s="1" t="s">
        <v>29</v>
      </c>
      <c r="H212" s="2">
        <v>45033</v>
      </c>
      <c r="I212" s="1" t="s">
        <v>229</v>
      </c>
      <c r="J212" s="1" t="s">
        <v>20</v>
      </c>
      <c r="K212" s="1" t="s">
        <v>21</v>
      </c>
      <c r="L212" s="2">
        <v>45017</v>
      </c>
      <c r="M212" s="6">
        <f>T_SALES[[#This Row],[Profit]]/T_SALES[[#This Row],[Amount]]</f>
        <v>0.44265809217577706</v>
      </c>
    </row>
    <row r="213" spans="1:13" x14ac:dyDescent="0.25">
      <c r="A213" s="1" t="s">
        <v>227</v>
      </c>
      <c r="B213" s="7">
        <v>2799</v>
      </c>
      <c r="C213" s="8">
        <v>1239</v>
      </c>
      <c r="D213">
        <v>5</v>
      </c>
      <c r="E213" s="1" t="s">
        <v>39</v>
      </c>
      <c r="F213" s="1" t="s">
        <v>51</v>
      </c>
      <c r="G213" s="1" t="s">
        <v>29</v>
      </c>
      <c r="H213" s="2">
        <v>45284</v>
      </c>
      <c r="I213" s="1" t="s">
        <v>230</v>
      </c>
      <c r="J213" s="1" t="s">
        <v>37</v>
      </c>
      <c r="K213" s="1" t="s">
        <v>78</v>
      </c>
      <c r="L213" s="2">
        <v>45261</v>
      </c>
      <c r="M213" s="6">
        <f>T_SALES[[#This Row],[Profit]]/T_SALES[[#This Row],[Amount]]</f>
        <v>0.44265809217577706</v>
      </c>
    </row>
    <row r="214" spans="1:13" x14ac:dyDescent="0.25">
      <c r="A214" s="1" t="s">
        <v>231</v>
      </c>
      <c r="B214" s="7">
        <v>3234</v>
      </c>
      <c r="C214" s="8">
        <v>1029</v>
      </c>
      <c r="D214">
        <v>20</v>
      </c>
      <c r="E214" s="1" t="s">
        <v>27</v>
      </c>
      <c r="F214" s="1" t="s">
        <v>49</v>
      </c>
      <c r="G214" s="1" t="s">
        <v>41</v>
      </c>
      <c r="H214" s="2">
        <v>44640</v>
      </c>
      <c r="I214" s="1" t="s">
        <v>232</v>
      </c>
      <c r="J214" s="1" t="s">
        <v>17</v>
      </c>
      <c r="K214" s="1" t="s">
        <v>18</v>
      </c>
      <c r="L214" s="2">
        <v>44621</v>
      </c>
      <c r="M214" s="6">
        <f>T_SALES[[#This Row],[Profit]]/T_SALES[[#This Row],[Amount]]</f>
        <v>0.31818181818181818</v>
      </c>
    </row>
    <row r="215" spans="1:13" x14ac:dyDescent="0.25">
      <c r="A215" s="1" t="s">
        <v>233</v>
      </c>
      <c r="B215" s="7">
        <v>4920</v>
      </c>
      <c r="C215" s="8">
        <v>775</v>
      </c>
      <c r="D215">
        <v>12</v>
      </c>
      <c r="E215" s="1" t="s">
        <v>39</v>
      </c>
      <c r="F215" s="1" t="s">
        <v>40</v>
      </c>
      <c r="G215" s="1" t="s">
        <v>29</v>
      </c>
      <c r="H215" s="2">
        <v>44420</v>
      </c>
      <c r="I215" s="1" t="s">
        <v>234</v>
      </c>
      <c r="J215" s="1" t="s">
        <v>20</v>
      </c>
      <c r="K215" s="1" t="s">
        <v>54</v>
      </c>
      <c r="L215" s="2">
        <v>44409</v>
      </c>
      <c r="M215" s="6">
        <f>T_SALES[[#This Row],[Profit]]/T_SALES[[#This Row],[Amount]]</f>
        <v>0.15752032520325204</v>
      </c>
    </row>
    <row r="216" spans="1:13" x14ac:dyDescent="0.25">
      <c r="A216" s="1" t="s">
        <v>233</v>
      </c>
      <c r="B216" s="7">
        <v>9078</v>
      </c>
      <c r="C216" s="8">
        <v>2213</v>
      </c>
      <c r="D216">
        <v>15</v>
      </c>
      <c r="E216" s="1" t="s">
        <v>39</v>
      </c>
      <c r="F216" s="1" t="s">
        <v>90</v>
      </c>
      <c r="G216" s="1" t="s">
        <v>35</v>
      </c>
      <c r="H216" s="2">
        <v>44420</v>
      </c>
      <c r="I216" s="1" t="s">
        <v>234</v>
      </c>
      <c r="J216" s="1" t="s">
        <v>20</v>
      </c>
      <c r="K216" s="1" t="s">
        <v>54</v>
      </c>
      <c r="L216" s="2">
        <v>44409</v>
      </c>
      <c r="M216" s="6">
        <f>T_SALES[[#This Row],[Profit]]/T_SALES[[#This Row],[Amount]]</f>
        <v>0.24377616215025336</v>
      </c>
    </row>
    <row r="217" spans="1:13" x14ac:dyDescent="0.25">
      <c r="A217" s="1" t="s">
        <v>235</v>
      </c>
      <c r="B217" s="7">
        <v>8586</v>
      </c>
      <c r="C217" s="8">
        <v>3826</v>
      </c>
      <c r="D217">
        <v>7</v>
      </c>
      <c r="E217" s="1" t="s">
        <v>39</v>
      </c>
      <c r="F217" s="1" t="s">
        <v>90</v>
      </c>
      <c r="G217" s="1" t="s">
        <v>15</v>
      </c>
      <c r="H217" s="2">
        <v>44186</v>
      </c>
      <c r="I217" s="1" t="s">
        <v>236</v>
      </c>
      <c r="J217" s="1" t="s">
        <v>17</v>
      </c>
      <c r="K217" s="1" t="s">
        <v>18</v>
      </c>
      <c r="L217" s="2">
        <v>44166</v>
      </c>
      <c r="M217" s="6">
        <f>T_SALES[[#This Row],[Profit]]/T_SALES[[#This Row],[Amount]]</f>
        <v>0.44560913114372236</v>
      </c>
    </row>
    <row r="218" spans="1:13" x14ac:dyDescent="0.25">
      <c r="A218" s="1" t="s">
        <v>235</v>
      </c>
      <c r="B218" s="7">
        <v>8586</v>
      </c>
      <c r="C218" s="8">
        <v>3826</v>
      </c>
      <c r="D218">
        <v>7</v>
      </c>
      <c r="E218" s="1" t="s">
        <v>39</v>
      </c>
      <c r="F218" s="1" t="s">
        <v>90</v>
      </c>
      <c r="G218" s="1" t="s">
        <v>15</v>
      </c>
      <c r="H218" s="2">
        <v>45114</v>
      </c>
      <c r="I218" s="1" t="s">
        <v>237</v>
      </c>
      <c r="J218" s="1" t="s">
        <v>17</v>
      </c>
      <c r="K218" s="1" t="s">
        <v>121</v>
      </c>
      <c r="L218" s="2">
        <v>45108</v>
      </c>
      <c r="M218" s="6">
        <f>T_SALES[[#This Row],[Profit]]/T_SALES[[#This Row],[Amount]]</f>
        <v>0.44560913114372236</v>
      </c>
    </row>
    <row r="219" spans="1:13" x14ac:dyDescent="0.25">
      <c r="A219" s="1" t="s">
        <v>238</v>
      </c>
      <c r="B219" s="7">
        <v>5047</v>
      </c>
      <c r="C219" s="8">
        <v>2211</v>
      </c>
      <c r="D219">
        <v>13</v>
      </c>
      <c r="E219" s="1" t="s">
        <v>39</v>
      </c>
      <c r="F219" s="1" t="s">
        <v>51</v>
      </c>
      <c r="G219" s="1" t="s">
        <v>35</v>
      </c>
      <c r="H219" s="2">
        <v>45151</v>
      </c>
      <c r="I219" s="1" t="s">
        <v>239</v>
      </c>
      <c r="J219" s="1" t="s">
        <v>37</v>
      </c>
      <c r="K219" s="1" t="s">
        <v>78</v>
      </c>
      <c r="L219" s="2">
        <v>45139</v>
      </c>
      <c r="M219" s="6">
        <f>T_SALES[[#This Row],[Profit]]/T_SALES[[#This Row],[Amount]]</f>
        <v>0.43808202892807607</v>
      </c>
    </row>
    <row r="220" spans="1:13" x14ac:dyDescent="0.25">
      <c r="A220" s="1" t="s">
        <v>238</v>
      </c>
      <c r="B220" s="7">
        <v>5047</v>
      </c>
      <c r="C220" s="8">
        <v>2211</v>
      </c>
      <c r="D220">
        <v>13</v>
      </c>
      <c r="E220" s="1" t="s">
        <v>39</v>
      </c>
      <c r="F220" s="1" t="s">
        <v>51</v>
      </c>
      <c r="G220" s="1" t="s">
        <v>35</v>
      </c>
      <c r="H220" s="2">
        <v>44231</v>
      </c>
      <c r="I220" s="1" t="s">
        <v>240</v>
      </c>
      <c r="J220" s="1" t="s">
        <v>20</v>
      </c>
      <c r="K220" s="1" t="s">
        <v>21</v>
      </c>
      <c r="L220" s="2">
        <v>44228</v>
      </c>
      <c r="M220" s="6">
        <f>T_SALES[[#This Row],[Profit]]/T_SALES[[#This Row],[Amount]]</f>
        <v>0.43808202892807607</v>
      </c>
    </row>
    <row r="221" spans="1:13" x14ac:dyDescent="0.25">
      <c r="A221" s="1" t="s">
        <v>238</v>
      </c>
      <c r="B221" s="7">
        <v>5047</v>
      </c>
      <c r="C221" s="8">
        <v>2211</v>
      </c>
      <c r="D221">
        <v>13</v>
      </c>
      <c r="E221" s="1" t="s">
        <v>39</v>
      </c>
      <c r="F221" s="1" t="s">
        <v>51</v>
      </c>
      <c r="G221" s="1" t="s">
        <v>35</v>
      </c>
      <c r="H221" s="2">
        <v>44820</v>
      </c>
      <c r="I221" s="1" t="s">
        <v>241</v>
      </c>
      <c r="J221" s="1" t="s">
        <v>20</v>
      </c>
      <c r="K221" s="1" t="s">
        <v>137</v>
      </c>
      <c r="L221" s="2">
        <v>44805</v>
      </c>
      <c r="M221" s="6">
        <f>T_SALES[[#This Row],[Profit]]/T_SALES[[#This Row],[Amount]]</f>
        <v>0.43808202892807607</v>
      </c>
    </row>
    <row r="222" spans="1:13" x14ac:dyDescent="0.25">
      <c r="A222" s="1" t="s">
        <v>238</v>
      </c>
      <c r="B222" s="7">
        <v>5047</v>
      </c>
      <c r="C222" s="8">
        <v>2211</v>
      </c>
      <c r="D222">
        <v>13</v>
      </c>
      <c r="E222" s="1" t="s">
        <v>39</v>
      </c>
      <c r="F222" s="1" t="s">
        <v>51</v>
      </c>
      <c r="G222" s="1" t="s">
        <v>35</v>
      </c>
      <c r="H222" s="2">
        <v>44687</v>
      </c>
      <c r="I222" s="1" t="s">
        <v>242</v>
      </c>
      <c r="J222" s="1" t="s">
        <v>23</v>
      </c>
      <c r="K222" s="1" t="s">
        <v>24</v>
      </c>
      <c r="L222" s="2">
        <v>44682</v>
      </c>
      <c r="M222" s="6">
        <f>T_SALES[[#This Row],[Profit]]/T_SALES[[#This Row],[Amount]]</f>
        <v>0.43808202892807607</v>
      </c>
    </row>
    <row r="223" spans="1:13" x14ac:dyDescent="0.25">
      <c r="A223" s="1" t="s">
        <v>243</v>
      </c>
      <c r="B223" s="7">
        <v>3657</v>
      </c>
      <c r="C223" s="8">
        <v>163</v>
      </c>
      <c r="D223">
        <v>1</v>
      </c>
      <c r="E223" s="1" t="s">
        <v>39</v>
      </c>
      <c r="F223" s="1" t="s">
        <v>51</v>
      </c>
      <c r="G223" s="1" t="s">
        <v>15</v>
      </c>
      <c r="H223" s="2">
        <v>44344</v>
      </c>
      <c r="I223" s="1" t="s">
        <v>244</v>
      </c>
      <c r="J223" s="1" t="s">
        <v>37</v>
      </c>
      <c r="K223" s="1" t="s">
        <v>78</v>
      </c>
      <c r="L223" s="2">
        <v>44317</v>
      </c>
      <c r="M223" s="6">
        <f>T_SALES[[#This Row],[Profit]]/T_SALES[[#This Row],[Amount]]</f>
        <v>4.457205359584359E-2</v>
      </c>
    </row>
    <row r="224" spans="1:13" x14ac:dyDescent="0.25">
      <c r="A224" s="1" t="s">
        <v>245</v>
      </c>
      <c r="B224" s="7">
        <v>6471</v>
      </c>
      <c r="C224" s="8">
        <v>2842</v>
      </c>
      <c r="D224">
        <v>18</v>
      </c>
      <c r="E224" s="1" t="s">
        <v>13</v>
      </c>
      <c r="F224" s="1" t="s">
        <v>14</v>
      </c>
      <c r="G224" s="1" t="s">
        <v>15</v>
      </c>
      <c r="H224" s="2">
        <v>45491</v>
      </c>
      <c r="I224" s="1" t="s">
        <v>246</v>
      </c>
      <c r="J224" s="1" t="s">
        <v>20</v>
      </c>
      <c r="K224" s="1" t="s">
        <v>137</v>
      </c>
      <c r="L224" s="2">
        <v>45474</v>
      </c>
      <c r="M224" s="6">
        <f>T_SALES[[#This Row],[Profit]]/T_SALES[[#This Row],[Amount]]</f>
        <v>0.43919023334878687</v>
      </c>
    </row>
    <row r="225" spans="1:13" x14ac:dyDescent="0.25">
      <c r="A225" s="1" t="s">
        <v>247</v>
      </c>
      <c r="B225" s="7">
        <v>949</v>
      </c>
      <c r="C225" s="8">
        <v>301</v>
      </c>
      <c r="D225">
        <v>9</v>
      </c>
      <c r="E225" s="1" t="s">
        <v>27</v>
      </c>
      <c r="F225" s="1" t="s">
        <v>67</v>
      </c>
      <c r="G225" s="1" t="s">
        <v>15</v>
      </c>
      <c r="H225" s="2">
        <v>45632</v>
      </c>
      <c r="I225" s="1" t="s">
        <v>248</v>
      </c>
      <c r="J225" s="1" t="s">
        <v>82</v>
      </c>
      <c r="K225" s="1" t="s">
        <v>97</v>
      </c>
      <c r="L225" s="2">
        <v>45627</v>
      </c>
      <c r="M225" s="6">
        <f>T_SALES[[#This Row],[Profit]]/T_SALES[[#This Row],[Amount]]</f>
        <v>0.3171759747102213</v>
      </c>
    </row>
    <row r="226" spans="1:13" x14ac:dyDescent="0.25">
      <c r="A226" s="1" t="s">
        <v>247</v>
      </c>
      <c r="B226" s="7">
        <v>6823</v>
      </c>
      <c r="C226" s="8">
        <v>771</v>
      </c>
      <c r="D226">
        <v>6</v>
      </c>
      <c r="E226" s="1" t="s">
        <v>27</v>
      </c>
      <c r="F226" s="1" t="s">
        <v>67</v>
      </c>
      <c r="G226" s="1" t="s">
        <v>35</v>
      </c>
      <c r="H226" s="2">
        <v>45632</v>
      </c>
      <c r="I226" s="1" t="s">
        <v>248</v>
      </c>
      <c r="J226" s="1" t="s">
        <v>82</v>
      </c>
      <c r="K226" s="1" t="s">
        <v>97</v>
      </c>
      <c r="L226" s="2">
        <v>45627</v>
      </c>
      <c r="M226" s="6">
        <f>T_SALES[[#This Row],[Profit]]/T_SALES[[#This Row],[Amount]]</f>
        <v>0.11300014656309541</v>
      </c>
    </row>
    <row r="227" spans="1:13" x14ac:dyDescent="0.25">
      <c r="A227" s="1" t="s">
        <v>247</v>
      </c>
      <c r="B227" s="7">
        <v>4364</v>
      </c>
      <c r="C227" s="8">
        <v>831</v>
      </c>
      <c r="D227">
        <v>2</v>
      </c>
      <c r="E227" s="1" t="s">
        <v>39</v>
      </c>
      <c r="F227" s="1" t="s">
        <v>40</v>
      </c>
      <c r="G227" s="1" t="s">
        <v>35</v>
      </c>
      <c r="H227" s="2">
        <v>45632</v>
      </c>
      <c r="I227" s="1" t="s">
        <v>248</v>
      </c>
      <c r="J227" s="1" t="s">
        <v>82</v>
      </c>
      <c r="K227" s="1" t="s">
        <v>97</v>
      </c>
      <c r="L227" s="2">
        <v>45627</v>
      </c>
      <c r="M227" s="6">
        <f>T_SALES[[#This Row],[Profit]]/T_SALES[[#This Row],[Amount]]</f>
        <v>0.19042163153070576</v>
      </c>
    </row>
    <row r="228" spans="1:13" x14ac:dyDescent="0.25">
      <c r="A228" s="1" t="s">
        <v>249</v>
      </c>
      <c r="B228" s="7">
        <v>6671</v>
      </c>
      <c r="C228" s="8">
        <v>2797</v>
      </c>
      <c r="D228">
        <v>10</v>
      </c>
      <c r="E228" s="1" t="s">
        <v>13</v>
      </c>
      <c r="F228" s="1" t="s">
        <v>70</v>
      </c>
      <c r="G228" s="1" t="s">
        <v>15</v>
      </c>
      <c r="H228" s="2">
        <v>44907</v>
      </c>
      <c r="I228" s="1" t="s">
        <v>250</v>
      </c>
      <c r="J228" s="1" t="s">
        <v>20</v>
      </c>
      <c r="K228" s="1" t="s">
        <v>137</v>
      </c>
      <c r="L228" s="2">
        <v>44896</v>
      </c>
      <c r="M228" s="6">
        <f>T_SALES[[#This Row],[Profit]]/T_SALES[[#This Row],[Amount]]</f>
        <v>0.41927746964473095</v>
      </c>
    </row>
    <row r="229" spans="1:13" x14ac:dyDescent="0.25">
      <c r="A229" s="1" t="s">
        <v>251</v>
      </c>
      <c r="B229" s="7">
        <v>7472</v>
      </c>
      <c r="C229" s="8">
        <v>1037</v>
      </c>
      <c r="D229">
        <v>3</v>
      </c>
      <c r="E229" s="1" t="s">
        <v>27</v>
      </c>
      <c r="F229" s="1" t="s">
        <v>55</v>
      </c>
      <c r="G229" s="1" t="s">
        <v>56</v>
      </c>
      <c r="H229" s="2">
        <v>44854</v>
      </c>
      <c r="I229" s="1" t="s">
        <v>252</v>
      </c>
      <c r="J229" s="1" t="s">
        <v>20</v>
      </c>
      <c r="K229" s="1" t="s">
        <v>54</v>
      </c>
      <c r="L229" s="2">
        <v>44835</v>
      </c>
      <c r="M229" s="6">
        <f>T_SALES[[#This Row],[Profit]]/T_SALES[[#This Row],[Amount]]</f>
        <v>0.1387847965738758</v>
      </c>
    </row>
    <row r="230" spans="1:13" x14ac:dyDescent="0.25">
      <c r="A230" s="1" t="s">
        <v>251</v>
      </c>
      <c r="B230" s="7">
        <v>9548</v>
      </c>
      <c r="C230" s="8">
        <v>1806</v>
      </c>
      <c r="D230">
        <v>9</v>
      </c>
      <c r="E230" s="1" t="s">
        <v>13</v>
      </c>
      <c r="F230" s="1" t="s">
        <v>25</v>
      </c>
      <c r="G230" s="1" t="s">
        <v>56</v>
      </c>
      <c r="H230" s="2">
        <v>44854</v>
      </c>
      <c r="I230" s="1" t="s">
        <v>252</v>
      </c>
      <c r="J230" s="1" t="s">
        <v>20</v>
      </c>
      <c r="K230" s="1" t="s">
        <v>54</v>
      </c>
      <c r="L230" s="2">
        <v>44835</v>
      </c>
      <c r="M230" s="6">
        <f>T_SALES[[#This Row],[Profit]]/T_SALES[[#This Row],[Amount]]</f>
        <v>0.18914956011730205</v>
      </c>
    </row>
    <row r="231" spans="1:13" x14ac:dyDescent="0.25">
      <c r="A231" s="1" t="s">
        <v>253</v>
      </c>
      <c r="B231" s="7">
        <v>7759</v>
      </c>
      <c r="C231" s="8">
        <v>3741</v>
      </c>
      <c r="D231">
        <v>17</v>
      </c>
      <c r="E231" s="1" t="s">
        <v>13</v>
      </c>
      <c r="F231" s="1" t="s">
        <v>25</v>
      </c>
      <c r="G231" s="1" t="s">
        <v>15</v>
      </c>
      <c r="H231" s="2">
        <v>44279</v>
      </c>
      <c r="I231" s="1" t="s">
        <v>254</v>
      </c>
      <c r="J231" s="1" t="s">
        <v>17</v>
      </c>
      <c r="K231" s="1" t="s">
        <v>18</v>
      </c>
      <c r="L231" s="2">
        <v>44256</v>
      </c>
      <c r="M231" s="6">
        <f>T_SALES[[#This Row],[Profit]]/T_SALES[[#This Row],[Amount]]</f>
        <v>0.48214976156721229</v>
      </c>
    </row>
    <row r="232" spans="1:13" x14ac:dyDescent="0.25">
      <c r="A232" s="1" t="s">
        <v>253</v>
      </c>
      <c r="B232" s="7">
        <v>7759</v>
      </c>
      <c r="C232" s="8">
        <v>3741</v>
      </c>
      <c r="D232">
        <v>17</v>
      </c>
      <c r="E232" s="1" t="s">
        <v>13</v>
      </c>
      <c r="F232" s="1" t="s">
        <v>25</v>
      </c>
      <c r="G232" s="1" t="s">
        <v>15</v>
      </c>
      <c r="H232" s="2">
        <v>45663</v>
      </c>
      <c r="I232" s="1" t="s">
        <v>255</v>
      </c>
      <c r="J232" s="1" t="s">
        <v>62</v>
      </c>
      <c r="K232" s="1" t="s">
        <v>63</v>
      </c>
      <c r="L232" s="2">
        <v>45658</v>
      </c>
      <c r="M232" s="6">
        <f>T_SALES[[#This Row],[Profit]]/T_SALES[[#This Row],[Amount]]</f>
        <v>0.48214976156721229</v>
      </c>
    </row>
    <row r="233" spans="1:13" x14ac:dyDescent="0.25">
      <c r="A233" s="1" t="s">
        <v>253</v>
      </c>
      <c r="B233" s="7">
        <v>7521</v>
      </c>
      <c r="C233" s="8">
        <v>3457</v>
      </c>
      <c r="D233">
        <v>16</v>
      </c>
      <c r="E233" s="1" t="s">
        <v>27</v>
      </c>
      <c r="F233" s="1" t="s">
        <v>49</v>
      </c>
      <c r="G233" s="1" t="s">
        <v>29</v>
      </c>
      <c r="H233" s="2">
        <v>44279</v>
      </c>
      <c r="I233" s="1" t="s">
        <v>254</v>
      </c>
      <c r="J233" s="1" t="s">
        <v>17</v>
      </c>
      <c r="K233" s="1" t="s">
        <v>18</v>
      </c>
      <c r="L233" s="2">
        <v>44256</v>
      </c>
      <c r="M233" s="6">
        <f>T_SALES[[#This Row],[Profit]]/T_SALES[[#This Row],[Amount]]</f>
        <v>0.45964632362717722</v>
      </c>
    </row>
    <row r="234" spans="1:13" x14ac:dyDescent="0.25">
      <c r="A234" s="1" t="s">
        <v>253</v>
      </c>
      <c r="B234" s="7">
        <v>7521</v>
      </c>
      <c r="C234" s="8">
        <v>3457</v>
      </c>
      <c r="D234">
        <v>16</v>
      </c>
      <c r="E234" s="1" t="s">
        <v>27</v>
      </c>
      <c r="F234" s="1" t="s">
        <v>49</v>
      </c>
      <c r="G234" s="1" t="s">
        <v>29</v>
      </c>
      <c r="H234" s="2">
        <v>45663</v>
      </c>
      <c r="I234" s="1" t="s">
        <v>255</v>
      </c>
      <c r="J234" s="1" t="s">
        <v>62</v>
      </c>
      <c r="K234" s="1" t="s">
        <v>63</v>
      </c>
      <c r="L234" s="2">
        <v>45658</v>
      </c>
      <c r="M234" s="6">
        <f>T_SALES[[#This Row],[Profit]]/T_SALES[[#This Row],[Amount]]</f>
        <v>0.45964632362717722</v>
      </c>
    </row>
    <row r="235" spans="1:13" x14ac:dyDescent="0.25">
      <c r="A235" s="1" t="s">
        <v>256</v>
      </c>
      <c r="B235" s="7">
        <v>9704</v>
      </c>
      <c r="C235" s="8">
        <v>4339</v>
      </c>
      <c r="D235">
        <v>12</v>
      </c>
      <c r="E235" s="1" t="s">
        <v>27</v>
      </c>
      <c r="F235" s="1" t="s">
        <v>28</v>
      </c>
      <c r="G235" s="1" t="s">
        <v>56</v>
      </c>
      <c r="H235" s="2">
        <v>44261</v>
      </c>
      <c r="I235" s="1" t="s">
        <v>257</v>
      </c>
      <c r="J235" s="1" t="s">
        <v>62</v>
      </c>
      <c r="K235" s="1" t="s">
        <v>111</v>
      </c>
      <c r="L235" s="2">
        <v>44256</v>
      </c>
      <c r="M235" s="6">
        <f>T_SALES[[#This Row],[Profit]]/T_SALES[[#This Row],[Amount]]</f>
        <v>0.44713520197856554</v>
      </c>
    </row>
    <row r="236" spans="1:13" x14ac:dyDescent="0.25">
      <c r="A236" s="1" t="s">
        <v>256</v>
      </c>
      <c r="B236" s="7">
        <v>4948</v>
      </c>
      <c r="C236" s="8">
        <v>2356</v>
      </c>
      <c r="D236">
        <v>18</v>
      </c>
      <c r="E236" s="1" t="s">
        <v>13</v>
      </c>
      <c r="F236" s="1" t="s">
        <v>25</v>
      </c>
      <c r="G236" s="1" t="s">
        <v>29</v>
      </c>
      <c r="H236" s="2">
        <v>44261</v>
      </c>
      <c r="I236" s="1" t="s">
        <v>257</v>
      </c>
      <c r="J236" s="1" t="s">
        <v>62</v>
      </c>
      <c r="K236" s="1" t="s">
        <v>111</v>
      </c>
      <c r="L236" s="2">
        <v>44256</v>
      </c>
      <c r="M236" s="6">
        <f>T_SALES[[#This Row],[Profit]]/T_SALES[[#This Row],[Amount]]</f>
        <v>0.4761519805982215</v>
      </c>
    </row>
    <row r="237" spans="1:13" x14ac:dyDescent="0.25">
      <c r="A237" s="1" t="s">
        <v>256</v>
      </c>
      <c r="B237" s="7">
        <v>6435</v>
      </c>
      <c r="C237" s="8">
        <v>334</v>
      </c>
      <c r="D237">
        <v>10</v>
      </c>
      <c r="E237" s="1" t="s">
        <v>13</v>
      </c>
      <c r="F237" s="1" t="s">
        <v>14</v>
      </c>
      <c r="G237" s="1" t="s">
        <v>29</v>
      </c>
      <c r="H237" s="2">
        <v>44261</v>
      </c>
      <c r="I237" s="1" t="s">
        <v>257</v>
      </c>
      <c r="J237" s="1" t="s">
        <v>62</v>
      </c>
      <c r="K237" s="1" t="s">
        <v>111</v>
      </c>
      <c r="L237" s="2">
        <v>44256</v>
      </c>
      <c r="M237" s="6">
        <f>T_SALES[[#This Row],[Profit]]/T_SALES[[#This Row],[Amount]]</f>
        <v>5.1903651903651905E-2</v>
      </c>
    </row>
    <row r="238" spans="1:13" x14ac:dyDescent="0.25">
      <c r="A238" s="1" t="s">
        <v>258</v>
      </c>
      <c r="B238" s="7">
        <v>9965</v>
      </c>
      <c r="C238" s="8">
        <v>3033</v>
      </c>
      <c r="D238">
        <v>16</v>
      </c>
      <c r="E238" s="1" t="s">
        <v>27</v>
      </c>
      <c r="F238" s="1" t="s">
        <v>49</v>
      </c>
      <c r="G238" s="1" t="s">
        <v>56</v>
      </c>
      <c r="H238" s="2">
        <v>43999</v>
      </c>
      <c r="I238" s="1" t="s">
        <v>259</v>
      </c>
      <c r="J238" s="1" t="s">
        <v>37</v>
      </c>
      <c r="K238" s="1" t="s">
        <v>78</v>
      </c>
      <c r="L238" s="2">
        <v>43983</v>
      </c>
      <c r="M238" s="6">
        <f>T_SALES[[#This Row],[Profit]]/T_SALES[[#This Row],[Amount]]</f>
        <v>0.30436527847466133</v>
      </c>
    </row>
    <row r="239" spans="1:13" x14ac:dyDescent="0.25">
      <c r="A239" s="1" t="s">
        <v>258</v>
      </c>
      <c r="B239" s="7">
        <v>9965</v>
      </c>
      <c r="C239" s="8">
        <v>3033</v>
      </c>
      <c r="D239">
        <v>16</v>
      </c>
      <c r="E239" s="1" t="s">
        <v>27</v>
      </c>
      <c r="F239" s="1" t="s">
        <v>49</v>
      </c>
      <c r="G239" s="1" t="s">
        <v>56</v>
      </c>
      <c r="H239" s="2">
        <v>45170</v>
      </c>
      <c r="I239" s="1" t="s">
        <v>260</v>
      </c>
      <c r="J239" s="1" t="s">
        <v>23</v>
      </c>
      <c r="K239" s="1" t="s">
        <v>24</v>
      </c>
      <c r="L239" s="2">
        <v>45170</v>
      </c>
      <c r="M239" s="6">
        <f>T_SALES[[#This Row],[Profit]]/T_SALES[[#This Row],[Amount]]</f>
        <v>0.30436527847466133</v>
      </c>
    </row>
    <row r="240" spans="1:13" x14ac:dyDescent="0.25">
      <c r="A240" s="1" t="s">
        <v>261</v>
      </c>
      <c r="B240" s="7">
        <v>1523</v>
      </c>
      <c r="C240" s="8">
        <v>234</v>
      </c>
      <c r="D240">
        <v>3</v>
      </c>
      <c r="E240" s="1" t="s">
        <v>39</v>
      </c>
      <c r="F240" s="1" t="s">
        <v>51</v>
      </c>
      <c r="G240" s="1" t="s">
        <v>15</v>
      </c>
      <c r="H240" s="2">
        <v>45085</v>
      </c>
      <c r="I240" s="1" t="s">
        <v>262</v>
      </c>
      <c r="J240" s="1" t="s">
        <v>23</v>
      </c>
      <c r="K240" s="1" t="s">
        <v>59</v>
      </c>
      <c r="L240" s="2">
        <v>45078</v>
      </c>
      <c r="M240" s="6">
        <f>T_SALES[[#This Row],[Profit]]/T_SALES[[#This Row],[Amount]]</f>
        <v>0.15364412344057782</v>
      </c>
    </row>
    <row r="241" spans="1:13" x14ac:dyDescent="0.25">
      <c r="A241" s="1" t="s">
        <v>261</v>
      </c>
      <c r="B241" s="7">
        <v>9073</v>
      </c>
      <c r="C241" s="8">
        <v>424</v>
      </c>
      <c r="D241">
        <v>7</v>
      </c>
      <c r="E241" s="1" t="s">
        <v>13</v>
      </c>
      <c r="F241" s="1" t="s">
        <v>14</v>
      </c>
      <c r="G241" s="1" t="s">
        <v>29</v>
      </c>
      <c r="H241" s="2">
        <v>45085</v>
      </c>
      <c r="I241" s="1" t="s">
        <v>262</v>
      </c>
      <c r="J241" s="1" t="s">
        <v>23</v>
      </c>
      <c r="K241" s="1" t="s">
        <v>59</v>
      </c>
      <c r="L241" s="2">
        <v>45078</v>
      </c>
      <c r="M241" s="6">
        <f>T_SALES[[#This Row],[Profit]]/T_SALES[[#This Row],[Amount]]</f>
        <v>4.6732062162460043E-2</v>
      </c>
    </row>
    <row r="242" spans="1:13" x14ac:dyDescent="0.25">
      <c r="A242" s="1" t="s">
        <v>263</v>
      </c>
      <c r="B242" s="7">
        <v>6447</v>
      </c>
      <c r="C242" s="8">
        <v>3079</v>
      </c>
      <c r="D242">
        <v>20</v>
      </c>
      <c r="E242" s="1" t="s">
        <v>13</v>
      </c>
      <c r="F242" s="1" t="s">
        <v>34</v>
      </c>
      <c r="G242" s="1" t="s">
        <v>56</v>
      </c>
      <c r="H242" s="2">
        <v>44280</v>
      </c>
      <c r="I242" s="1" t="s">
        <v>264</v>
      </c>
      <c r="J242" s="1" t="s">
        <v>23</v>
      </c>
      <c r="K242" s="1" t="s">
        <v>59</v>
      </c>
      <c r="L242" s="2">
        <v>44256</v>
      </c>
      <c r="M242" s="6">
        <f>T_SALES[[#This Row],[Profit]]/T_SALES[[#This Row],[Amount]]</f>
        <v>0.47758647432914536</v>
      </c>
    </row>
    <row r="243" spans="1:13" x14ac:dyDescent="0.25">
      <c r="A243" s="1" t="s">
        <v>263</v>
      </c>
      <c r="B243" s="7">
        <v>8947</v>
      </c>
      <c r="C243" s="8">
        <v>2807</v>
      </c>
      <c r="D243">
        <v>6</v>
      </c>
      <c r="E243" s="1" t="s">
        <v>13</v>
      </c>
      <c r="F243" s="1" t="s">
        <v>14</v>
      </c>
      <c r="G243" s="1" t="s">
        <v>41</v>
      </c>
      <c r="H243" s="2">
        <v>44280</v>
      </c>
      <c r="I243" s="1" t="s">
        <v>264</v>
      </c>
      <c r="J243" s="1" t="s">
        <v>23</v>
      </c>
      <c r="K243" s="1" t="s">
        <v>59</v>
      </c>
      <c r="L243" s="2">
        <v>44256</v>
      </c>
      <c r="M243" s="6">
        <f>T_SALES[[#This Row],[Profit]]/T_SALES[[#This Row],[Amount]]</f>
        <v>0.31373644797138706</v>
      </c>
    </row>
    <row r="244" spans="1:13" x14ac:dyDescent="0.25">
      <c r="A244" s="1" t="s">
        <v>265</v>
      </c>
      <c r="B244" s="7">
        <v>914</v>
      </c>
      <c r="C244" s="8">
        <v>400</v>
      </c>
      <c r="D244">
        <v>8</v>
      </c>
      <c r="E244" s="1" t="s">
        <v>27</v>
      </c>
      <c r="F244" s="1" t="s">
        <v>28</v>
      </c>
      <c r="G244" s="1" t="s">
        <v>29</v>
      </c>
      <c r="H244" s="2">
        <v>44199</v>
      </c>
      <c r="I244" s="1" t="s">
        <v>266</v>
      </c>
      <c r="J244" s="1" t="s">
        <v>37</v>
      </c>
      <c r="K244" s="1" t="s">
        <v>38</v>
      </c>
      <c r="L244" s="2">
        <v>44197</v>
      </c>
      <c r="M244" s="6">
        <f>T_SALES[[#This Row],[Profit]]/T_SALES[[#This Row],[Amount]]</f>
        <v>0.43763676148796499</v>
      </c>
    </row>
    <row r="245" spans="1:13" x14ac:dyDescent="0.25">
      <c r="A245" s="1" t="s">
        <v>265</v>
      </c>
      <c r="B245" s="7">
        <v>1548</v>
      </c>
      <c r="C245" s="8">
        <v>666</v>
      </c>
      <c r="D245">
        <v>3</v>
      </c>
      <c r="E245" s="1" t="s">
        <v>27</v>
      </c>
      <c r="F245" s="1" t="s">
        <v>55</v>
      </c>
      <c r="G245" s="1" t="s">
        <v>41</v>
      </c>
      <c r="H245" s="2">
        <v>44199</v>
      </c>
      <c r="I245" s="1" t="s">
        <v>266</v>
      </c>
      <c r="J245" s="1" t="s">
        <v>37</v>
      </c>
      <c r="K245" s="1" t="s">
        <v>38</v>
      </c>
      <c r="L245" s="2">
        <v>44197</v>
      </c>
      <c r="M245" s="6">
        <f>T_SALES[[#This Row],[Profit]]/T_SALES[[#This Row],[Amount]]</f>
        <v>0.43023255813953487</v>
      </c>
    </row>
    <row r="246" spans="1:13" x14ac:dyDescent="0.25">
      <c r="A246" s="1" t="s">
        <v>267</v>
      </c>
      <c r="B246" s="7">
        <v>2759</v>
      </c>
      <c r="C246" s="8">
        <v>1149</v>
      </c>
      <c r="D246">
        <v>6</v>
      </c>
      <c r="E246" s="1" t="s">
        <v>39</v>
      </c>
      <c r="F246" s="1" t="s">
        <v>40</v>
      </c>
      <c r="G246" s="1" t="s">
        <v>41</v>
      </c>
      <c r="H246" s="2">
        <v>45653</v>
      </c>
      <c r="I246" s="1" t="s">
        <v>268</v>
      </c>
      <c r="J246" s="1" t="s">
        <v>23</v>
      </c>
      <c r="K246" s="1" t="s">
        <v>45</v>
      </c>
      <c r="L246" s="2">
        <v>45627</v>
      </c>
      <c r="M246" s="6">
        <f>T_SALES[[#This Row],[Profit]]/T_SALES[[#This Row],[Amount]]</f>
        <v>0.41645523740485685</v>
      </c>
    </row>
    <row r="247" spans="1:13" x14ac:dyDescent="0.25">
      <c r="A247" s="1" t="s">
        <v>269</v>
      </c>
      <c r="B247" s="7">
        <v>1341</v>
      </c>
      <c r="C247" s="8">
        <v>615</v>
      </c>
      <c r="D247">
        <v>4</v>
      </c>
      <c r="E247" s="1" t="s">
        <v>13</v>
      </c>
      <c r="F247" s="1" t="s">
        <v>34</v>
      </c>
      <c r="G247" s="1" t="s">
        <v>15</v>
      </c>
      <c r="H247" s="2">
        <v>44785</v>
      </c>
      <c r="I247" s="1" t="s">
        <v>270</v>
      </c>
      <c r="J247" s="1" t="s">
        <v>17</v>
      </c>
      <c r="K247" s="1" t="s">
        <v>31</v>
      </c>
      <c r="L247" s="2">
        <v>44774</v>
      </c>
      <c r="M247" s="6">
        <f>T_SALES[[#This Row],[Profit]]/T_SALES[[#This Row],[Amount]]</f>
        <v>0.45861297539149887</v>
      </c>
    </row>
    <row r="248" spans="1:13" x14ac:dyDescent="0.25">
      <c r="A248" s="1" t="s">
        <v>271</v>
      </c>
      <c r="B248" s="7">
        <v>9851</v>
      </c>
      <c r="C248" s="8">
        <v>2669</v>
      </c>
      <c r="D248">
        <v>19</v>
      </c>
      <c r="E248" s="1" t="s">
        <v>13</v>
      </c>
      <c r="F248" s="1" t="s">
        <v>14</v>
      </c>
      <c r="G248" s="1" t="s">
        <v>29</v>
      </c>
      <c r="H248" s="2">
        <v>44648</v>
      </c>
      <c r="I248" s="1" t="s">
        <v>272</v>
      </c>
      <c r="J248" s="1" t="s">
        <v>82</v>
      </c>
      <c r="K248" s="1" t="s">
        <v>97</v>
      </c>
      <c r="L248" s="2">
        <v>44621</v>
      </c>
      <c r="M248" s="6">
        <f>T_SALES[[#This Row],[Profit]]/T_SALES[[#This Row],[Amount]]</f>
        <v>0.27093696071464823</v>
      </c>
    </row>
    <row r="249" spans="1:13" x14ac:dyDescent="0.25">
      <c r="A249" s="1" t="s">
        <v>271</v>
      </c>
      <c r="B249" s="7">
        <v>9851</v>
      </c>
      <c r="C249" s="8">
        <v>2669</v>
      </c>
      <c r="D249">
        <v>19</v>
      </c>
      <c r="E249" s="1" t="s">
        <v>13</v>
      </c>
      <c r="F249" s="1" t="s">
        <v>14</v>
      </c>
      <c r="G249" s="1" t="s">
        <v>29</v>
      </c>
      <c r="H249" s="2">
        <v>45122</v>
      </c>
      <c r="I249" s="1" t="s">
        <v>273</v>
      </c>
      <c r="J249" s="1" t="s">
        <v>23</v>
      </c>
      <c r="K249" s="1" t="s">
        <v>24</v>
      </c>
      <c r="L249" s="2">
        <v>45108</v>
      </c>
      <c r="M249" s="6">
        <f>T_SALES[[#This Row],[Profit]]/T_SALES[[#This Row],[Amount]]</f>
        <v>0.27093696071464823</v>
      </c>
    </row>
    <row r="250" spans="1:13" x14ac:dyDescent="0.25">
      <c r="A250" s="1" t="s">
        <v>271</v>
      </c>
      <c r="B250" s="7">
        <v>9851</v>
      </c>
      <c r="C250" s="8">
        <v>2669</v>
      </c>
      <c r="D250">
        <v>19</v>
      </c>
      <c r="E250" s="1" t="s">
        <v>13</v>
      </c>
      <c r="F250" s="1" t="s">
        <v>14</v>
      </c>
      <c r="G250" s="1" t="s">
        <v>29</v>
      </c>
      <c r="H250" s="2">
        <v>44826</v>
      </c>
      <c r="I250" s="1" t="s">
        <v>274</v>
      </c>
      <c r="J250" s="1" t="s">
        <v>17</v>
      </c>
      <c r="K250" s="1" t="s">
        <v>31</v>
      </c>
      <c r="L250" s="2">
        <v>44805</v>
      </c>
      <c r="M250" s="6">
        <f>T_SALES[[#This Row],[Profit]]/T_SALES[[#This Row],[Amount]]</f>
        <v>0.27093696071464823</v>
      </c>
    </row>
    <row r="251" spans="1:13" x14ac:dyDescent="0.25">
      <c r="A251" s="1" t="s">
        <v>271</v>
      </c>
      <c r="B251" s="7">
        <v>9989</v>
      </c>
      <c r="C251" s="8">
        <v>3930</v>
      </c>
      <c r="D251">
        <v>14</v>
      </c>
      <c r="E251" s="1" t="s">
        <v>39</v>
      </c>
      <c r="F251" s="1" t="s">
        <v>40</v>
      </c>
      <c r="G251" s="1" t="s">
        <v>29</v>
      </c>
      <c r="H251" s="2">
        <v>44648</v>
      </c>
      <c r="I251" s="1" t="s">
        <v>272</v>
      </c>
      <c r="J251" s="1" t="s">
        <v>82</v>
      </c>
      <c r="K251" s="1" t="s">
        <v>97</v>
      </c>
      <c r="L251" s="2">
        <v>44621</v>
      </c>
      <c r="M251" s="6">
        <f>T_SALES[[#This Row],[Profit]]/T_SALES[[#This Row],[Amount]]</f>
        <v>0.39343277605365901</v>
      </c>
    </row>
    <row r="252" spans="1:13" x14ac:dyDescent="0.25">
      <c r="A252" s="1" t="s">
        <v>271</v>
      </c>
      <c r="B252" s="7">
        <v>9989</v>
      </c>
      <c r="C252" s="8">
        <v>3930</v>
      </c>
      <c r="D252">
        <v>14</v>
      </c>
      <c r="E252" s="1" t="s">
        <v>39</v>
      </c>
      <c r="F252" s="1" t="s">
        <v>40</v>
      </c>
      <c r="G252" s="1" t="s">
        <v>29</v>
      </c>
      <c r="H252" s="2">
        <v>45122</v>
      </c>
      <c r="I252" s="1" t="s">
        <v>273</v>
      </c>
      <c r="J252" s="1" t="s">
        <v>23</v>
      </c>
      <c r="K252" s="1" t="s">
        <v>24</v>
      </c>
      <c r="L252" s="2">
        <v>45108</v>
      </c>
      <c r="M252" s="6">
        <f>T_SALES[[#This Row],[Profit]]/T_SALES[[#This Row],[Amount]]</f>
        <v>0.39343277605365901</v>
      </c>
    </row>
    <row r="253" spans="1:13" x14ac:dyDescent="0.25">
      <c r="A253" s="1" t="s">
        <v>271</v>
      </c>
      <c r="B253" s="7">
        <v>9989</v>
      </c>
      <c r="C253" s="8">
        <v>3930</v>
      </c>
      <c r="D253">
        <v>14</v>
      </c>
      <c r="E253" s="1" t="s">
        <v>39</v>
      </c>
      <c r="F253" s="1" t="s">
        <v>40</v>
      </c>
      <c r="G253" s="1" t="s">
        <v>29</v>
      </c>
      <c r="H253" s="2">
        <v>44826</v>
      </c>
      <c r="I253" s="1" t="s">
        <v>274</v>
      </c>
      <c r="J253" s="1" t="s">
        <v>17</v>
      </c>
      <c r="K253" s="1" t="s">
        <v>31</v>
      </c>
      <c r="L253" s="2">
        <v>44805</v>
      </c>
      <c r="M253" s="6">
        <f>T_SALES[[#This Row],[Profit]]/T_SALES[[#This Row],[Amount]]</f>
        <v>0.39343277605365901</v>
      </c>
    </row>
    <row r="254" spans="1:13" x14ac:dyDescent="0.25">
      <c r="A254" s="1" t="s">
        <v>275</v>
      </c>
      <c r="B254" s="7">
        <v>7421</v>
      </c>
      <c r="C254" s="8">
        <v>958</v>
      </c>
      <c r="D254">
        <v>10</v>
      </c>
      <c r="E254" s="1" t="s">
        <v>39</v>
      </c>
      <c r="F254" s="1" t="s">
        <v>40</v>
      </c>
      <c r="G254" s="1" t="s">
        <v>56</v>
      </c>
      <c r="H254" s="2">
        <v>44915</v>
      </c>
      <c r="I254" s="1" t="s">
        <v>276</v>
      </c>
      <c r="J254" s="1" t="s">
        <v>62</v>
      </c>
      <c r="K254" s="1" t="s">
        <v>111</v>
      </c>
      <c r="L254" s="2">
        <v>44896</v>
      </c>
      <c r="M254" s="6">
        <f>T_SALES[[#This Row],[Profit]]/T_SALES[[#This Row],[Amount]]</f>
        <v>0.12909311413556124</v>
      </c>
    </row>
    <row r="255" spans="1:13" x14ac:dyDescent="0.25">
      <c r="A255" s="1" t="s">
        <v>275</v>
      </c>
      <c r="B255" s="7">
        <v>7421</v>
      </c>
      <c r="C255" s="8">
        <v>958</v>
      </c>
      <c r="D255">
        <v>10</v>
      </c>
      <c r="E255" s="1" t="s">
        <v>39</v>
      </c>
      <c r="F255" s="1" t="s">
        <v>40</v>
      </c>
      <c r="G255" s="1" t="s">
        <v>56</v>
      </c>
      <c r="H255" s="2">
        <v>44577</v>
      </c>
      <c r="I255" s="1" t="s">
        <v>277</v>
      </c>
      <c r="J255" s="1" t="s">
        <v>62</v>
      </c>
      <c r="K255" s="1" t="s">
        <v>111</v>
      </c>
      <c r="L255" s="2">
        <v>44562</v>
      </c>
      <c r="M255" s="6">
        <f>T_SALES[[#This Row],[Profit]]/T_SALES[[#This Row],[Amount]]</f>
        <v>0.12909311413556124</v>
      </c>
    </row>
    <row r="256" spans="1:13" x14ac:dyDescent="0.25">
      <c r="A256" s="1" t="s">
        <v>275</v>
      </c>
      <c r="B256" s="7">
        <v>7421</v>
      </c>
      <c r="C256" s="8">
        <v>958</v>
      </c>
      <c r="D256">
        <v>10</v>
      </c>
      <c r="E256" s="1" t="s">
        <v>39</v>
      </c>
      <c r="F256" s="1" t="s">
        <v>40</v>
      </c>
      <c r="G256" s="1" t="s">
        <v>56</v>
      </c>
      <c r="H256" s="2">
        <v>44955</v>
      </c>
      <c r="I256" s="1" t="s">
        <v>278</v>
      </c>
      <c r="J256" s="1" t="s">
        <v>62</v>
      </c>
      <c r="K256" s="1" t="s">
        <v>63</v>
      </c>
      <c r="L256" s="2">
        <v>44927</v>
      </c>
      <c r="M256" s="6">
        <f>T_SALES[[#This Row],[Profit]]/T_SALES[[#This Row],[Amount]]</f>
        <v>0.12909311413556124</v>
      </c>
    </row>
    <row r="257" spans="1:13" x14ac:dyDescent="0.25">
      <c r="A257" s="1" t="s">
        <v>279</v>
      </c>
      <c r="B257" s="7">
        <v>3099</v>
      </c>
      <c r="C257" s="8">
        <v>479</v>
      </c>
      <c r="D257">
        <v>1</v>
      </c>
      <c r="E257" s="1" t="s">
        <v>27</v>
      </c>
      <c r="F257" s="1" t="s">
        <v>55</v>
      </c>
      <c r="G257" s="1" t="s">
        <v>56</v>
      </c>
      <c r="H257" s="2">
        <v>44576</v>
      </c>
      <c r="I257" s="1" t="s">
        <v>280</v>
      </c>
      <c r="J257" s="1" t="s">
        <v>23</v>
      </c>
      <c r="K257" s="1" t="s">
        <v>24</v>
      </c>
      <c r="L257" s="2">
        <v>44562</v>
      </c>
      <c r="M257" s="6">
        <f>T_SALES[[#This Row],[Profit]]/T_SALES[[#This Row],[Amount]]</f>
        <v>0.15456598902871893</v>
      </c>
    </row>
    <row r="258" spans="1:13" x14ac:dyDescent="0.25">
      <c r="A258" s="1" t="s">
        <v>279</v>
      </c>
      <c r="B258" s="7">
        <v>2521</v>
      </c>
      <c r="C258" s="8">
        <v>906</v>
      </c>
      <c r="D258">
        <v>7</v>
      </c>
      <c r="E258" s="1" t="s">
        <v>13</v>
      </c>
      <c r="F258" s="1" t="s">
        <v>70</v>
      </c>
      <c r="G258" s="1" t="s">
        <v>56</v>
      </c>
      <c r="H258" s="2">
        <v>44576</v>
      </c>
      <c r="I258" s="1" t="s">
        <v>280</v>
      </c>
      <c r="J258" s="1" t="s">
        <v>23</v>
      </c>
      <c r="K258" s="1" t="s">
        <v>24</v>
      </c>
      <c r="L258" s="2">
        <v>44562</v>
      </c>
      <c r="M258" s="6">
        <f>T_SALES[[#This Row],[Profit]]/T_SALES[[#This Row],[Amount]]</f>
        <v>0.35938119793732648</v>
      </c>
    </row>
    <row r="259" spans="1:13" x14ac:dyDescent="0.25">
      <c r="A259" s="1" t="s">
        <v>281</v>
      </c>
      <c r="B259" s="7">
        <v>6962</v>
      </c>
      <c r="C259" s="8">
        <v>3429</v>
      </c>
      <c r="D259">
        <v>12</v>
      </c>
      <c r="E259" s="1" t="s">
        <v>13</v>
      </c>
      <c r="F259" s="1" t="s">
        <v>14</v>
      </c>
      <c r="G259" s="1" t="s">
        <v>15</v>
      </c>
      <c r="H259" s="2">
        <v>45375</v>
      </c>
      <c r="I259" s="1" t="s">
        <v>282</v>
      </c>
      <c r="J259" s="1" t="s">
        <v>62</v>
      </c>
      <c r="K259" s="1" t="s">
        <v>63</v>
      </c>
      <c r="L259" s="2">
        <v>45352</v>
      </c>
      <c r="M259" s="6">
        <f>T_SALES[[#This Row],[Profit]]/T_SALES[[#This Row],[Amount]]</f>
        <v>0.49253088193047972</v>
      </c>
    </row>
    <row r="260" spans="1:13" x14ac:dyDescent="0.25">
      <c r="A260" s="1" t="s">
        <v>281</v>
      </c>
      <c r="B260" s="7">
        <v>6962</v>
      </c>
      <c r="C260" s="8">
        <v>3429</v>
      </c>
      <c r="D260">
        <v>12</v>
      </c>
      <c r="E260" s="1" t="s">
        <v>13</v>
      </c>
      <c r="F260" s="1" t="s">
        <v>14</v>
      </c>
      <c r="G260" s="1" t="s">
        <v>15</v>
      </c>
      <c r="H260" s="2">
        <v>45707</v>
      </c>
      <c r="I260" s="1" t="s">
        <v>283</v>
      </c>
      <c r="J260" s="1" t="s">
        <v>17</v>
      </c>
      <c r="K260" s="1" t="s">
        <v>18</v>
      </c>
      <c r="L260" s="2">
        <v>45689</v>
      </c>
      <c r="M260" s="6">
        <f>T_SALES[[#This Row],[Profit]]/T_SALES[[#This Row],[Amount]]</f>
        <v>0.49253088193047972</v>
      </c>
    </row>
    <row r="261" spans="1:13" x14ac:dyDescent="0.25">
      <c r="A261" s="1" t="s">
        <v>284</v>
      </c>
      <c r="B261" s="7">
        <v>1085</v>
      </c>
      <c r="C261" s="8">
        <v>301</v>
      </c>
      <c r="D261">
        <v>20</v>
      </c>
      <c r="E261" s="1" t="s">
        <v>39</v>
      </c>
      <c r="F261" s="1" t="s">
        <v>90</v>
      </c>
      <c r="G261" s="1" t="s">
        <v>15</v>
      </c>
      <c r="H261" s="2">
        <v>45486</v>
      </c>
      <c r="I261" s="1" t="s">
        <v>285</v>
      </c>
      <c r="J261" s="1" t="s">
        <v>23</v>
      </c>
      <c r="K261" s="1" t="s">
        <v>24</v>
      </c>
      <c r="L261" s="2">
        <v>45474</v>
      </c>
      <c r="M261" s="6">
        <f>T_SALES[[#This Row],[Profit]]/T_SALES[[#This Row],[Amount]]</f>
        <v>0.27741935483870966</v>
      </c>
    </row>
    <row r="262" spans="1:13" x14ac:dyDescent="0.25">
      <c r="A262" s="1" t="s">
        <v>286</v>
      </c>
      <c r="B262" s="7">
        <v>738</v>
      </c>
      <c r="C262" s="8">
        <v>342</v>
      </c>
      <c r="D262">
        <v>2</v>
      </c>
      <c r="E262" s="1" t="s">
        <v>39</v>
      </c>
      <c r="F262" s="1" t="s">
        <v>43</v>
      </c>
      <c r="G262" s="1" t="s">
        <v>29</v>
      </c>
      <c r="H262" s="2">
        <v>45044</v>
      </c>
      <c r="I262" s="1" t="s">
        <v>287</v>
      </c>
      <c r="J262" s="1" t="s">
        <v>82</v>
      </c>
      <c r="K262" s="1" t="s">
        <v>89</v>
      </c>
      <c r="L262" s="2">
        <v>45017</v>
      </c>
      <c r="M262" s="6">
        <f>T_SALES[[#This Row],[Profit]]/T_SALES[[#This Row],[Amount]]</f>
        <v>0.46341463414634149</v>
      </c>
    </row>
    <row r="263" spans="1:13" x14ac:dyDescent="0.25">
      <c r="A263" s="1" t="s">
        <v>286</v>
      </c>
      <c r="B263" s="7">
        <v>738</v>
      </c>
      <c r="C263" s="8">
        <v>342</v>
      </c>
      <c r="D263">
        <v>2</v>
      </c>
      <c r="E263" s="1" t="s">
        <v>39</v>
      </c>
      <c r="F263" s="1" t="s">
        <v>43</v>
      </c>
      <c r="G263" s="1" t="s">
        <v>29</v>
      </c>
      <c r="H263" s="2">
        <v>44170</v>
      </c>
      <c r="I263" s="1" t="s">
        <v>288</v>
      </c>
      <c r="J263" s="1" t="s">
        <v>23</v>
      </c>
      <c r="K263" s="1" t="s">
        <v>24</v>
      </c>
      <c r="L263" s="2">
        <v>44166</v>
      </c>
      <c r="M263" s="6">
        <f>T_SALES[[#This Row],[Profit]]/T_SALES[[#This Row],[Amount]]</f>
        <v>0.46341463414634149</v>
      </c>
    </row>
    <row r="264" spans="1:13" x14ac:dyDescent="0.25">
      <c r="A264" s="1" t="s">
        <v>286</v>
      </c>
      <c r="B264" s="7">
        <v>738</v>
      </c>
      <c r="C264" s="8">
        <v>342</v>
      </c>
      <c r="D264">
        <v>2</v>
      </c>
      <c r="E264" s="1" t="s">
        <v>39</v>
      </c>
      <c r="F264" s="1" t="s">
        <v>43</v>
      </c>
      <c r="G264" s="1" t="s">
        <v>29</v>
      </c>
      <c r="H264" s="2">
        <v>45426</v>
      </c>
      <c r="I264" s="1" t="s">
        <v>289</v>
      </c>
      <c r="J264" s="1" t="s">
        <v>82</v>
      </c>
      <c r="K264" s="1" t="s">
        <v>89</v>
      </c>
      <c r="L264" s="2">
        <v>45413</v>
      </c>
      <c r="M264" s="6">
        <f>T_SALES[[#This Row],[Profit]]/T_SALES[[#This Row],[Amount]]</f>
        <v>0.46341463414634149</v>
      </c>
    </row>
    <row r="265" spans="1:13" x14ac:dyDescent="0.25">
      <c r="A265" s="1" t="s">
        <v>286</v>
      </c>
      <c r="B265" s="7">
        <v>738</v>
      </c>
      <c r="C265" s="8">
        <v>342</v>
      </c>
      <c r="D265">
        <v>2</v>
      </c>
      <c r="E265" s="1" t="s">
        <v>39</v>
      </c>
      <c r="F265" s="1" t="s">
        <v>43</v>
      </c>
      <c r="G265" s="1" t="s">
        <v>29</v>
      </c>
      <c r="H265" s="2">
        <v>44579</v>
      </c>
      <c r="I265" s="1" t="s">
        <v>290</v>
      </c>
      <c r="J265" s="1" t="s">
        <v>23</v>
      </c>
      <c r="K265" s="1" t="s">
        <v>45</v>
      </c>
      <c r="L265" s="2">
        <v>44562</v>
      </c>
      <c r="M265" s="6">
        <f>T_SALES[[#This Row],[Profit]]/T_SALES[[#This Row],[Amount]]</f>
        <v>0.46341463414634149</v>
      </c>
    </row>
    <row r="266" spans="1:13" x14ac:dyDescent="0.25">
      <c r="A266" s="1" t="s">
        <v>291</v>
      </c>
      <c r="B266" s="7">
        <v>1366</v>
      </c>
      <c r="C266" s="8">
        <v>242</v>
      </c>
      <c r="D266">
        <v>17</v>
      </c>
      <c r="E266" s="1" t="s">
        <v>13</v>
      </c>
      <c r="F266" s="1" t="s">
        <v>14</v>
      </c>
      <c r="G266" s="1" t="s">
        <v>35</v>
      </c>
      <c r="H266" s="2">
        <v>45187</v>
      </c>
      <c r="I266" s="1" t="s">
        <v>292</v>
      </c>
      <c r="J266" s="1" t="s">
        <v>82</v>
      </c>
      <c r="K266" s="1" t="s">
        <v>83</v>
      </c>
      <c r="L266" s="2">
        <v>45170</v>
      </c>
      <c r="M266" s="6">
        <f>T_SALES[[#This Row],[Profit]]/T_SALES[[#This Row],[Amount]]</f>
        <v>0.17715959004392387</v>
      </c>
    </row>
    <row r="267" spans="1:13" x14ac:dyDescent="0.25">
      <c r="A267" s="1" t="s">
        <v>291</v>
      </c>
      <c r="B267" s="7">
        <v>1518</v>
      </c>
      <c r="C267" s="8">
        <v>155</v>
      </c>
      <c r="D267">
        <v>13</v>
      </c>
      <c r="E267" s="1" t="s">
        <v>27</v>
      </c>
      <c r="F267" s="1" t="s">
        <v>49</v>
      </c>
      <c r="G267" s="1" t="s">
        <v>41</v>
      </c>
      <c r="H267" s="2">
        <v>45187</v>
      </c>
      <c r="I267" s="1" t="s">
        <v>292</v>
      </c>
      <c r="J267" s="1" t="s">
        <v>82</v>
      </c>
      <c r="K267" s="1" t="s">
        <v>83</v>
      </c>
      <c r="L267" s="2">
        <v>45170</v>
      </c>
      <c r="M267" s="6">
        <f>T_SALES[[#This Row],[Profit]]/T_SALES[[#This Row],[Amount]]</f>
        <v>0.10210803689064558</v>
      </c>
    </row>
    <row r="268" spans="1:13" x14ac:dyDescent="0.25">
      <c r="A268" s="1" t="s">
        <v>293</v>
      </c>
      <c r="B268" s="7">
        <v>2962</v>
      </c>
      <c r="C268" s="8">
        <v>1470</v>
      </c>
      <c r="D268">
        <v>1</v>
      </c>
      <c r="E268" s="1" t="s">
        <v>13</v>
      </c>
      <c r="F268" s="1" t="s">
        <v>70</v>
      </c>
      <c r="G268" s="1" t="s">
        <v>56</v>
      </c>
      <c r="H268" s="2">
        <v>44328</v>
      </c>
      <c r="I268" s="1" t="s">
        <v>294</v>
      </c>
      <c r="J268" s="1" t="s">
        <v>23</v>
      </c>
      <c r="K268" s="1" t="s">
        <v>24</v>
      </c>
      <c r="L268" s="2">
        <v>44317</v>
      </c>
      <c r="M268" s="6">
        <f>T_SALES[[#This Row],[Profit]]/T_SALES[[#This Row],[Amount]]</f>
        <v>0.49628629304523969</v>
      </c>
    </row>
    <row r="269" spans="1:13" x14ac:dyDescent="0.25">
      <c r="A269" s="1" t="s">
        <v>293</v>
      </c>
      <c r="B269" s="7">
        <v>2962</v>
      </c>
      <c r="C269" s="8">
        <v>1470</v>
      </c>
      <c r="D269">
        <v>1</v>
      </c>
      <c r="E269" s="1" t="s">
        <v>13</v>
      </c>
      <c r="F269" s="1" t="s">
        <v>70</v>
      </c>
      <c r="G269" s="1" t="s">
        <v>56</v>
      </c>
      <c r="H269" s="2">
        <v>45186</v>
      </c>
      <c r="I269" s="1" t="s">
        <v>295</v>
      </c>
      <c r="J269" s="1" t="s">
        <v>17</v>
      </c>
      <c r="K269" s="1" t="s">
        <v>121</v>
      </c>
      <c r="L269" s="2">
        <v>45170</v>
      </c>
      <c r="M269" s="6">
        <f>T_SALES[[#This Row],[Profit]]/T_SALES[[#This Row],[Amount]]</f>
        <v>0.49628629304523969</v>
      </c>
    </row>
    <row r="270" spans="1:13" x14ac:dyDescent="0.25">
      <c r="A270" s="1" t="s">
        <v>293</v>
      </c>
      <c r="B270" s="7">
        <v>7131</v>
      </c>
      <c r="C270" s="8">
        <v>718</v>
      </c>
      <c r="D270">
        <v>12</v>
      </c>
      <c r="E270" s="1" t="s">
        <v>13</v>
      </c>
      <c r="F270" s="1" t="s">
        <v>25</v>
      </c>
      <c r="G270" s="1" t="s">
        <v>15</v>
      </c>
      <c r="H270" s="2">
        <v>44328</v>
      </c>
      <c r="I270" s="1" t="s">
        <v>294</v>
      </c>
      <c r="J270" s="1" t="s">
        <v>23</v>
      </c>
      <c r="K270" s="1" t="s">
        <v>24</v>
      </c>
      <c r="L270" s="2">
        <v>44317</v>
      </c>
      <c r="M270" s="6">
        <f>T_SALES[[#This Row],[Profit]]/T_SALES[[#This Row],[Amount]]</f>
        <v>0.10068714065348479</v>
      </c>
    </row>
    <row r="271" spans="1:13" x14ac:dyDescent="0.25">
      <c r="A271" s="1" t="s">
        <v>293</v>
      </c>
      <c r="B271" s="7">
        <v>7131</v>
      </c>
      <c r="C271" s="8">
        <v>718</v>
      </c>
      <c r="D271">
        <v>12</v>
      </c>
      <c r="E271" s="1" t="s">
        <v>13</v>
      </c>
      <c r="F271" s="1" t="s">
        <v>25</v>
      </c>
      <c r="G271" s="1" t="s">
        <v>15</v>
      </c>
      <c r="H271" s="2">
        <v>45186</v>
      </c>
      <c r="I271" s="1" t="s">
        <v>295</v>
      </c>
      <c r="J271" s="1" t="s">
        <v>17</v>
      </c>
      <c r="K271" s="1" t="s">
        <v>121</v>
      </c>
      <c r="L271" s="2">
        <v>45170</v>
      </c>
      <c r="M271" s="6">
        <f>T_SALES[[#This Row],[Profit]]/T_SALES[[#This Row],[Amount]]</f>
        <v>0.10068714065348479</v>
      </c>
    </row>
    <row r="272" spans="1:13" x14ac:dyDescent="0.25">
      <c r="A272" s="1" t="s">
        <v>293</v>
      </c>
      <c r="B272" s="7">
        <v>4200</v>
      </c>
      <c r="C272" s="8">
        <v>855</v>
      </c>
      <c r="D272">
        <v>10</v>
      </c>
      <c r="E272" s="1" t="s">
        <v>27</v>
      </c>
      <c r="F272" s="1" t="s">
        <v>49</v>
      </c>
      <c r="G272" s="1" t="s">
        <v>35</v>
      </c>
      <c r="H272" s="2">
        <v>44328</v>
      </c>
      <c r="I272" s="1" t="s">
        <v>294</v>
      </c>
      <c r="J272" s="1" t="s">
        <v>23</v>
      </c>
      <c r="K272" s="1" t="s">
        <v>24</v>
      </c>
      <c r="L272" s="2">
        <v>44317</v>
      </c>
      <c r="M272" s="6">
        <f>T_SALES[[#This Row],[Profit]]/T_SALES[[#This Row],[Amount]]</f>
        <v>0.20357142857142857</v>
      </c>
    </row>
    <row r="273" spans="1:13" x14ac:dyDescent="0.25">
      <c r="A273" s="1" t="s">
        <v>293</v>
      </c>
      <c r="B273" s="7">
        <v>4200</v>
      </c>
      <c r="C273" s="8">
        <v>855</v>
      </c>
      <c r="D273">
        <v>10</v>
      </c>
      <c r="E273" s="1" t="s">
        <v>27</v>
      </c>
      <c r="F273" s="1" t="s">
        <v>49</v>
      </c>
      <c r="G273" s="1" t="s">
        <v>35</v>
      </c>
      <c r="H273" s="2">
        <v>45186</v>
      </c>
      <c r="I273" s="1" t="s">
        <v>295</v>
      </c>
      <c r="J273" s="1" t="s">
        <v>17</v>
      </c>
      <c r="K273" s="1" t="s">
        <v>121</v>
      </c>
      <c r="L273" s="2">
        <v>45170</v>
      </c>
      <c r="M273" s="6">
        <f>T_SALES[[#This Row],[Profit]]/T_SALES[[#This Row],[Amount]]</f>
        <v>0.20357142857142857</v>
      </c>
    </row>
    <row r="274" spans="1:13" x14ac:dyDescent="0.25">
      <c r="A274" s="1" t="s">
        <v>296</v>
      </c>
      <c r="B274" s="7">
        <v>5934</v>
      </c>
      <c r="C274" s="8">
        <v>1563</v>
      </c>
      <c r="D274">
        <v>2</v>
      </c>
      <c r="E274" s="1" t="s">
        <v>27</v>
      </c>
      <c r="F274" s="1" t="s">
        <v>49</v>
      </c>
      <c r="G274" s="1" t="s">
        <v>35</v>
      </c>
      <c r="H274" s="2">
        <v>45541</v>
      </c>
      <c r="I274" s="1" t="s">
        <v>297</v>
      </c>
      <c r="J274" s="1" t="s">
        <v>20</v>
      </c>
      <c r="K274" s="1" t="s">
        <v>137</v>
      </c>
      <c r="L274" s="2">
        <v>45536</v>
      </c>
      <c r="M274" s="6">
        <f>T_SALES[[#This Row],[Profit]]/T_SALES[[#This Row],[Amount]]</f>
        <v>0.26339737108190092</v>
      </c>
    </row>
    <row r="275" spans="1:13" x14ac:dyDescent="0.25">
      <c r="A275" s="1" t="s">
        <v>298</v>
      </c>
      <c r="B275" s="7">
        <v>2701</v>
      </c>
      <c r="C275" s="8">
        <v>322</v>
      </c>
      <c r="D275">
        <v>11</v>
      </c>
      <c r="E275" s="1" t="s">
        <v>13</v>
      </c>
      <c r="F275" s="1" t="s">
        <v>25</v>
      </c>
      <c r="G275" s="1" t="s">
        <v>15</v>
      </c>
      <c r="H275" s="2">
        <v>44730</v>
      </c>
      <c r="I275" s="1" t="s">
        <v>299</v>
      </c>
      <c r="J275" s="1" t="s">
        <v>23</v>
      </c>
      <c r="K275" s="1" t="s">
        <v>45</v>
      </c>
      <c r="L275" s="2">
        <v>44713</v>
      </c>
      <c r="M275" s="6">
        <f>T_SALES[[#This Row],[Profit]]/T_SALES[[#This Row],[Amount]]</f>
        <v>0.11921510551647538</v>
      </c>
    </row>
    <row r="276" spans="1:13" x14ac:dyDescent="0.25">
      <c r="A276" s="1" t="s">
        <v>298</v>
      </c>
      <c r="B276" s="7">
        <v>7273</v>
      </c>
      <c r="C276" s="8">
        <v>2702</v>
      </c>
      <c r="D276">
        <v>18</v>
      </c>
      <c r="E276" s="1" t="s">
        <v>27</v>
      </c>
      <c r="F276" s="1" t="s">
        <v>55</v>
      </c>
      <c r="G276" s="1" t="s">
        <v>56</v>
      </c>
      <c r="H276" s="2">
        <v>44730</v>
      </c>
      <c r="I276" s="1" t="s">
        <v>299</v>
      </c>
      <c r="J276" s="1" t="s">
        <v>23</v>
      </c>
      <c r="K276" s="1" t="s">
        <v>45</v>
      </c>
      <c r="L276" s="2">
        <v>44713</v>
      </c>
      <c r="M276" s="6">
        <f>T_SALES[[#This Row],[Profit]]/T_SALES[[#This Row],[Amount]]</f>
        <v>0.37151106833493747</v>
      </c>
    </row>
    <row r="277" spans="1:13" x14ac:dyDescent="0.25">
      <c r="A277" s="1" t="s">
        <v>300</v>
      </c>
      <c r="B277" s="7">
        <v>2465</v>
      </c>
      <c r="C277" s="8">
        <v>699</v>
      </c>
      <c r="D277">
        <v>18</v>
      </c>
      <c r="E277" s="1" t="s">
        <v>27</v>
      </c>
      <c r="F277" s="1" t="s">
        <v>49</v>
      </c>
      <c r="G277" s="1" t="s">
        <v>29</v>
      </c>
      <c r="H277" s="2">
        <v>43973</v>
      </c>
      <c r="I277" s="1" t="s">
        <v>301</v>
      </c>
      <c r="J277" s="1" t="s">
        <v>37</v>
      </c>
      <c r="K277" s="1" t="s">
        <v>78</v>
      </c>
      <c r="L277" s="2">
        <v>43952</v>
      </c>
      <c r="M277" s="6">
        <f>T_SALES[[#This Row],[Profit]]/T_SALES[[#This Row],[Amount]]</f>
        <v>0.28356997971602432</v>
      </c>
    </row>
    <row r="278" spans="1:13" x14ac:dyDescent="0.25">
      <c r="A278" s="1" t="s">
        <v>302</v>
      </c>
      <c r="B278" s="7">
        <v>3479</v>
      </c>
      <c r="C278" s="8">
        <v>1087</v>
      </c>
      <c r="D278">
        <v>2</v>
      </c>
      <c r="E278" s="1" t="s">
        <v>27</v>
      </c>
      <c r="F278" s="1" t="s">
        <v>49</v>
      </c>
      <c r="G278" s="1" t="s">
        <v>35</v>
      </c>
      <c r="H278" s="2">
        <v>45582</v>
      </c>
      <c r="I278" s="1" t="s">
        <v>303</v>
      </c>
      <c r="J278" s="1" t="s">
        <v>62</v>
      </c>
      <c r="K278" s="1" t="s">
        <v>63</v>
      </c>
      <c r="L278" s="2">
        <v>45566</v>
      </c>
      <c r="M278" s="6">
        <f>T_SALES[[#This Row],[Profit]]/T_SALES[[#This Row],[Amount]]</f>
        <v>0.31244610520264443</v>
      </c>
    </row>
    <row r="279" spans="1:13" x14ac:dyDescent="0.25">
      <c r="A279" s="1" t="s">
        <v>302</v>
      </c>
      <c r="B279" s="7">
        <v>5457</v>
      </c>
      <c r="C279" s="8">
        <v>1765</v>
      </c>
      <c r="D279">
        <v>7</v>
      </c>
      <c r="E279" s="1" t="s">
        <v>13</v>
      </c>
      <c r="F279" s="1" t="s">
        <v>25</v>
      </c>
      <c r="G279" s="1" t="s">
        <v>35</v>
      </c>
      <c r="H279" s="2">
        <v>45582</v>
      </c>
      <c r="I279" s="1" t="s">
        <v>303</v>
      </c>
      <c r="J279" s="1" t="s">
        <v>62</v>
      </c>
      <c r="K279" s="1" t="s">
        <v>63</v>
      </c>
      <c r="L279" s="2">
        <v>45566</v>
      </c>
      <c r="M279" s="6">
        <f>T_SALES[[#This Row],[Profit]]/T_SALES[[#This Row],[Amount]]</f>
        <v>0.32343778632948506</v>
      </c>
    </row>
    <row r="280" spans="1:13" x14ac:dyDescent="0.25">
      <c r="A280" s="1" t="s">
        <v>304</v>
      </c>
      <c r="B280" s="7">
        <v>4957</v>
      </c>
      <c r="C280" s="8">
        <v>1152</v>
      </c>
      <c r="D280">
        <v>8</v>
      </c>
      <c r="E280" s="1" t="s">
        <v>27</v>
      </c>
      <c r="F280" s="1" t="s">
        <v>49</v>
      </c>
      <c r="G280" s="1" t="s">
        <v>41</v>
      </c>
      <c r="H280" s="2">
        <v>44642</v>
      </c>
      <c r="I280" s="1" t="s">
        <v>305</v>
      </c>
      <c r="J280" s="1" t="s">
        <v>82</v>
      </c>
      <c r="K280" s="1" t="s">
        <v>97</v>
      </c>
      <c r="L280" s="2">
        <v>44621</v>
      </c>
      <c r="M280" s="6">
        <f>T_SALES[[#This Row],[Profit]]/T_SALES[[#This Row],[Amount]]</f>
        <v>0.23239862820254187</v>
      </c>
    </row>
    <row r="281" spans="1:13" x14ac:dyDescent="0.25">
      <c r="A281" s="1" t="s">
        <v>306</v>
      </c>
      <c r="B281" s="7">
        <v>4404</v>
      </c>
      <c r="C281" s="8">
        <v>858</v>
      </c>
      <c r="D281">
        <v>17</v>
      </c>
      <c r="E281" s="1" t="s">
        <v>27</v>
      </c>
      <c r="F281" s="1" t="s">
        <v>28</v>
      </c>
      <c r="G281" s="1" t="s">
        <v>29</v>
      </c>
      <c r="H281" s="2">
        <v>45368</v>
      </c>
      <c r="I281" s="1" t="s">
        <v>307</v>
      </c>
      <c r="J281" s="1" t="s">
        <v>82</v>
      </c>
      <c r="K281" s="1" t="s">
        <v>83</v>
      </c>
      <c r="L281" s="2">
        <v>45352</v>
      </c>
      <c r="M281" s="6">
        <f>T_SALES[[#This Row],[Profit]]/T_SALES[[#This Row],[Amount]]</f>
        <v>0.19482288828337874</v>
      </c>
    </row>
    <row r="282" spans="1:13" x14ac:dyDescent="0.25">
      <c r="A282" s="1" t="s">
        <v>306</v>
      </c>
      <c r="B282" s="7">
        <v>8776</v>
      </c>
      <c r="C282" s="8">
        <v>2529</v>
      </c>
      <c r="D282">
        <v>15</v>
      </c>
      <c r="E282" s="1" t="s">
        <v>39</v>
      </c>
      <c r="F282" s="1" t="s">
        <v>51</v>
      </c>
      <c r="G282" s="1" t="s">
        <v>41</v>
      </c>
      <c r="H282" s="2">
        <v>45368</v>
      </c>
      <c r="I282" s="1" t="s">
        <v>307</v>
      </c>
      <c r="J282" s="1" t="s">
        <v>82</v>
      </c>
      <c r="K282" s="1" t="s">
        <v>83</v>
      </c>
      <c r="L282" s="2">
        <v>45352</v>
      </c>
      <c r="M282" s="6">
        <f>T_SALES[[#This Row],[Profit]]/T_SALES[[#This Row],[Amount]]</f>
        <v>0.28817228805834094</v>
      </c>
    </row>
    <row r="283" spans="1:13" x14ac:dyDescent="0.25">
      <c r="A283" s="1" t="s">
        <v>308</v>
      </c>
      <c r="B283" s="7">
        <v>9536</v>
      </c>
      <c r="C283" s="8">
        <v>1437</v>
      </c>
      <c r="D283">
        <v>9</v>
      </c>
      <c r="E283" s="1" t="s">
        <v>13</v>
      </c>
      <c r="F283" s="1" t="s">
        <v>70</v>
      </c>
      <c r="G283" s="1" t="s">
        <v>15</v>
      </c>
      <c r="H283" s="2">
        <v>43923</v>
      </c>
      <c r="I283" s="1" t="s">
        <v>309</v>
      </c>
      <c r="J283" s="1" t="s">
        <v>17</v>
      </c>
      <c r="K283" s="1" t="s">
        <v>31</v>
      </c>
      <c r="L283" s="2">
        <v>43922</v>
      </c>
      <c r="M283" s="6">
        <f>T_SALES[[#This Row],[Profit]]/T_SALES[[#This Row],[Amount]]</f>
        <v>0.15069211409395974</v>
      </c>
    </row>
    <row r="284" spans="1:13" x14ac:dyDescent="0.25">
      <c r="A284" s="1" t="s">
        <v>308</v>
      </c>
      <c r="B284" s="7">
        <v>2225</v>
      </c>
      <c r="C284" s="8">
        <v>589</v>
      </c>
      <c r="D284">
        <v>7</v>
      </c>
      <c r="E284" s="1" t="s">
        <v>39</v>
      </c>
      <c r="F284" s="1" t="s">
        <v>51</v>
      </c>
      <c r="G284" s="1" t="s">
        <v>41</v>
      </c>
      <c r="H284" s="2">
        <v>43923</v>
      </c>
      <c r="I284" s="1" t="s">
        <v>309</v>
      </c>
      <c r="J284" s="1" t="s">
        <v>17</v>
      </c>
      <c r="K284" s="1" t="s">
        <v>31</v>
      </c>
      <c r="L284" s="2">
        <v>43922</v>
      </c>
      <c r="M284" s="6">
        <f>T_SALES[[#This Row],[Profit]]/T_SALES[[#This Row],[Amount]]</f>
        <v>0.26471910112359548</v>
      </c>
    </row>
    <row r="285" spans="1:13" x14ac:dyDescent="0.25">
      <c r="A285" s="1" t="s">
        <v>310</v>
      </c>
      <c r="B285" s="7">
        <v>9574</v>
      </c>
      <c r="C285" s="8">
        <v>4045</v>
      </c>
      <c r="D285">
        <v>19</v>
      </c>
      <c r="E285" s="1" t="s">
        <v>39</v>
      </c>
      <c r="F285" s="1" t="s">
        <v>90</v>
      </c>
      <c r="G285" s="1" t="s">
        <v>15</v>
      </c>
      <c r="H285" s="2">
        <v>45364</v>
      </c>
      <c r="I285" s="1" t="s">
        <v>311</v>
      </c>
      <c r="J285" s="1" t="s">
        <v>37</v>
      </c>
      <c r="K285" s="1" t="s">
        <v>78</v>
      </c>
      <c r="L285" s="2">
        <v>45352</v>
      </c>
      <c r="M285" s="6">
        <f>T_SALES[[#This Row],[Profit]]/T_SALES[[#This Row],[Amount]]</f>
        <v>0.42249843325673697</v>
      </c>
    </row>
    <row r="286" spans="1:13" x14ac:dyDescent="0.25">
      <c r="A286" s="1" t="s">
        <v>310</v>
      </c>
      <c r="B286" s="7">
        <v>4382</v>
      </c>
      <c r="C286" s="8">
        <v>482</v>
      </c>
      <c r="D286">
        <v>17</v>
      </c>
      <c r="E286" s="1" t="s">
        <v>13</v>
      </c>
      <c r="F286" s="1" t="s">
        <v>14</v>
      </c>
      <c r="G286" s="1" t="s">
        <v>56</v>
      </c>
      <c r="H286" s="2">
        <v>45364</v>
      </c>
      <c r="I286" s="1" t="s">
        <v>311</v>
      </c>
      <c r="J286" s="1" t="s">
        <v>37</v>
      </c>
      <c r="K286" s="1" t="s">
        <v>78</v>
      </c>
      <c r="L286" s="2">
        <v>45352</v>
      </c>
      <c r="M286" s="6">
        <f>T_SALES[[#This Row],[Profit]]/T_SALES[[#This Row],[Amount]]</f>
        <v>0.10999543587403013</v>
      </c>
    </row>
    <row r="287" spans="1:13" x14ac:dyDescent="0.25">
      <c r="A287" s="1" t="s">
        <v>312</v>
      </c>
      <c r="B287" s="7">
        <v>8200</v>
      </c>
      <c r="C287" s="8">
        <v>257</v>
      </c>
      <c r="D287">
        <v>19</v>
      </c>
      <c r="E287" s="1" t="s">
        <v>13</v>
      </c>
      <c r="F287" s="1" t="s">
        <v>34</v>
      </c>
      <c r="G287" s="1" t="s">
        <v>56</v>
      </c>
      <c r="H287" s="2">
        <v>45006</v>
      </c>
      <c r="I287" s="1" t="s">
        <v>313</v>
      </c>
      <c r="J287" s="1" t="s">
        <v>82</v>
      </c>
      <c r="K287" s="1" t="s">
        <v>89</v>
      </c>
      <c r="L287" s="2">
        <v>44986</v>
      </c>
      <c r="M287" s="6">
        <f>T_SALES[[#This Row],[Profit]]/T_SALES[[#This Row],[Amount]]</f>
        <v>3.1341463414634146E-2</v>
      </c>
    </row>
    <row r="288" spans="1:13" x14ac:dyDescent="0.25">
      <c r="A288" s="1" t="s">
        <v>312</v>
      </c>
      <c r="B288" s="7">
        <v>9316</v>
      </c>
      <c r="C288" s="8">
        <v>3003</v>
      </c>
      <c r="D288">
        <v>13</v>
      </c>
      <c r="E288" s="1" t="s">
        <v>39</v>
      </c>
      <c r="F288" s="1" t="s">
        <v>51</v>
      </c>
      <c r="G288" s="1" t="s">
        <v>41</v>
      </c>
      <c r="H288" s="2">
        <v>45006</v>
      </c>
      <c r="I288" s="1" t="s">
        <v>313</v>
      </c>
      <c r="J288" s="1" t="s">
        <v>82</v>
      </c>
      <c r="K288" s="1" t="s">
        <v>89</v>
      </c>
      <c r="L288" s="2">
        <v>44986</v>
      </c>
      <c r="M288" s="6">
        <f>T_SALES[[#This Row],[Profit]]/T_SALES[[#This Row],[Amount]]</f>
        <v>0.32234864748819236</v>
      </c>
    </row>
    <row r="289" spans="1:13" x14ac:dyDescent="0.25">
      <c r="A289" s="1" t="s">
        <v>312</v>
      </c>
      <c r="B289" s="7">
        <v>6379</v>
      </c>
      <c r="C289" s="8">
        <v>3128</v>
      </c>
      <c r="D289">
        <v>15</v>
      </c>
      <c r="E289" s="1" t="s">
        <v>13</v>
      </c>
      <c r="F289" s="1" t="s">
        <v>14</v>
      </c>
      <c r="G289" s="1" t="s">
        <v>56</v>
      </c>
      <c r="H289" s="2">
        <v>45006</v>
      </c>
      <c r="I289" s="1" t="s">
        <v>313</v>
      </c>
      <c r="J289" s="1" t="s">
        <v>82</v>
      </c>
      <c r="K289" s="1" t="s">
        <v>89</v>
      </c>
      <c r="L289" s="2">
        <v>44986</v>
      </c>
      <c r="M289" s="6">
        <f>T_SALES[[#This Row],[Profit]]/T_SALES[[#This Row],[Amount]]</f>
        <v>0.49035899043737263</v>
      </c>
    </row>
    <row r="290" spans="1:13" x14ac:dyDescent="0.25">
      <c r="A290" s="1" t="s">
        <v>314</v>
      </c>
      <c r="B290" s="7">
        <v>3348</v>
      </c>
      <c r="C290" s="8">
        <v>568</v>
      </c>
      <c r="D290">
        <v>5</v>
      </c>
      <c r="E290" s="1" t="s">
        <v>27</v>
      </c>
      <c r="F290" s="1" t="s">
        <v>49</v>
      </c>
      <c r="G290" s="1" t="s">
        <v>41</v>
      </c>
      <c r="H290" s="2">
        <v>45353</v>
      </c>
      <c r="I290" s="1" t="s">
        <v>315</v>
      </c>
      <c r="J290" s="1" t="s">
        <v>82</v>
      </c>
      <c r="K290" s="1" t="s">
        <v>97</v>
      </c>
      <c r="L290" s="2">
        <v>45352</v>
      </c>
      <c r="M290" s="6">
        <f>T_SALES[[#This Row],[Profit]]/T_SALES[[#This Row],[Amount]]</f>
        <v>0.16965352449223417</v>
      </c>
    </row>
    <row r="291" spans="1:13" x14ac:dyDescent="0.25">
      <c r="A291" s="1" t="s">
        <v>314</v>
      </c>
      <c r="B291" s="7">
        <v>3348</v>
      </c>
      <c r="C291" s="8">
        <v>568</v>
      </c>
      <c r="D291">
        <v>5</v>
      </c>
      <c r="E291" s="1" t="s">
        <v>27</v>
      </c>
      <c r="F291" s="1" t="s">
        <v>49</v>
      </c>
      <c r="G291" s="1" t="s">
        <v>41</v>
      </c>
      <c r="H291" s="2">
        <v>44316</v>
      </c>
      <c r="I291" s="1" t="s">
        <v>316</v>
      </c>
      <c r="J291" s="1" t="s">
        <v>23</v>
      </c>
      <c r="K291" s="1" t="s">
        <v>59</v>
      </c>
      <c r="L291" s="2">
        <v>44287</v>
      </c>
      <c r="M291" s="6">
        <f>T_SALES[[#This Row],[Profit]]/T_SALES[[#This Row],[Amount]]</f>
        <v>0.16965352449223417</v>
      </c>
    </row>
    <row r="292" spans="1:13" x14ac:dyDescent="0.25">
      <c r="A292" s="1" t="s">
        <v>314</v>
      </c>
      <c r="B292" s="7">
        <v>8856</v>
      </c>
      <c r="C292" s="8">
        <v>2020</v>
      </c>
      <c r="D292">
        <v>9</v>
      </c>
      <c r="E292" s="1" t="s">
        <v>27</v>
      </c>
      <c r="F292" s="1" t="s">
        <v>28</v>
      </c>
      <c r="G292" s="1" t="s">
        <v>29</v>
      </c>
      <c r="H292" s="2">
        <v>45353</v>
      </c>
      <c r="I292" s="1" t="s">
        <v>315</v>
      </c>
      <c r="J292" s="1" t="s">
        <v>82</v>
      </c>
      <c r="K292" s="1" t="s">
        <v>97</v>
      </c>
      <c r="L292" s="2">
        <v>45352</v>
      </c>
      <c r="M292" s="6">
        <f>T_SALES[[#This Row],[Profit]]/T_SALES[[#This Row],[Amount]]</f>
        <v>0.22809394760614274</v>
      </c>
    </row>
    <row r="293" spans="1:13" x14ac:dyDescent="0.25">
      <c r="A293" s="1" t="s">
        <v>314</v>
      </c>
      <c r="B293" s="7">
        <v>8856</v>
      </c>
      <c r="C293" s="8">
        <v>2020</v>
      </c>
      <c r="D293">
        <v>9</v>
      </c>
      <c r="E293" s="1" t="s">
        <v>27</v>
      </c>
      <c r="F293" s="1" t="s">
        <v>28</v>
      </c>
      <c r="G293" s="1" t="s">
        <v>29</v>
      </c>
      <c r="H293" s="2">
        <v>44316</v>
      </c>
      <c r="I293" s="1" t="s">
        <v>316</v>
      </c>
      <c r="J293" s="1" t="s">
        <v>23</v>
      </c>
      <c r="K293" s="1" t="s">
        <v>59</v>
      </c>
      <c r="L293" s="2">
        <v>44287</v>
      </c>
      <c r="M293" s="6">
        <f>T_SALES[[#This Row],[Profit]]/T_SALES[[#This Row],[Amount]]</f>
        <v>0.22809394760614274</v>
      </c>
    </row>
    <row r="294" spans="1:13" x14ac:dyDescent="0.25">
      <c r="A294" s="1" t="s">
        <v>317</v>
      </c>
      <c r="B294" s="7">
        <v>1760</v>
      </c>
      <c r="C294" s="8">
        <v>619</v>
      </c>
      <c r="D294">
        <v>16</v>
      </c>
      <c r="E294" s="1" t="s">
        <v>39</v>
      </c>
      <c r="F294" s="1" t="s">
        <v>51</v>
      </c>
      <c r="G294" s="1" t="s">
        <v>29</v>
      </c>
      <c r="H294" s="2">
        <v>44454</v>
      </c>
      <c r="I294" s="1" t="s">
        <v>318</v>
      </c>
      <c r="J294" s="1" t="s">
        <v>82</v>
      </c>
      <c r="K294" s="1" t="s">
        <v>83</v>
      </c>
      <c r="L294" s="2">
        <v>44440</v>
      </c>
      <c r="M294" s="6">
        <f>T_SALES[[#This Row],[Profit]]/T_SALES[[#This Row],[Amount]]</f>
        <v>0.35170454545454544</v>
      </c>
    </row>
    <row r="295" spans="1:13" x14ac:dyDescent="0.25">
      <c r="A295" s="1" t="s">
        <v>317</v>
      </c>
      <c r="B295" s="7">
        <v>1760</v>
      </c>
      <c r="C295" s="8">
        <v>619</v>
      </c>
      <c r="D295">
        <v>16</v>
      </c>
      <c r="E295" s="1" t="s">
        <v>39</v>
      </c>
      <c r="F295" s="1" t="s">
        <v>51</v>
      </c>
      <c r="G295" s="1" t="s">
        <v>29</v>
      </c>
      <c r="H295" s="2">
        <v>44954</v>
      </c>
      <c r="I295" s="1" t="s">
        <v>319</v>
      </c>
      <c r="J295" s="1" t="s">
        <v>62</v>
      </c>
      <c r="K295" s="1" t="s">
        <v>111</v>
      </c>
      <c r="L295" s="2">
        <v>44927</v>
      </c>
      <c r="M295" s="6">
        <f>T_SALES[[#This Row],[Profit]]/T_SALES[[#This Row],[Amount]]</f>
        <v>0.35170454545454544</v>
      </c>
    </row>
    <row r="296" spans="1:13" x14ac:dyDescent="0.25">
      <c r="A296" s="1" t="s">
        <v>317</v>
      </c>
      <c r="B296" s="7">
        <v>6351</v>
      </c>
      <c r="C296" s="8">
        <v>986</v>
      </c>
      <c r="D296">
        <v>15</v>
      </c>
      <c r="E296" s="1" t="s">
        <v>13</v>
      </c>
      <c r="F296" s="1" t="s">
        <v>25</v>
      </c>
      <c r="G296" s="1" t="s">
        <v>15</v>
      </c>
      <c r="H296" s="2">
        <v>44454</v>
      </c>
      <c r="I296" s="1" t="s">
        <v>318</v>
      </c>
      <c r="J296" s="1" t="s">
        <v>82</v>
      </c>
      <c r="K296" s="1" t="s">
        <v>83</v>
      </c>
      <c r="L296" s="2">
        <v>44440</v>
      </c>
      <c r="M296" s="6">
        <f>T_SALES[[#This Row],[Profit]]/T_SALES[[#This Row],[Amount]]</f>
        <v>0.15525114155251141</v>
      </c>
    </row>
    <row r="297" spans="1:13" x14ac:dyDescent="0.25">
      <c r="A297" s="1" t="s">
        <v>317</v>
      </c>
      <c r="B297" s="7">
        <v>6351</v>
      </c>
      <c r="C297" s="8">
        <v>986</v>
      </c>
      <c r="D297">
        <v>15</v>
      </c>
      <c r="E297" s="1" t="s">
        <v>13</v>
      </c>
      <c r="F297" s="1" t="s">
        <v>25</v>
      </c>
      <c r="G297" s="1" t="s">
        <v>15</v>
      </c>
      <c r="H297" s="2">
        <v>44954</v>
      </c>
      <c r="I297" s="1" t="s">
        <v>319</v>
      </c>
      <c r="J297" s="1" t="s">
        <v>62</v>
      </c>
      <c r="K297" s="1" t="s">
        <v>111</v>
      </c>
      <c r="L297" s="2">
        <v>44927</v>
      </c>
      <c r="M297" s="6">
        <f>T_SALES[[#This Row],[Profit]]/T_SALES[[#This Row],[Amount]]</f>
        <v>0.15525114155251141</v>
      </c>
    </row>
    <row r="298" spans="1:13" x14ac:dyDescent="0.25">
      <c r="A298" s="1" t="s">
        <v>320</v>
      </c>
      <c r="B298" s="7">
        <v>869</v>
      </c>
      <c r="C298" s="8">
        <v>373</v>
      </c>
      <c r="D298">
        <v>14</v>
      </c>
      <c r="E298" s="1" t="s">
        <v>27</v>
      </c>
      <c r="F298" s="1" t="s">
        <v>55</v>
      </c>
      <c r="G298" s="1" t="s">
        <v>41</v>
      </c>
      <c r="H298" s="2">
        <v>44385</v>
      </c>
      <c r="I298" s="1" t="s">
        <v>321</v>
      </c>
      <c r="J298" s="1" t="s">
        <v>23</v>
      </c>
      <c r="K298" s="1" t="s">
        <v>45</v>
      </c>
      <c r="L298" s="2">
        <v>44378</v>
      </c>
      <c r="M298" s="6">
        <f>T_SALES[[#This Row],[Profit]]/T_SALES[[#This Row],[Amount]]</f>
        <v>0.42922899884925203</v>
      </c>
    </row>
    <row r="299" spans="1:13" x14ac:dyDescent="0.25">
      <c r="A299" s="1" t="s">
        <v>320</v>
      </c>
      <c r="B299" s="7">
        <v>869</v>
      </c>
      <c r="C299" s="8">
        <v>373</v>
      </c>
      <c r="D299">
        <v>14</v>
      </c>
      <c r="E299" s="1" t="s">
        <v>27</v>
      </c>
      <c r="F299" s="1" t="s">
        <v>55</v>
      </c>
      <c r="G299" s="1" t="s">
        <v>41</v>
      </c>
      <c r="H299" s="2">
        <v>43929</v>
      </c>
      <c r="I299" s="1" t="s">
        <v>322</v>
      </c>
      <c r="J299" s="1" t="s">
        <v>82</v>
      </c>
      <c r="K299" s="1" t="s">
        <v>97</v>
      </c>
      <c r="L299" s="2">
        <v>43922</v>
      </c>
      <c r="M299" s="6">
        <f>T_SALES[[#This Row],[Profit]]/T_SALES[[#This Row],[Amount]]</f>
        <v>0.42922899884925203</v>
      </c>
    </row>
    <row r="300" spans="1:13" x14ac:dyDescent="0.25">
      <c r="A300" s="1" t="s">
        <v>320</v>
      </c>
      <c r="B300" s="7">
        <v>1486</v>
      </c>
      <c r="C300" s="8">
        <v>114</v>
      </c>
      <c r="D300">
        <v>7</v>
      </c>
      <c r="E300" s="1" t="s">
        <v>39</v>
      </c>
      <c r="F300" s="1" t="s">
        <v>90</v>
      </c>
      <c r="G300" s="1" t="s">
        <v>15</v>
      </c>
      <c r="H300" s="2">
        <v>44385</v>
      </c>
      <c r="I300" s="1" t="s">
        <v>321</v>
      </c>
      <c r="J300" s="1" t="s">
        <v>23</v>
      </c>
      <c r="K300" s="1" t="s">
        <v>45</v>
      </c>
      <c r="L300" s="2">
        <v>44378</v>
      </c>
      <c r="M300" s="6">
        <f>T_SALES[[#This Row],[Profit]]/T_SALES[[#This Row],[Amount]]</f>
        <v>7.6716016150740238E-2</v>
      </c>
    </row>
    <row r="301" spans="1:13" x14ac:dyDescent="0.25">
      <c r="A301" s="1" t="s">
        <v>320</v>
      </c>
      <c r="B301" s="7">
        <v>1486</v>
      </c>
      <c r="C301" s="8">
        <v>114</v>
      </c>
      <c r="D301">
        <v>7</v>
      </c>
      <c r="E301" s="1" t="s">
        <v>39</v>
      </c>
      <c r="F301" s="1" t="s">
        <v>90</v>
      </c>
      <c r="G301" s="1" t="s">
        <v>15</v>
      </c>
      <c r="H301" s="2">
        <v>43929</v>
      </c>
      <c r="I301" s="1" t="s">
        <v>322</v>
      </c>
      <c r="J301" s="1" t="s">
        <v>82</v>
      </c>
      <c r="K301" s="1" t="s">
        <v>97</v>
      </c>
      <c r="L301" s="2">
        <v>43922</v>
      </c>
      <c r="M301" s="6">
        <f>T_SALES[[#This Row],[Profit]]/T_SALES[[#This Row],[Amount]]</f>
        <v>7.6716016150740238E-2</v>
      </c>
    </row>
    <row r="302" spans="1:13" x14ac:dyDescent="0.25">
      <c r="A302" s="1" t="s">
        <v>323</v>
      </c>
      <c r="B302" s="7">
        <v>2999</v>
      </c>
      <c r="C302" s="8">
        <v>145</v>
      </c>
      <c r="D302">
        <v>13</v>
      </c>
      <c r="E302" s="1" t="s">
        <v>27</v>
      </c>
      <c r="F302" s="1" t="s">
        <v>67</v>
      </c>
      <c r="G302" s="1" t="s">
        <v>56</v>
      </c>
      <c r="H302" s="2">
        <v>44796</v>
      </c>
      <c r="I302" s="1" t="s">
        <v>324</v>
      </c>
      <c r="J302" s="1" t="s">
        <v>20</v>
      </c>
      <c r="K302" s="1" t="s">
        <v>21</v>
      </c>
      <c r="L302" s="2">
        <v>44774</v>
      </c>
      <c r="M302" s="6">
        <f>T_SALES[[#This Row],[Profit]]/T_SALES[[#This Row],[Amount]]</f>
        <v>4.8349449816605536E-2</v>
      </c>
    </row>
    <row r="303" spans="1:13" x14ac:dyDescent="0.25">
      <c r="A303" s="1" t="s">
        <v>323</v>
      </c>
      <c r="B303" s="7">
        <v>5142</v>
      </c>
      <c r="C303" s="8">
        <v>1916</v>
      </c>
      <c r="D303">
        <v>20</v>
      </c>
      <c r="E303" s="1" t="s">
        <v>27</v>
      </c>
      <c r="F303" s="1" t="s">
        <v>55</v>
      </c>
      <c r="G303" s="1" t="s">
        <v>35</v>
      </c>
      <c r="H303" s="2">
        <v>44796</v>
      </c>
      <c r="I303" s="1" t="s">
        <v>324</v>
      </c>
      <c r="J303" s="1" t="s">
        <v>20</v>
      </c>
      <c r="K303" s="1" t="s">
        <v>21</v>
      </c>
      <c r="L303" s="2">
        <v>44774</v>
      </c>
      <c r="M303" s="6">
        <f>T_SALES[[#This Row],[Profit]]/T_SALES[[#This Row],[Amount]]</f>
        <v>0.37261765849863865</v>
      </c>
    </row>
    <row r="304" spans="1:13" x14ac:dyDescent="0.25">
      <c r="A304" s="1" t="s">
        <v>325</v>
      </c>
      <c r="B304" s="7">
        <v>1239</v>
      </c>
      <c r="C304" s="8">
        <v>575</v>
      </c>
      <c r="D304">
        <v>17</v>
      </c>
      <c r="E304" s="1" t="s">
        <v>13</v>
      </c>
      <c r="F304" s="1" t="s">
        <v>34</v>
      </c>
      <c r="G304" s="1" t="s">
        <v>15</v>
      </c>
      <c r="H304" s="2">
        <v>44912</v>
      </c>
      <c r="I304" s="1" t="s">
        <v>326</v>
      </c>
      <c r="J304" s="1" t="s">
        <v>23</v>
      </c>
      <c r="K304" s="1" t="s">
        <v>59</v>
      </c>
      <c r="L304" s="2">
        <v>44896</v>
      </c>
      <c r="M304" s="6">
        <f>T_SALES[[#This Row],[Profit]]/T_SALES[[#This Row],[Amount]]</f>
        <v>0.46408393866020986</v>
      </c>
    </row>
    <row r="305" spans="1:13" x14ac:dyDescent="0.25">
      <c r="A305" s="1" t="s">
        <v>325</v>
      </c>
      <c r="B305" s="7">
        <v>1239</v>
      </c>
      <c r="C305" s="8">
        <v>575</v>
      </c>
      <c r="D305">
        <v>17</v>
      </c>
      <c r="E305" s="1" t="s">
        <v>13</v>
      </c>
      <c r="F305" s="1" t="s">
        <v>34</v>
      </c>
      <c r="G305" s="1" t="s">
        <v>15</v>
      </c>
      <c r="H305" s="2">
        <v>44720</v>
      </c>
      <c r="I305" s="1" t="s">
        <v>327</v>
      </c>
      <c r="J305" s="1" t="s">
        <v>20</v>
      </c>
      <c r="K305" s="1" t="s">
        <v>54</v>
      </c>
      <c r="L305" s="2">
        <v>44713</v>
      </c>
      <c r="M305" s="6">
        <f>T_SALES[[#This Row],[Profit]]/T_SALES[[#This Row],[Amount]]</f>
        <v>0.46408393866020986</v>
      </c>
    </row>
    <row r="306" spans="1:13" x14ac:dyDescent="0.25">
      <c r="A306" s="1" t="s">
        <v>325</v>
      </c>
      <c r="B306" s="7">
        <v>1262</v>
      </c>
      <c r="C306" s="8">
        <v>515</v>
      </c>
      <c r="D306">
        <v>16</v>
      </c>
      <c r="E306" s="1" t="s">
        <v>13</v>
      </c>
      <c r="F306" s="1" t="s">
        <v>14</v>
      </c>
      <c r="G306" s="1" t="s">
        <v>35</v>
      </c>
      <c r="H306" s="2">
        <v>44912</v>
      </c>
      <c r="I306" s="1" t="s">
        <v>326</v>
      </c>
      <c r="J306" s="1" t="s">
        <v>23</v>
      </c>
      <c r="K306" s="1" t="s">
        <v>59</v>
      </c>
      <c r="L306" s="2">
        <v>44896</v>
      </c>
      <c r="M306" s="6">
        <f>T_SALES[[#This Row],[Profit]]/T_SALES[[#This Row],[Amount]]</f>
        <v>0.40808240887480191</v>
      </c>
    </row>
    <row r="307" spans="1:13" x14ac:dyDescent="0.25">
      <c r="A307" s="1" t="s">
        <v>325</v>
      </c>
      <c r="B307" s="7">
        <v>1262</v>
      </c>
      <c r="C307" s="8">
        <v>515</v>
      </c>
      <c r="D307">
        <v>16</v>
      </c>
      <c r="E307" s="1" t="s">
        <v>13</v>
      </c>
      <c r="F307" s="1" t="s">
        <v>14</v>
      </c>
      <c r="G307" s="1" t="s">
        <v>35</v>
      </c>
      <c r="H307" s="2">
        <v>44720</v>
      </c>
      <c r="I307" s="1" t="s">
        <v>327</v>
      </c>
      <c r="J307" s="1" t="s">
        <v>20</v>
      </c>
      <c r="K307" s="1" t="s">
        <v>54</v>
      </c>
      <c r="L307" s="2">
        <v>44713</v>
      </c>
      <c r="M307" s="6">
        <f>T_SALES[[#This Row],[Profit]]/T_SALES[[#This Row],[Amount]]</f>
        <v>0.40808240887480191</v>
      </c>
    </row>
    <row r="308" spans="1:13" x14ac:dyDescent="0.25">
      <c r="A308" s="1" t="s">
        <v>328</v>
      </c>
      <c r="B308" s="7">
        <v>1033</v>
      </c>
      <c r="C308" s="8">
        <v>254</v>
      </c>
      <c r="D308">
        <v>5</v>
      </c>
      <c r="E308" s="1" t="s">
        <v>39</v>
      </c>
      <c r="F308" s="1" t="s">
        <v>90</v>
      </c>
      <c r="G308" s="1" t="s">
        <v>56</v>
      </c>
      <c r="H308" s="2">
        <v>44071</v>
      </c>
      <c r="I308" s="1" t="s">
        <v>329</v>
      </c>
      <c r="J308" s="1" t="s">
        <v>23</v>
      </c>
      <c r="K308" s="1" t="s">
        <v>59</v>
      </c>
      <c r="L308" s="2">
        <v>44044</v>
      </c>
      <c r="M308" s="6">
        <f>T_SALES[[#This Row],[Profit]]/T_SALES[[#This Row],[Amount]]</f>
        <v>0.24588576960309777</v>
      </c>
    </row>
    <row r="309" spans="1:13" x14ac:dyDescent="0.25">
      <c r="A309" s="1" t="s">
        <v>330</v>
      </c>
      <c r="B309" s="7">
        <v>1518</v>
      </c>
      <c r="C309" s="8">
        <v>159</v>
      </c>
      <c r="D309">
        <v>19</v>
      </c>
      <c r="E309" s="1" t="s">
        <v>13</v>
      </c>
      <c r="F309" s="1" t="s">
        <v>25</v>
      </c>
      <c r="G309" s="1" t="s">
        <v>15</v>
      </c>
      <c r="H309" s="2">
        <v>44100</v>
      </c>
      <c r="I309" s="1" t="s">
        <v>331</v>
      </c>
      <c r="J309" s="1" t="s">
        <v>37</v>
      </c>
      <c r="K309" s="1" t="s">
        <v>65</v>
      </c>
      <c r="L309" s="2">
        <v>44075</v>
      </c>
      <c r="M309" s="6">
        <f>T_SALES[[#This Row],[Profit]]/T_SALES[[#This Row],[Amount]]</f>
        <v>0.10474308300395258</v>
      </c>
    </row>
    <row r="310" spans="1:13" x14ac:dyDescent="0.25">
      <c r="A310" s="1" t="s">
        <v>332</v>
      </c>
      <c r="B310" s="7">
        <v>8581</v>
      </c>
      <c r="C310" s="8">
        <v>2444</v>
      </c>
      <c r="D310">
        <v>2</v>
      </c>
      <c r="E310" s="1" t="s">
        <v>27</v>
      </c>
      <c r="F310" s="1" t="s">
        <v>55</v>
      </c>
      <c r="G310" s="1" t="s">
        <v>29</v>
      </c>
      <c r="H310" s="2">
        <v>44178</v>
      </c>
      <c r="I310" s="1" t="s">
        <v>333</v>
      </c>
      <c r="J310" s="1" t="s">
        <v>20</v>
      </c>
      <c r="K310" s="1" t="s">
        <v>137</v>
      </c>
      <c r="L310" s="2">
        <v>44166</v>
      </c>
      <c r="M310" s="6">
        <f>T_SALES[[#This Row],[Profit]]/T_SALES[[#This Row],[Amount]]</f>
        <v>0.2848152895932875</v>
      </c>
    </row>
    <row r="311" spans="1:13" x14ac:dyDescent="0.25">
      <c r="A311" s="1" t="s">
        <v>332</v>
      </c>
      <c r="B311" s="7">
        <v>8581</v>
      </c>
      <c r="C311" s="8">
        <v>2444</v>
      </c>
      <c r="D311">
        <v>2</v>
      </c>
      <c r="E311" s="1" t="s">
        <v>27</v>
      </c>
      <c r="F311" s="1" t="s">
        <v>55</v>
      </c>
      <c r="G311" s="1" t="s">
        <v>29</v>
      </c>
      <c r="H311" s="2">
        <v>44154</v>
      </c>
      <c r="I311" s="1" t="s">
        <v>334</v>
      </c>
      <c r="J311" s="1" t="s">
        <v>17</v>
      </c>
      <c r="K311" s="1" t="s">
        <v>31</v>
      </c>
      <c r="L311" s="2">
        <v>44136</v>
      </c>
      <c r="M311" s="6">
        <f>T_SALES[[#This Row],[Profit]]/T_SALES[[#This Row],[Amount]]</f>
        <v>0.2848152895932875</v>
      </c>
    </row>
    <row r="312" spans="1:13" x14ac:dyDescent="0.25">
      <c r="A312" s="1" t="s">
        <v>335</v>
      </c>
      <c r="B312" s="7">
        <v>1167</v>
      </c>
      <c r="C312" s="8">
        <v>463</v>
      </c>
      <c r="D312">
        <v>5</v>
      </c>
      <c r="E312" s="1" t="s">
        <v>27</v>
      </c>
      <c r="F312" s="1" t="s">
        <v>28</v>
      </c>
      <c r="G312" s="1" t="s">
        <v>15</v>
      </c>
      <c r="H312" s="2">
        <v>45182</v>
      </c>
      <c r="I312" s="1" t="s">
        <v>336</v>
      </c>
      <c r="J312" s="1" t="s">
        <v>62</v>
      </c>
      <c r="K312" s="1" t="s">
        <v>74</v>
      </c>
      <c r="L312" s="2">
        <v>45170</v>
      </c>
      <c r="M312" s="6">
        <f>T_SALES[[#This Row],[Profit]]/T_SALES[[#This Row],[Amount]]</f>
        <v>0.39674378748928879</v>
      </c>
    </row>
    <row r="313" spans="1:13" x14ac:dyDescent="0.25">
      <c r="A313" s="1" t="s">
        <v>335</v>
      </c>
      <c r="B313" s="7">
        <v>2841</v>
      </c>
      <c r="C313" s="8">
        <v>803</v>
      </c>
      <c r="D313">
        <v>20</v>
      </c>
      <c r="E313" s="1" t="s">
        <v>13</v>
      </c>
      <c r="F313" s="1" t="s">
        <v>34</v>
      </c>
      <c r="G313" s="1" t="s">
        <v>41</v>
      </c>
      <c r="H313" s="2">
        <v>45182</v>
      </c>
      <c r="I313" s="1" t="s">
        <v>336</v>
      </c>
      <c r="J313" s="1" t="s">
        <v>62</v>
      </c>
      <c r="K313" s="1" t="s">
        <v>74</v>
      </c>
      <c r="L313" s="2">
        <v>45170</v>
      </c>
      <c r="M313" s="6">
        <f>T_SALES[[#This Row],[Profit]]/T_SALES[[#This Row],[Amount]]</f>
        <v>0.2826469552974305</v>
      </c>
    </row>
    <row r="314" spans="1:13" x14ac:dyDescent="0.25">
      <c r="A314" s="1" t="s">
        <v>335</v>
      </c>
      <c r="B314" s="7">
        <v>5680</v>
      </c>
      <c r="C314" s="8">
        <v>2159</v>
      </c>
      <c r="D314">
        <v>19</v>
      </c>
      <c r="E314" s="1" t="s">
        <v>39</v>
      </c>
      <c r="F314" s="1" t="s">
        <v>40</v>
      </c>
      <c r="G314" s="1" t="s">
        <v>15</v>
      </c>
      <c r="H314" s="2">
        <v>45182</v>
      </c>
      <c r="I314" s="1" t="s">
        <v>336</v>
      </c>
      <c r="J314" s="1" t="s">
        <v>62</v>
      </c>
      <c r="K314" s="1" t="s">
        <v>74</v>
      </c>
      <c r="L314" s="2">
        <v>45170</v>
      </c>
      <c r="M314" s="6">
        <f>T_SALES[[#This Row],[Profit]]/T_SALES[[#This Row],[Amount]]</f>
        <v>0.38010563380281692</v>
      </c>
    </row>
    <row r="315" spans="1:13" x14ac:dyDescent="0.25">
      <c r="A315" s="1" t="s">
        <v>337</v>
      </c>
      <c r="B315" s="7">
        <v>8204</v>
      </c>
      <c r="C315" s="8">
        <v>2382</v>
      </c>
      <c r="D315">
        <v>6</v>
      </c>
      <c r="E315" s="1" t="s">
        <v>27</v>
      </c>
      <c r="F315" s="1" t="s">
        <v>28</v>
      </c>
      <c r="G315" s="1" t="s">
        <v>15</v>
      </c>
      <c r="H315" s="2">
        <v>43921</v>
      </c>
      <c r="I315" s="1" t="s">
        <v>338</v>
      </c>
      <c r="J315" s="1" t="s">
        <v>20</v>
      </c>
      <c r="K315" s="1" t="s">
        <v>21</v>
      </c>
      <c r="L315" s="2">
        <v>43891</v>
      </c>
      <c r="M315" s="6">
        <f>T_SALES[[#This Row],[Profit]]/T_SALES[[#This Row],[Amount]]</f>
        <v>0.2903461725987323</v>
      </c>
    </row>
    <row r="316" spans="1:13" x14ac:dyDescent="0.25">
      <c r="A316" s="1" t="s">
        <v>337</v>
      </c>
      <c r="B316" s="7">
        <v>8204</v>
      </c>
      <c r="C316" s="8">
        <v>2382</v>
      </c>
      <c r="D316">
        <v>6</v>
      </c>
      <c r="E316" s="1" t="s">
        <v>27</v>
      </c>
      <c r="F316" s="1" t="s">
        <v>28</v>
      </c>
      <c r="G316" s="1" t="s">
        <v>15</v>
      </c>
      <c r="H316" s="2">
        <v>44124</v>
      </c>
      <c r="I316" s="1" t="s">
        <v>339</v>
      </c>
      <c r="J316" s="1" t="s">
        <v>23</v>
      </c>
      <c r="K316" s="1" t="s">
        <v>24</v>
      </c>
      <c r="L316" s="2">
        <v>44105</v>
      </c>
      <c r="M316" s="6">
        <f>T_SALES[[#This Row],[Profit]]/T_SALES[[#This Row],[Amount]]</f>
        <v>0.2903461725987323</v>
      </c>
    </row>
    <row r="317" spans="1:13" x14ac:dyDescent="0.25">
      <c r="A317" s="1" t="s">
        <v>337</v>
      </c>
      <c r="B317" s="7">
        <v>2850</v>
      </c>
      <c r="C317" s="8">
        <v>904</v>
      </c>
      <c r="D317">
        <v>6</v>
      </c>
      <c r="E317" s="1" t="s">
        <v>13</v>
      </c>
      <c r="F317" s="1" t="s">
        <v>70</v>
      </c>
      <c r="G317" s="1" t="s">
        <v>35</v>
      </c>
      <c r="H317" s="2">
        <v>43921</v>
      </c>
      <c r="I317" s="1" t="s">
        <v>338</v>
      </c>
      <c r="J317" s="1" t="s">
        <v>20</v>
      </c>
      <c r="K317" s="1" t="s">
        <v>21</v>
      </c>
      <c r="L317" s="2">
        <v>43891</v>
      </c>
      <c r="M317" s="6">
        <f>T_SALES[[#This Row],[Profit]]/T_SALES[[#This Row],[Amount]]</f>
        <v>0.31719298245614036</v>
      </c>
    </row>
    <row r="318" spans="1:13" x14ac:dyDescent="0.25">
      <c r="A318" s="1" t="s">
        <v>337</v>
      </c>
      <c r="B318" s="7">
        <v>2850</v>
      </c>
      <c r="C318" s="8">
        <v>904</v>
      </c>
      <c r="D318">
        <v>6</v>
      </c>
      <c r="E318" s="1" t="s">
        <v>13</v>
      </c>
      <c r="F318" s="1" t="s">
        <v>70</v>
      </c>
      <c r="G318" s="1" t="s">
        <v>35</v>
      </c>
      <c r="H318" s="2">
        <v>44124</v>
      </c>
      <c r="I318" s="1" t="s">
        <v>339</v>
      </c>
      <c r="J318" s="1" t="s">
        <v>23</v>
      </c>
      <c r="K318" s="1" t="s">
        <v>24</v>
      </c>
      <c r="L318" s="2">
        <v>44105</v>
      </c>
      <c r="M318" s="6">
        <f>T_SALES[[#This Row],[Profit]]/T_SALES[[#This Row],[Amount]]</f>
        <v>0.31719298245614036</v>
      </c>
    </row>
    <row r="319" spans="1:13" x14ac:dyDescent="0.25">
      <c r="A319" s="1" t="s">
        <v>340</v>
      </c>
      <c r="B319" s="7">
        <v>907</v>
      </c>
      <c r="C319" s="8">
        <v>391</v>
      </c>
      <c r="D319">
        <v>9</v>
      </c>
      <c r="E319" s="1" t="s">
        <v>27</v>
      </c>
      <c r="F319" s="1" t="s">
        <v>28</v>
      </c>
      <c r="G319" s="1" t="s">
        <v>41</v>
      </c>
      <c r="H319" s="2">
        <v>45142</v>
      </c>
      <c r="I319" s="1" t="s">
        <v>341</v>
      </c>
      <c r="J319" s="1" t="s">
        <v>23</v>
      </c>
      <c r="K319" s="1" t="s">
        <v>45</v>
      </c>
      <c r="L319" s="2">
        <v>45139</v>
      </c>
      <c r="M319" s="6">
        <f>T_SALES[[#This Row],[Profit]]/T_SALES[[#This Row],[Amount]]</f>
        <v>0.43109151047409039</v>
      </c>
    </row>
    <row r="320" spans="1:13" x14ac:dyDescent="0.25">
      <c r="A320" s="1" t="s">
        <v>342</v>
      </c>
      <c r="B320" s="7">
        <v>2174</v>
      </c>
      <c r="C320" s="8">
        <v>265</v>
      </c>
      <c r="D320">
        <v>19</v>
      </c>
      <c r="E320" s="1" t="s">
        <v>27</v>
      </c>
      <c r="F320" s="1" t="s">
        <v>28</v>
      </c>
      <c r="G320" s="1" t="s">
        <v>41</v>
      </c>
      <c r="H320" s="2">
        <v>44662</v>
      </c>
      <c r="I320" s="1" t="s">
        <v>343</v>
      </c>
      <c r="J320" s="1" t="s">
        <v>82</v>
      </c>
      <c r="K320" s="1" t="s">
        <v>89</v>
      </c>
      <c r="L320" s="2">
        <v>44652</v>
      </c>
      <c r="M320" s="6">
        <f>T_SALES[[#This Row],[Profit]]/T_SALES[[#This Row],[Amount]]</f>
        <v>0.12189512419503219</v>
      </c>
    </row>
    <row r="321" spans="1:13" x14ac:dyDescent="0.25">
      <c r="A321" s="1" t="s">
        <v>342</v>
      </c>
      <c r="B321" s="7">
        <v>8541</v>
      </c>
      <c r="C321" s="8">
        <v>2029</v>
      </c>
      <c r="D321">
        <v>12</v>
      </c>
      <c r="E321" s="1" t="s">
        <v>13</v>
      </c>
      <c r="F321" s="1" t="s">
        <v>14</v>
      </c>
      <c r="G321" s="1" t="s">
        <v>41</v>
      </c>
      <c r="H321" s="2">
        <v>44662</v>
      </c>
      <c r="I321" s="1" t="s">
        <v>343</v>
      </c>
      <c r="J321" s="1" t="s">
        <v>82</v>
      </c>
      <c r="K321" s="1" t="s">
        <v>89</v>
      </c>
      <c r="L321" s="2">
        <v>44652</v>
      </c>
      <c r="M321" s="6">
        <f>T_SALES[[#This Row],[Profit]]/T_SALES[[#This Row],[Amount]]</f>
        <v>0.23756000468329236</v>
      </c>
    </row>
    <row r="322" spans="1:13" x14ac:dyDescent="0.25">
      <c r="A322" s="1" t="s">
        <v>342</v>
      </c>
      <c r="B322" s="7">
        <v>1931</v>
      </c>
      <c r="C322" s="8">
        <v>551</v>
      </c>
      <c r="D322">
        <v>3</v>
      </c>
      <c r="E322" s="1" t="s">
        <v>39</v>
      </c>
      <c r="F322" s="1" t="s">
        <v>90</v>
      </c>
      <c r="G322" s="1" t="s">
        <v>35</v>
      </c>
      <c r="H322" s="2">
        <v>44662</v>
      </c>
      <c r="I322" s="1" t="s">
        <v>343</v>
      </c>
      <c r="J322" s="1" t="s">
        <v>82</v>
      </c>
      <c r="K322" s="1" t="s">
        <v>89</v>
      </c>
      <c r="L322" s="2">
        <v>44652</v>
      </c>
      <c r="M322" s="6">
        <f>T_SALES[[#This Row],[Profit]]/T_SALES[[#This Row],[Amount]]</f>
        <v>0.28534438114966337</v>
      </c>
    </row>
    <row r="323" spans="1:13" x14ac:dyDescent="0.25">
      <c r="A323" s="1" t="s">
        <v>344</v>
      </c>
      <c r="B323" s="7">
        <v>1281</v>
      </c>
      <c r="C323" s="8">
        <v>340</v>
      </c>
      <c r="D323">
        <v>3</v>
      </c>
      <c r="E323" s="1" t="s">
        <v>13</v>
      </c>
      <c r="F323" s="1" t="s">
        <v>14</v>
      </c>
      <c r="G323" s="1" t="s">
        <v>29</v>
      </c>
      <c r="H323" s="2">
        <v>44561</v>
      </c>
      <c r="I323" s="1" t="s">
        <v>345</v>
      </c>
      <c r="J323" s="1" t="s">
        <v>62</v>
      </c>
      <c r="K323" s="1" t="s">
        <v>74</v>
      </c>
      <c r="L323" s="2">
        <v>44531</v>
      </c>
      <c r="M323" s="6">
        <f>T_SALES[[#This Row],[Profit]]/T_SALES[[#This Row],[Amount]]</f>
        <v>0.26541764246682281</v>
      </c>
    </row>
    <row r="324" spans="1:13" x14ac:dyDescent="0.25">
      <c r="A324" s="1" t="s">
        <v>344</v>
      </c>
      <c r="B324" s="7">
        <v>2404</v>
      </c>
      <c r="C324" s="8">
        <v>253</v>
      </c>
      <c r="D324">
        <v>15</v>
      </c>
      <c r="E324" s="1" t="s">
        <v>13</v>
      </c>
      <c r="F324" s="1" t="s">
        <v>34</v>
      </c>
      <c r="G324" s="1" t="s">
        <v>56</v>
      </c>
      <c r="H324" s="2">
        <v>44561</v>
      </c>
      <c r="I324" s="1" t="s">
        <v>345</v>
      </c>
      <c r="J324" s="1" t="s">
        <v>62</v>
      </c>
      <c r="K324" s="1" t="s">
        <v>74</v>
      </c>
      <c r="L324" s="2">
        <v>44531</v>
      </c>
      <c r="M324" s="6">
        <f>T_SALES[[#This Row],[Profit]]/T_SALES[[#This Row],[Amount]]</f>
        <v>0.10524126455906822</v>
      </c>
    </row>
    <row r="325" spans="1:13" x14ac:dyDescent="0.25">
      <c r="A325" s="1" t="s">
        <v>346</v>
      </c>
      <c r="B325" s="7">
        <v>2119</v>
      </c>
      <c r="C325" s="8">
        <v>196</v>
      </c>
      <c r="D325">
        <v>1</v>
      </c>
      <c r="E325" s="1" t="s">
        <v>39</v>
      </c>
      <c r="F325" s="1" t="s">
        <v>51</v>
      </c>
      <c r="G325" s="1" t="s">
        <v>56</v>
      </c>
      <c r="H325" s="2">
        <v>44059</v>
      </c>
      <c r="I325" s="1" t="s">
        <v>347</v>
      </c>
      <c r="J325" s="1" t="s">
        <v>37</v>
      </c>
      <c r="K325" s="1" t="s">
        <v>38</v>
      </c>
      <c r="L325" s="2">
        <v>44044</v>
      </c>
      <c r="M325" s="6">
        <f>T_SALES[[#This Row],[Profit]]/T_SALES[[#This Row],[Amount]]</f>
        <v>9.2496460594620106E-2</v>
      </c>
    </row>
    <row r="326" spans="1:13" x14ac:dyDescent="0.25">
      <c r="A326" s="1" t="s">
        <v>348</v>
      </c>
      <c r="B326" s="7">
        <v>3137</v>
      </c>
      <c r="C326" s="8">
        <v>571</v>
      </c>
      <c r="D326">
        <v>9</v>
      </c>
      <c r="E326" s="1" t="s">
        <v>27</v>
      </c>
      <c r="F326" s="1" t="s">
        <v>28</v>
      </c>
      <c r="G326" s="1" t="s">
        <v>29</v>
      </c>
      <c r="H326" s="2">
        <v>45690</v>
      </c>
      <c r="I326" s="1" t="s">
        <v>349</v>
      </c>
      <c r="J326" s="1" t="s">
        <v>20</v>
      </c>
      <c r="K326" s="1" t="s">
        <v>21</v>
      </c>
      <c r="L326" s="2">
        <v>45689</v>
      </c>
      <c r="M326" s="6">
        <f>T_SALES[[#This Row],[Profit]]/T_SALES[[#This Row],[Amount]]</f>
        <v>0.18202103920943577</v>
      </c>
    </row>
    <row r="327" spans="1:13" x14ac:dyDescent="0.25">
      <c r="A327" s="1" t="s">
        <v>350</v>
      </c>
      <c r="B327" s="7">
        <v>2323</v>
      </c>
      <c r="C327" s="8">
        <v>727</v>
      </c>
      <c r="D327">
        <v>7</v>
      </c>
      <c r="E327" s="1" t="s">
        <v>39</v>
      </c>
      <c r="F327" s="1" t="s">
        <v>40</v>
      </c>
      <c r="G327" s="1" t="s">
        <v>56</v>
      </c>
      <c r="H327" s="2">
        <v>44616</v>
      </c>
      <c r="I327" s="1" t="s">
        <v>351</v>
      </c>
      <c r="J327" s="1" t="s">
        <v>62</v>
      </c>
      <c r="K327" s="1" t="s">
        <v>63</v>
      </c>
      <c r="L327" s="2">
        <v>44593</v>
      </c>
      <c r="M327" s="6">
        <f>T_SALES[[#This Row],[Profit]]/T_SALES[[#This Row],[Amount]]</f>
        <v>0.31295738269479123</v>
      </c>
    </row>
    <row r="328" spans="1:13" x14ac:dyDescent="0.25">
      <c r="A328" s="1" t="s">
        <v>350</v>
      </c>
      <c r="B328" s="7">
        <v>1368</v>
      </c>
      <c r="C328" s="8">
        <v>406</v>
      </c>
      <c r="D328">
        <v>9</v>
      </c>
      <c r="E328" s="1" t="s">
        <v>39</v>
      </c>
      <c r="F328" s="1" t="s">
        <v>90</v>
      </c>
      <c r="G328" s="1" t="s">
        <v>15</v>
      </c>
      <c r="H328" s="2">
        <v>44616</v>
      </c>
      <c r="I328" s="1" t="s">
        <v>351</v>
      </c>
      <c r="J328" s="1" t="s">
        <v>62</v>
      </c>
      <c r="K328" s="1" t="s">
        <v>63</v>
      </c>
      <c r="L328" s="2">
        <v>44593</v>
      </c>
      <c r="M328" s="6">
        <f>T_SALES[[#This Row],[Profit]]/T_SALES[[#This Row],[Amount]]</f>
        <v>0.29678362573099415</v>
      </c>
    </row>
    <row r="329" spans="1:13" x14ac:dyDescent="0.25">
      <c r="A329" s="1" t="s">
        <v>352</v>
      </c>
      <c r="B329" s="7">
        <v>9204</v>
      </c>
      <c r="C329" s="8">
        <v>3289</v>
      </c>
      <c r="D329">
        <v>16</v>
      </c>
      <c r="E329" s="1" t="s">
        <v>13</v>
      </c>
      <c r="F329" s="1" t="s">
        <v>34</v>
      </c>
      <c r="G329" s="1" t="s">
        <v>41</v>
      </c>
      <c r="H329" s="2">
        <v>45347</v>
      </c>
      <c r="I329" s="1" t="s">
        <v>353</v>
      </c>
      <c r="J329" s="1" t="s">
        <v>17</v>
      </c>
      <c r="K329" s="1" t="s">
        <v>18</v>
      </c>
      <c r="L329" s="2">
        <v>45323</v>
      </c>
      <c r="M329" s="6">
        <f>T_SALES[[#This Row],[Profit]]/T_SALES[[#This Row],[Amount]]</f>
        <v>0.35734463276836159</v>
      </c>
    </row>
    <row r="330" spans="1:13" x14ac:dyDescent="0.25">
      <c r="A330" s="1" t="s">
        <v>352</v>
      </c>
      <c r="B330" s="7">
        <v>9204</v>
      </c>
      <c r="C330" s="8">
        <v>3289</v>
      </c>
      <c r="D330">
        <v>16</v>
      </c>
      <c r="E330" s="1" t="s">
        <v>13</v>
      </c>
      <c r="F330" s="1" t="s">
        <v>34</v>
      </c>
      <c r="G330" s="1" t="s">
        <v>41</v>
      </c>
      <c r="H330" s="2">
        <v>44362</v>
      </c>
      <c r="I330" s="1" t="s">
        <v>354</v>
      </c>
      <c r="J330" s="1" t="s">
        <v>17</v>
      </c>
      <c r="K330" s="1" t="s">
        <v>18</v>
      </c>
      <c r="L330" s="2">
        <v>44348</v>
      </c>
      <c r="M330" s="6">
        <f>T_SALES[[#This Row],[Profit]]/T_SALES[[#This Row],[Amount]]</f>
        <v>0.35734463276836159</v>
      </c>
    </row>
    <row r="331" spans="1:13" x14ac:dyDescent="0.25">
      <c r="A331" s="1" t="s">
        <v>352</v>
      </c>
      <c r="B331" s="7">
        <v>9894</v>
      </c>
      <c r="C331" s="8">
        <v>3698</v>
      </c>
      <c r="D331">
        <v>20</v>
      </c>
      <c r="E331" s="1" t="s">
        <v>27</v>
      </c>
      <c r="F331" s="1" t="s">
        <v>55</v>
      </c>
      <c r="G331" s="1" t="s">
        <v>35</v>
      </c>
      <c r="H331" s="2">
        <v>45347</v>
      </c>
      <c r="I331" s="1" t="s">
        <v>353</v>
      </c>
      <c r="J331" s="1" t="s">
        <v>17</v>
      </c>
      <c r="K331" s="1" t="s">
        <v>18</v>
      </c>
      <c r="L331" s="2">
        <v>45323</v>
      </c>
      <c r="M331" s="6">
        <f>T_SALES[[#This Row],[Profit]]/T_SALES[[#This Row],[Amount]]</f>
        <v>0.37376187588437437</v>
      </c>
    </row>
    <row r="332" spans="1:13" x14ac:dyDescent="0.25">
      <c r="A332" s="1" t="s">
        <v>352</v>
      </c>
      <c r="B332" s="7">
        <v>9894</v>
      </c>
      <c r="C332" s="8">
        <v>3698</v>
      </c>
      <c r="D332">
        <v>20</v>
      </c>
      <c r="E332" s="1" t="s">
        <v>27</v>
      </c>
      <c r="F332" s="1" t="s">
        <v>55</v>
      </c>
      <c r="G332" s="1" t="s">
        <v>35</v>
      </c>
      <c r="H332" s="2">
        <v>44362</v>
      </c>
      <c r="I332" s="1" t="s">
        <v>354</v>
      </c>
      <c r="J332" s="1" t="s">
        <v>17</v>
      </c>
      <c r="K332" s="1" t="s">
        <v>18</v>
      </c>
      <c r="L332" s="2">
        <v>44348</v>
      </c>
      <c r="M332" s="6">
        <f>T_SALES[[#This Row],[Profit]]/T_SALES[[#This Row],[Amount]]</f>
        <v>0.37376187588437437</v>
      </c>
    </row>
    <row r="333" spans="1:13" x14ac:dyDescent="0.25">
      <c r="A333" s="1" t="s">
        <v>355</v>
      </c>
      <c r="B333" s="7">
        <v>5322</v>
      </c>
      <c r="C333" s="8">
        <v>1423</v>
      </c>
      <c r="D333">
        <v>18</v>
      </c>
      <c r="E333" s="1" t="s">
        <v>39</v>
      </c>
      <c r="F333" s="1" t="s">
        <v>51</v>
      </c>
      <c r="G333" s="1" t="s">
        <v>56</v>
      </c>
      <c r="H333" s="2">
        <v>44903</v>
      </c>
      <c r="I333" s="1" t="s">
        <v>356</v>
      </c>
      <c r="J333" s="1" t="s">
        <v>62</v>
      </c>
      <c r="K333" s="1" t="s">
        <v>111</v>
      </c>
      <c r="L333" s="2">
        <v>44896</v>
      </c>
      <c r="M333" s="6">
        <f>T_SALES[[#This Row],[Profit]]/T_SALES[[#This Row],[Amount]]</f>
        <v>0.26738068395340098</v>
      </c>
    </row>
    <row r="334" spans="1:13" x14ac:dyDescent="0.25">
      <c r="A334" s="1" t="s">
        <v>355</v>
      </c>
      <c r="B334" s="7">
        <v>5322</v>
      </c>
      <c r="C334" s="8">
        <v>1423</v>
      </c>
      <c r="D334">
        <v>18</v>
      </c>
      <c r="E334" s="1" t="s">
        <v>39</v>
      </c>
      <c r="F334" s="1" t="s">
        <v>51</v>
      </c>
      <c r="G334" s="1" t="s">
        <v>56</v>
      </c>
      <c r="H334" s="2">
        <v>45269</v>
      </c>
      <c r="I334" s="1" t="s">
        <v>357</v>
      </c>
      <c r="J334" s="1" t="s">
        <v>62</v>
      </c>
      <c r="K334" s="1" t="s">
        <v>63</v>
      </c>
      <c r="L334" s="2">
        <v>45261</v>
      </c>
      <c r="M334" s="6">
        <f>T_SALES[[#This Row],[Profit]]/T_SALES[[#This Row],[Amount]]</f>
        <v>0.26738068395340098</v>
      </c>
    </row>
    <row r="335" spans="1:13" x14ac:dyDescent="0.25">
      <c r="A335" s="1" t="s">
        <v>358</v>
      </c>
      <c r="B335" s="7">
        <v>2666</v>
      </c>
      <c r="C335" s="8">
        <v>559</v>
      </c>
      <c r="D335">
        <v>14</v>
      </c>
      <c r="E335" s="1" t="s">
        <v>39</v>
      </c>
      <c r="F335" s="1" t="s">
        <v>43</v>
      </c>
      <c r="G335" s="1" t="s">
        <v>56</v>
      </c>
      <c r="H335" s="2">
        <v>44758</v>
      </c>
      <c r="I335" s="1" t="s">
        <v>359</v>
      </c>
      <c r="J335" s="1" t="s">
        <v>82</v>
      </c>
      <c r="K335" s="1" t="s">
        <v>97</v>
      </c>
      <c r="L335" s="2">
        <v>44743</v>
      </c>
      <c r="M335" s="6">
        <f>T_SALES[[#This Row],[Profit]]/T_SALES[[#This Row],[Amount]]</f>
        <v>0.20967741935483872</v>
      </c>
    </row>
    <row r="336" spans="1:13" x14ac:dyDescent="0.25">
      <c r="A336" s="1" t="s">
        <v>360</v>
      </c>
      <c r="B336" s="7">
        <v>8383</v>
      </c>
      <c r="C336" s="8">
        <v>937</v>
      </c>
      <c r="D336">
        <v>4</v>
      </c>
      <c r="E336" s="1" t="s">
        <v>39</v>
      </c>
      <c r="F336" s="1" t="s">
        <v>51</v>
      </c>
      <c r="G336" s="1" t="s">
        <v>15</v>
      </c>
      <c r="H336" s="2">
        <v>45417</v>
      </c>
      <c r="I336" s="1" t="s">
        <v>361</v>
      </c>
      <c r="J336" s="1" t="s">
        <v>17</v>
      </c>
      <c r="K336" s="1" t="s">
        <v>31</v>
      </c>
      <c r="L336" s="2">
        <v>45413</v>
      </c>
      <c r="M336" s="6">
        <f>T_SALES[[#This Row],[Profit]]/T_SALES[[#This Row],[Amount]]</f>
        <v>0.11177382798520816</v>
      </c>
    </row>
    <row r="337" spans="1:13" x14ac:dyDescent="0.25">
      <c r="A337" s="1" t="s">
        <v>362</v>
      </c>
      <c r="B337" s="7">
        <v>7560</v>
      </c>
      <c r="C337" s="8">
        <v>821</v>
      </c>
      <c r="D337">
        <v>4</v>
      </c>
      <c r="E337" s="1" t="s">
        <v>27</v>
      </c>
      <c r="F337" s="1" t="s">
        <v>55</v>
      </c>
      <c r="G337" s="1" t="s">
        <v>35</v>
      </c>
      <c r="H337" s="2">
        <v>44473</v>
      </c>
      <c r="I337" s="1" t="s">
        <v>363</v>
      </c>
      <c r="J337" s="1" t="s">
        <v>20</v>
      </c>
      <c r="K337" s="1" t="s">
        <v>21</v>
      </c>
      <c r="L337" s="2">
        <v>44470</v>
      </c>
      <c r="M337" s="6">
        <f>T_SALES[[#This Row],[Profit]]/T_SALES[[#This Row],[Amount]]</f>
        <v>0.1085978835978836</v>
      </c>
    </row>
    <row r="338" spans="1:13" x14ac:dyDescent="0.25">
      <c r="A338" s="1" t="s">
        <v>364</v>
      </c>
      <c r="B338" s="7">
        <v>1314</v>
      </c>
      <c r="C338" s="8">
        <v>490</v>
      </c>
      <c r="D338">
        <v>16</v>
      </c>
      <c r="E338" s="1" t="s">
        <v>39</v>
      </c>
      <c r="F338" s="1" t="s">
        <v>51</v>
      </c>
      <c r="G338" s="1" t="s">
        <v>15</v>
      </c>
      <c r="H338" s="2">
        <v>44520</v>
      </c>
      <c r="I338" s="1" t="s">
        <v>365</v>
      </c>
      <c r="J338" s="1" t="s">
        <v>23</v>
      </c>
      <c r="K338" s="1" t="s">
        <v>24</v>
      </c>
      <c r="L338" s="2">
        <v>44501</v>
      </c>
      <c r="M338" s="6">
        <f>T_SALES[[#This Row],[Profit]]/T_SALES[[#This Row],[Amount]]</f>
        <v>0.37290715372907152</v>
      </c>
    </row>
    <row r="339" spans="1:13" x14ac:dyDescent="0.25">
      <c r="A339" s="1" t="s">
        <v>364</v>
      </c>
      <c r="B339" s="7">
        <v>4390</v>
      </c>
      <c r="C339" s="8">
        <v>179</v>
      </c>
      <c r="D339">
        <v>1</v>
      </c>
      <c r="E339" s="1" t="s">
        <v>39</v>
      </c>
      <c r="F339" s="1" t="s">
        <v>40</v>
      </c>
      <c r="G339" s="1" t="s">
        <v>29</v>
      </c>
      <c r="H339" s="2">
        <v>44520</v>
      </c>
      <c r="I339" s="1" t="s">
        <v>365</v>
      </c>
      <c r="J339" s="1" t="s">
        <v>23</v>
      </c>
      <c r="K339" s="1" t="s">
        <v>24</v>
      </c>
      <c r="L339" s="2">
        <v>44501</v>
      </c>
      <c r="M339" s="6">
        <f>T_SALES[[#This Row],[Profit]]/T_SALES[[#This Row],[Amount]]</f>
        <v>4.0774487471526198E-2</v>
      </c>
    </row>
    <row r="340" spans="1:13" x14ac:dyDescent="0.25">
      <c r="A340" s="1" t="s">
        <v>364</v>
      </c>
      <c r="B340" s="7">
        <v>1150</v>
      </c>
      <c r="C340" s="8">
        <v>58</v>
      </c>
      <c r="D340">
        <v>7</v>
      </c>
      <c r="E340" s="1" t="s">
        <v>27</v>
      </c>
      <c r="F340" s="1" t="s">
        <v>67</v>
      </c>
      <c r="G340" s="1" t="s">
        <v>29</v>
      </c>
      <c r="H340" s="2">
        <v>44520</v>
      </c>
      <c r="I340" s="1" t="s">
        <v>365</v>
      </c>
      <c r="J340" s="1" t="s">
        <v>23</v>
      </c>
      <c r="K340" s="1" t="s">
        <v>24</v>
      </c>
      <c r="L340" s="2">
        <v>44501</v>
      </c>
      <c r="M340" s="6">
        <f>T_SALES[[#This Row],[Profit]]/T_SALES[[#This Row],[Amount]]</f>
        <v>5.0434782608695654E-2</v>
      </c>
    </row>
    <row r="341" spans="1:13" x14ac:dyDescent="0.25">
      <c r="A341" s="1" t="s">
        <v>366</v>
      </c>
      <c r="B341" s="7">
        <v>1574</v>
      </c>
      <c r="C341" s="8">
        <v>258</v>
      </c>
      <c r="D341">
        <v>17</v>
      </c>
      <c r="E341" s="1" t="s">
        <v>27</v>
      </c>
      <c r="F341" s="1" t="s">
        <v>28</v>
      </c>
      <c r="G341" s="1" t="s">
        <v>35</v>
      </c>
      <c r="H341" s="2">
        <v>44089</v>
      </c>
      <c r="I341" s="1" t="s">
        <v>367</v>
      </c>
      <c r="J341" s="1" t="s">
        <v>37</v>
      </c>
      <c r="K341" s="1" t="s">
        <v>65</v>
      </c>
      <c r="L341" s="2">
        <v>44075</v>
      </c>
      <c r="M341" s="6">
        <f>T_SALES[[#This Row],[Profit]]/T_SALES[[#This Row],[Amount]]</f>
        <v>0.16391359593392629</v>
      </c>
    </row>
    <row r="342" spans="1:13" x14ac:dyDescent="0.25">
      <c r="A342" s="1" t="s">
        <v>366</v>
      </c>
      <c r="B342" s="7">
        <v>5635</v>
      </c>
      <c r="C342" s="8">
        <v>318</v>
      </c>
      <c r="D342">
        <v>17</v>
      </c>
      <c r="E342" s="1" t="s">
        <v>27</v>
      </c>
      <c r="F342" s="1" t="s">
        <v>67</v>
      </c>
      <c r="G342" s="1" t="s">
        <v>15</v>
      </c>
      <c r="H342" s="2">
        <v>44089</v>
      </c>
      <c r="I342" s="1" t="s">
        <v>367</v>
      </c>
      <c r="J342" s="1" t="s">
        <v>37</v>
      </c>
      <c r="K342" s="1" t="s">
        <v>65</v>
      </c>
      <c r="L342" s="2">
        <v>44075</v>
      </c>
      <c r="M342" s="6">
        <f>T_SALES[[#This Row],[Profit]]/T_SALES[[#This Row],[Amount]]</f>
        <v>5.6433007985803016E-2</v>
      </c>
    </row>
    <row r="343" spans="1:13" x14ac:dyDescent="0.25">
      <c r="A343" s="1" t="s">
        <v>366</v>
      </c>
      <c r="B343" s="7">
        <v>6515</v>
      </c>
      <c r="C343" s="8">
        <v>961</v>
      </c>
      <c r="D343">
        <v>11</v>
      </c>
      <c r="E343" s="1" t="s">
        <v>39</v>
      </c>
      <c r="F343" s="1" t="s">
        <v>51</v>
      </c>
      <c r="G343" s="1" t="s">
        <v>29</v>
      </c>
      <c r="H343" s="2">
        <v>44089</v>
      </c>
      <c r="I343" s="1" t="s">
        <v>367</v>
      </c>
      <c r="J343" s="1" t="s">
        <v>37</v>
      </c>
      <c r="K343" s="1" t="s">
        <v>65</v>
      </c>
      <c r="L343" s="2">
        <v>44075</v>
      </c>
      <c r="M343" s="6">
        <f>T_SALES[[#This Row],[Profit]]/T_SALES[[#This Row],[Amount]]</f>
        <v>0.14750575594781273</v>
      </c>
    </row>
    <row r="344" spans="1:13" x14ac:dyDescent="0.25">
      <c r="A344" s="1" t="s">
        <v>368</v>
      </c>
      <c r="B344" s="7">
        <v>1231</v>
      </c>
      <c r="C344" s="8">
        <v>214</v>
      </c>
      <c r="D344">
        <v>20</v>
      </c>
      <c r="E344" s="1" t="s">
        <v>13</v>
      </c>
      <c r="F344" s="1" t="s">
        <v>34</v>
      </c>
      <c r="G344" s="1" t="s">
        <v>29</v>
      </c>
      <c r="H344" s="2">
        <v>44943</v>
      </c>
      <c r="I344" s="1" t="s">
        <v>369</v>
      </c>
      <c r="J344" s="1" t="s">
        <v>82</v>
      </c>
      <c r="K344" s="1" t="s">
        <v>83</v>
      </c>
      <c r="L344" s="2">
        <v>44927</v>
      </c>
      <c r="M344" s="6">
        <f>T_SALES[[#This Row],[Profit]]/T_SALES[[#This Row],[Amount]]</f>
        <v>0.17384240454914704</v>
      </c>
    </row>
    <row r="345" spans="1:13" x14ac:dyDescent="0.25">
      <c r="A345" s="1" t="s">
        <v>368</v>
      </c>
      <c r="B345" s="7">
        <v>1231</v>
      </c>
      <c r="C345" s="8">
        <v>214</v>
      </c>
      <c r="D345">
        <v>20</v>
      </c>
      <c r="E345" s="1" t="s">
        <v>13</v>
      </c>
      <c r="F345" s="1" t="s">
        <v>34</v>
      </c>
      <c r="G345" s="1" t="s">
        <v>29</v>
      </c>
      <c r="H345" s="2">
        <v>43998</v>
      </c>
      <c r="I345" s="1" t="s">
        <v>370</v>
      </c>
      <c r="J345" s="1" t="s">
        <v>23</v>
      </c>
      <c r="K345" s="1" t="s">
        <v>59</v>
      </c>
      <c r="L345" s="2">
        <v>43983</v>
      </c>
      <c r="M345" s="6">
        <f>T_SALES[[#This Row],[Profit]]/T_SALES[[#This Row],[Amount]]</f>
        <v>0.17384240454914704</v>
      </c>
    </row>
    <row r="346" spans="1:13" x14ac:dyDescent="0.25">
      <c r="A346" s="1" t="s">
        <v>371</v>
      </c>
      <c r="B346" s="7">
        <v>6891</v>
      </c>
      <c r="C346" s="8">
        <v>2529</v>
      </c>
      <c r="D346">
        <v>3</v>
      </c>
      <c r="E346" s="1" t="s">
        <v>27</v>
      </c>
      <c r="F346" s="1" t="s">
        <v>67</v>
      </c>
      <c r="G346" s="1" t="s">
        <v>29</v>
      </c>
      <c r="H346" s="2">
        <v>45413</v>
      </c>
      <c r="I346" s="1" t="s">
        <v>372</v>
      </c>
      <c r="J346" s="1" t="s">
        <v>82</v>
      </c>
      <c r="K346" s="1" t="s">
        <v>97</v>
      </c>
      <c r="L346" s="2">
        <v>45413</v>
      </c>
      <c r="M346" s="6">
        <f>T_SALES[[#This Row],[Profit]]/T_SALES[[#This Row],[Amount]]</f>
        <v>0.36700043535045712</v>
      </c>
    </row>
    <row r="347" spans="1:13" x14ac:dyDescent="0.25">
      <c r="A347" s="1" t="s">
        <v>373</v>
      </c>
      <c r="B347" s="7">
        <v>7524</v>
      </c>
      <c r="C347" s="8">
        <v>2308</v>
      </c>
      <c r="D347">
        <v>15</v>
      </c>
      <c r="E347" s="1" t="s">
        <v>13</v>
      </c>
      <c r="F347" s="1" t="s">
        <v>34</v>
      </c>
      <c r="G347" s="1" t="s">
        <v>35</v>
      </c>
      <c r="H347" s="2">
        <v>45267</v>
      </c>
      <c r="I347" s="1" t="s">
        <v>374</v>
      </c>
      <c r="J347" s="1" t="s">
        <v>62</v>
      </c>
      <c r="K347" s="1" t="s">
        <v>74</v>
      </c>
      <c r="L347" s="2">
        <v>45261</v>
      </c>
      <c r="M347" s="6">
        <f>T_SALES[[#This Row],[Profit]]/T_SALES[[#This Row],[Amount]]</f>
        <v>0.30675172780435939</v>
      </c>
    </row>
    <row r="348" spans="1:13" x14ac:dyDescent="0.25">
      <c r="A348" s="1" t="s">
        <v>373</v>
      </c>
      <c r="B348" s="7">
        <v>6864</v>
      </c>
      <c r="C348" s="8">
        <v>1824</v>
      </c>
      <c r="D348">
        <v>14</v>
      </c>
      <c r="E348" s="1" t="s">
        <v>13</v>
      </c>
      <c r="F348" s="1" t="s">
        <v>25</v>
      </c>
      <c r="G348" s="1" t="s">
        <v>41</v>
      </c>
      <c r="H348" s="2">
        <v>45267</v>
      </c>
      <c r="I348" s="1" t="s">
        <v>374</v>
      </c>
      <c r="J348" s="1" t="s">
        <v>62</v>
      </c>
      <c r="K348" s="1" t="s">
        <v>74</v>
      </c>
      <c r="L348" s="2">
        <v>45261</v>
      </c>
      <c r="M348" s="6">
        <f>T_SALES[[#This Row],[Profit]]/T_SALES[[#This Row],[Amount]]</f>
        <v>0.26573426573426573</v>
      </c>
    </row>
    <row r="349" spans="1:13" x14ac:dyDescent="0.25">
      <c r="A349" s="1" t="s">
        <v>375</v>
      </c>
      <c r="B349" s="7">
        <v>4215</v>
      </c>
      <c r="C349" s="8">
        <v>432</v>
      </c>
      <c r="D349">
        <v>14</v>
      </c>
      <c r="E349" s="1" t="s">
        <v>39</v>
      </c>
      <c r="F349" s="1" t="s">
        <v>43</v>
      </c>
      <c r="G349" s="1" t="s">
        <v>29</v>
      </c>
      <c r="H349" s="2">
        <v>45324</v>
      </c>
      <c r="I349" s="1" t="s">
        <v>376</v>
      </c>
      <c r="J349" s="1" t="s">
        <v>82</v>
      </c>
      <c r="K349" s="1" t="s">
        <v>83</v>
      </c>
      <c r="L349" s="2">
        <v>45323</v>
      </c>
      <c r="M349" s="6">
        <f>T_SALES[[#This Row],[Profit]]/T_SALES[[#This Row],[Amount]]</f>
        <v>0.10249110320284698</v>
      </c>
    </row>
    <row r="350" spans="1:13" x14ac:dyDescent="0.25">
      <c r="A350" s="1" t="s">
        <v>377</v>
      </c>
      <c r="B350" s="7">
        <v>622</v>
      </c>
      <c r="C350" s="8">
        <v>218</v>
      </c>
      <c r="D350">
        <v>19</v>
      </c>
      <c r="E350" s="1" t="s">
        <v>39</v>
      </c>
      <c r="F350" s="1" t="s">
        <v>90</v>
      </c>
      <c r="G350" s="1" t="s">
        <v>41</v>
      </c>
      <c r="H350" s="2">
        <v>45466</v>
      </c>
      <c r="I350" s="1" t="s">
        <v>378</v>
      </c>
      <c r="J350" s="1" t="s">
        <v>37</v>
      </c>
      <c r="K350" s="1" t="s">
        <v>65</v>
      </c>
      <c r="L350" s="2">
        <v>45444</v>
      </c>
      <c r="M350" s="6">
        <f>T_SALES[[#This Row],[Profit]]/T_SALES[[#This Row],[Amount]]</f>
        <v>0.35048231511254019</v>
      </c>
    </row>
    <row r="351" spans="1:13" x14ac:dyDescent="0.25">
      <c r="A351" s="1" t="s">
        <v>377</v>
      </c>
      <c r="B351" s="7">
        <v>1755</v>
      </c>
      <c r="C351" s="8">
        <v>495</v>
      </c>
      <c r="D351">
        <v>18</v>
      </c>
      <c r="E351" s="1" t="s">
        <v>27</v>
      </c>
      <c r="F351" s="1" t="s">
        <v>28</v>
      </c>
      <c r="G351" s="1" t="s">
        <v>15</v>
      </c>
      <c r="H351" s="2">
        <v>45466</v>
      </c>
      <c r="I351" s="1" t="s">
        <v>378</v>
      </c>
      <c r="J351" s="1" t="s">
        <v>37</v>
      </c>
      <c r="K351" s="1" t="s">
        <v>65</v>
      </c>
      <c r="L351" s="2">
        <v>45444</v>
      </c>
      <c r="M351" s="6">
        <f>T_SALES[[#This Row],[Profit]]/T_SALES[[#This Row],[Amount]]</f>
        <v>0.28205128205128205</v>
      </c>
    </row>
    <row r="352" spans="1:13" x14ac:dyDescent="0.25">
      <c r="A352" s="1" t="s">
        <v>377</v>
      </c>
      <c r="B352" s="7">
        <v>8020</v>
      </c>
      <c r="C352" s="8">
        <v>3898</v>
      </c>
      <c r="D352">
        <v>20</v>
      </c>
      <c r="E352" s="1" t="s">
        <v>13</v>
      </c>
      <c r="F352" s="1" t="s">
        <v>14</v>
      </c>
      <c r="G352" s="1" t="s">
        <v>35</v>
      </c>
      <c r="H352" s="2">
        <v>45466</v>
      </c>
      <c r="I352" s="1" t="s">
        <v>378</v>
      </c>
      <c r="J352" s="1" t="s">
        <v>37</v>
      </c>
      <c r="K352" s="1" t="s">
        <v>65</v>
      </c>
      <c r="L352" s="2">
        <v>45444</v>
      </c>
      <c r="M352" s="6">
        <f>T_SALES[[#This Row],[Profit]]/T_SALES[[#This Row],[Amount]]</f>
        <v>0.48603491271820448</v>
      </c>
    </row>
    <row r="353" spans="1:13" x14ac:dyDescent="0.25">
      <c r="A353" s="1" t="s">
        <v>379</v>
      </c>
      <c r="B353" s="7">
        <v>7333</v>
      </c>
      <c r="C353" s="8">
        <v>1576</v>
      </c>
      <c r="D353">
        <v>4</v>
      </c>
      <c r="E353" s="1" t="s">
        <v>13</v>
      </c>
      <c r="F353" s="1" t="s">
        <v>34</v>
      </c>
      <c r="G353" s="1" t="s">
        <v>41</v>
      </c>
      <c r="H353" s="2">
        <v>45450</v>
      </c>
      <c r="I353" s="1" t="s">
        <v>380</v>
      </c>
      <c r="J353" s="1" t="s">
        <v>23</v>
      </c>
      <c r="K353" s="1" t="s">
        <v>24</v>
      </c>
      <c r="L353" s="2">
        <v>45444</v>
      </c>
      <c r="M353" s="6">
        <f>T_SALES[[#This Row],[Profit]]/T_SALES[[#This Row],[Amount]]</f>
        <v>0.21491885994817947</v>
      </c>
    </row>
    <row r="354" spans="1:13" x14ac:dyDescent="0.25">
      <c r="A354" s="1" t="s">
        <v>381</v>
      </c>
      <c r="B354" s="7">
        <v>7690</v>
      </c>
      <c r="C354" s="8">
        <v>1134</v>
      </c>
      <c r="D354">
        <v>4</v>
      </c>
      <c r="E354" s="1" t="s">
        <v>13</v>
      </c>
      <c r="F354" s="1" t="s">
        <v>14</v>
      </c>
      <c r="G354" s="1" t="s">
        <v>56</v>
      </c>
      <c r="H354" s="2">
        <v>45212</v>
      </c>
      <c r="I354" s="1" t="s">
        <v>382</v>
      </c>
      <c r="J354" s="1" t="s">
        <v>23</v>
      </c>
      <c r="K354" s="1" t="s">
        <v>59</v>
      </c>
      <c r="L354" s="2">
        <v>45200</v>
      </c>
      <c r="M354" s="6">
        <f>T_SALES[[#This Row],[Profit]]/T_SALES[[#This Row],[Amount]]</f>
        <v>0.14746423927178154</v>
      </c>
    </row>
    <row r="355" spans="1:13" x14ac:dyDescent="0.25">
      <c r="A355" s="1" t="s">
        <v>381</v>
      </c>
      <c r="B355" s="7">
        <v>912</v>
      </c>
      <c r="C355" s="8">
        <v>246</v>
      </c>
      <c r="D355">
        <v>2</v>
      </c>
      <c r="E355" s="1" t="s">
        <v>39</v>
      </c>
      <c r="F355" s="1" t="s">
        <v>51</v>
      </c>
      <c r="G355" s="1" t="s">
        <v>35</v>
      </c>
      <c r="H355" s="2">
        <v>45212</v>
      </c>
      <c r="I355" s="1" t="s">
        <v>382</v>
      </c>
      <c r="J355" s="1" t="s">
        <v>23</v>
      </c>
      <c r="K355" s="1" t="s">
        <v>59</v>
      </c>
      <c r="L355" s="2">
        <v>45200</v>
      </c>
      <c r="M355" s="6">
        <f>T_SALES[[#This Row],[Profit]]/T_SALES[[#This Row],[Amount]]</f>
        <v>0.26973684210526316</v>
      </c>
    </row>
    <row r="356" spans="1:13" x14ac:dyDescent="0.25">
      <c r="A356" s="1" t="s">
        <v>383</v>
      </c>
      <c r="B356" s="7">
        <v>2791</v>
      </c>
      <c r="C356" s="8">
        <v>894</v>
      </c>
      <c r="D356">
        <v>14</v>
      </c>
      <c r="E356" s="1" t="s">
        <v>13</v>
      </c>
      <c r="F356" s="1" t="s">
        <v>34</v>
      </c>
      <c r="G356" s="1" t="s">
        <v>56</v>
      </c>
      <c r="H356" s="2">
        <v>44842</v>
      </c>
      <c r="I356" s="1" t="s">
        <v>384</v>
      </c>
      <c r="J356" s="1" t="s">
        <v>62</v>
      </c>
      <c r="K356" s="1" t="s">
        <v>74</v>
      </c>
      <c r="L356" s="2">
        <v>44835</v>
      </c>
      <c r="M356" s="6">
        <f>T_SALES[[#This Row],[Profit]]/T_SALES[[#This Row],[Amount]]</f>
        <v>0.32031529917592261</v>
      </c>
    </row>
    <row r="357" spans="1:13" x14ac:dyDescent="0.25">
      <c r="A357" s="1" t="s">
        <v>383</v>
      </c>
      <c r="B357" s="7">
        <v>2791</v>
      </c>
      <c r="C357" s="8">
        <v>894</v>
      </c>
      <c r="D357">
        <v>14</v>
      </c>
      <c r="E357" s="1" t="s">
        <v>13</v>
      </c>
      <c r="F357" s="1" t="s">
        <v>34</v>
      </c>
      <c r="G357" s="1" t="s">
        <v>56</v>
      </c>
      <c r="H357" s="2">
        <v>45226</v>
      </c>
      <c r="I357" s="1" t="s">
        <v>385</v>
      </c>
      <c r="J357" s="1" t="s">
        <v>82</v>
      </c>
      <c r="K357" s="1" t="s">
        <v>89</v>
      </c>
      <c r="L357" s="2">
        <v>45200</v>
      </c>
      <c r="M357" s="6">
        <f>T_SALES[[#This Row],[Profit]]/T_SALES[[#This Row],[Amount]]</f>
        <v>0.32031529917592261</v>
      </c>
    </row>
    <row r="358" spans="1:13" x14ac:dyDescent="0.25">
      <c r="A358" s="1" t="s">
        <v>383</v>
      </c>
      <c r="B358" s="7">
        <v>2791</v>
      </c>
      <c r="C358" s="8">
        <v>894</v>
      </c>
      <c r="D358">
        <v>14</v>
      </c>
      <c r="E358" s="1" t="s">
        <v>13</v>
      </c>
      <c r="F358" s="1" t="s">
        <v>34</v>
      </c>
      <c r="G358" s="1" t="s">
        <v>56</v>
      </c>
      <c r="H358" s="2">
        <v>44236</v>
      </c>
      <c r="I358" s="1" t="s">
        <v>386</v>
      </c>
      <c r="J358" s="1" t="s">
        <v>62</v>
      </c>
      <c r="K358" s="1" t="s">
        <v>63</v>
      </c>
      <c r="L358" s="2">
        <v>44228</v>
      </c>
      <c r="M358" s="6">
        <f>T_SALES[[#This Row],[Profit]]/T_SALES[[#This Row],[Amount]]</f>
        <v>0.32031529917592261</v>
      </c>
    </row>
    <row r="359" spans="1:13" x14ac:dyDescent="0.25">
      <c r="A359" s="1" t="s">
        <v>383</v>
      </c>
      <c r="B359" s="7">
        <v>6223</v>
      </c>
      <c r="C359" s="8">
        <v>1478</v>
      </c>
      <c r="D359">
        <v>3</v>
      </c>
      <c r="E359" s="1" t="s">
        <v>39</v>
      </c>
      <c r="F359" s="1" t="s">
        <v>51</v>
      </c>
      <c r="G359" s="1" t="s">
        <v>29</v>
      </c>
      <c r="H359" s="2">
        <v>44842</v>
      </c>
      <c r="I359" s="1" t="s">
        <v>384</v>
      </c>
      <c r="J359" s="1" t="s">
        <v>62</v>
      </c>
      <c r="K359" s="1" t="s">
        <v>74</v>
      </c>
      <c r="L359" s="2">
        <v>44835</v>
      </c>
      <c r="M359" s="6">
        <f>T_SALES[[#This Row],[Profit]]/T_SALES[[#This Row],[Amount]]</f>
        <v>0.23750602603246024</v>
      </c>
    </row>
    <row r="360" spans="1:13" x14ac:dyDescent="0.25">
      <c r="A360" s="1" t="s">
        <v>383</v>
      </c>
      <c r="B360" s="7">
        <v>6223</v>
      </c>
      <c r="C360" s="8">
        <v>1478</v>
      </c>
      <c r="D360">
        <v>3</v>
      </c>
      <c r="E360" s="1" t="s">
        <v>39</v>
      </c>
      <c r="F360" s="1" t="s">
        <v>51</v>
      </c>
      <c r="G360" s="1" t="s">
        <v>29</v>
      </c>
      <c r="H360" s="2">
        <v>45226</v>
      </c>
      <c r="I360" s="1" t="s">
        <v>385</v>
      </c>
      <c r="J360" s="1" t="s">
        <v>82</v>
      </c>
      <c r="K360" s="1" t="s">
        <v>89</v>
      </c>
      <c r="L360" s="2">
        <v>45200</v>
      </c>
      <c r="M360" s="6">
        <f>T_SALES[[#This Row],[Profit]]/T_SALES[[#This Row],[Amount]]</f>
        <v>0.23750602603246024</v>
      </c>
    </row>
    <row r="361" spans="1:13" x14ac:dyDescent="0.25">
      <c r="A361" s="1" t="s">
        <v>383</v>
      </c>
      <c r="B361" s="7">
        <v>6223</v>
      </c>
      <c r="C361" s="8">
        <v>1478</v>
      </c>
      <c r="D361">
        <v>3</v>
      </c>
      <c r="E361" s="1" t="s">
        <v>39</v>
      </c>
      <c r="F361" s="1" t="s">
        <v>51</v>
      </c>
      <c r="G361" s="1" t="s">
        <v>29</v>
      </c>
      <c r="H361" s="2">
        <v>44236</v>
      </c>
      <c r="I361" s="1" t="s">
        <v>386</v>
      </c>
      <c r="J361" s="1" t="s">
        <v>62</v>
      </c>
      <c r="K361" s="1" t="s">
        <v>63</v>
      </c>
      <c r="L361" s="2">
        <v>44228</v>
      </c>
      <c r="M361" s="6">
        <f>T_SALES[[#This Row],[Profit]]/T_SALES[[#This Row],[Amount]]</f>
        <v>0.23750602603246024</v>
      </c>
    </row>
    <row r="362" spans="1:13" x14ac:dyDescent="0.25">
      <c r="A362" s="1" t="s">
        <v>383</v>
      </c>
      <c r="B362" s="7">
        <v>8943</v>
      </c>
      <c r="C362" s="8">
        <v>3121</v>
      </c>
      <c r="D362">
        <v>17</v>
      </c>
      <c r="E362" s="1" t="s">
        <v>39</v>
      </c>
      <c r="F362" s="1" t="s">
        <v>43</v>
      </c>
      <c r="G362" s="1" t="s">
        <v>29</v>
      </c>
      <c r="H362" s="2">
        <v>44842</v>
      </c>
      <c r="I362" s="1" t="s">
        <v>384</v>
      </c>
      <c r="J362" s="1" t="s">
        <v>62</v>
      </c>
      <c r="K362" s="1" t="s">
        <v>74</v>
      </c>
      <c r="L362" s="2">
        <v>44835</v>
      </c>
      <c r="M362" s="6">
        <f>T_SALES[[#This Row],[Profit]]/T_SALES[[#This Row],[Amount]]</f>
        <v>0.34898803533489881</v>
      </c>
    </row>
    <row r="363" spans="1:13" x14ac:dyDescent="0.25">
      <c r="A363" s="1" t="s">
        <v>383</v>
      </c>
      <c r="B363" s="7">
        <v>8943</v>
      </c>
      <c r="C363" s="8">
        <v>3121</v>
      </c>
      <c r="D363">
        <v>17</v>
      </c>
      <c r="E363" s="1" t="s">
        <v>39</v>
      </c>
      <c r="F363" s="1" t="s">
        <v>43</v>
      </c>
      <c r="G363" s="1" t="s">
        <v>29</v>
      </c>
      <c r="H363" s="2">
        <v>45226</v>
      </c>
      <c r="I363" s="1" t="s">
        <v>385</v>
      </c>
      <c r="J363" s="1" t="s">
        <v>82</v>
      </c>
      <c r="K363" s="1" t="s">
        <v>89</v>
      </c>
      <c r="L363" s="2">
        <v>45200</v>
      </c>
      <c r="M363" s="6">
        <f>T_SALES[[#This Row],[Profit]]/T_SALES[[#This Row],[Amount]]</f>
        <v>0.34898803533489881</v>
      </c>
    </row>
    <row r="364" spans="1:13" x14ac:dyDescent="0.25">
      <c r="A364" s="1" t="s">
        <v>383</v>
      </c>
      <c r="B364" s="7">
        <v>8943</v>
      </c>
      <c r="C364" s="8">
        <v>3121</v>
      </c>
      <c r="D364">
        <v>17</v>
      </c>
      <c r="E364" s="1" t="s">
        <v>39</v>
      </c>
      <c r="F364" s="1" t="s">
        <v>43</v>
      </c>
      <c r="G364" s="1" t="s">
        <v>29</v>
      </c>
      <c r="H364" s="2">
        <v>44236</v>
      </c>
      <c r="I364" s="1" t="s">
        <v>386</v>
      </c>
      <c r="J364" s="1" t="s">
        <v>62</v>
      </c>
      <c r="K364" s="1" t="s">
        <v>63</v>
      </c>
      <c r="L364" s="2">
        <v>44228</v>
      </c>
      <c r="M364" s="6">
        <f>T_SALES[[#This Row],[Profit]]/T_SALES[[#This Row],[Amount]]</f>
        <v>0.34898803533489881</v>
      </c>
    </row>
    <row r="365" spans="1:13" x14ac:dyDescent="0.25">
      <c r="A365" s="1" t="s">
        <v>383</v>
      </c>
      <c r="B365" s="7">
        <v>3297</v>
      </c>
      <c r="C365" s="8">
        <v>102</v>
      </c>
      <c r="D365">
        <v>12</v>
      </c>
      <c r="E365" s="1" t="s">
        <v>13</v>
      </c>
      <c r="F365" s="1" t="s">
        <v>70</v>
      </c>
      <c r="G365" s="1" t="s">
        <v>41</v>
      </c>
      <c r="H365" s="2">
        <v>44842</v>
      </c>
      <c r="I365" s="1" t="s">
        <v>384</v>
      </c>
      <c r="J365" s="1" t="s">
        <v>62</v>
      </c>
      <c r="K365" s="1" t="s">
        <v>74</v>
      </c>
      <c r="L365" s="2">
        <v>44835</v>
      </c>
      <c r="M365" s="6">
        <f>T_SALES[[#This Row],[Profit]]/T_SALES[[#This Row],[Amount]]</f>
        <v>3.0937215650591446E-2</v>
      </c>
    </row>
    <row r="366" spans="1:13" x14ac:dyDescent="0.25">
      <c r="A366" s="1" t="s">
        <v>383</v>
      </c>
      <c r="B366" s="7">
        <v>3297</v>
      </c>
      <c r="C366" s="8">
        <v>102</v>
      </c>
      <c r="D366">
        <v>12</v>
      </c>
      <c r="E366" s="1" t="s">
        <v>13</v>
      </c>
      <c r="F366" s="1" t="s">
        <v>70</v>
      </c>
      <c r="G366" s="1" t="s">
        <v>41</v>
      </c>
      <c r="H366" s="2">
        <v>45226</v>
      </c>
      <c r="I366" s="1" t="s">
        <v>385</v>
      </c>
      <c r="J366" s="1" t="s">
        <v>82</v>
      </c>
      <c r="K366" s="1" t="s">
        <v>89</v>
      </c>
      <c r="L366" s="2">
        <v>45200</v>
      </c>
      <c r="M366" s="6">
        <f>T_SALES[[#This Row],[Profit]]/T_SALES[[#This Row],[Amount]]</f>
        <v>3.0937215650591446E-2</v>
      </c>
    </row>
    <row r="367" spans="1:13" x14ac:dyDescent="0.25">
      <c r="A367" s="1" t="s">
        <v>383</v>
      </c>
      <c r="B367" s="7">
        <v>3297</v>
      </c>
      <c r="C367" s="8">
        <v>102</v>
      </c>
      <c r="D367">
        <v>12</v>
      </c>
      <c r="E367" s="1" t="s">
        <v>13</v>
      </c>
      <c r="F367" s="1" t="s">
        <v>70</v>
      </c>
      <c r="G367" s="1" t="s">
        <v>41</v>
      </c>
      <c r="H367" s="2">
        <v>44236</v>
      </c>
      <c r="I367" s="1" t="s">
        <v>386</v>
      </c>
      <c r="J367" s="1" t="s">
        <v>62</v>
      </c>
      <c r="K367" s="1" t="s">
        <v>63</v>
      </c>
      <c r="L367" s="2">
        <v>44228</v>
      </c>
      <c r="M367" s="6">
        <f>T_SALES[[#This Row],[Profit]]/T_SALES[[#This Row],[Amount]]</f>
        <v>3.0937215650591446E-2</v>
      </c>
    </row>
    <row r="368" spans="1:13" x14ac:dyDescent="0.25">
      <c r="A368" s="1" t="s">
        <v>387</v>
      </c>
      <c r="B368" s="7">
        <v>8769</v>
      </c>
      <c r="C368" s="8">
        <v>1989</v>
      </c>
      <c r="D368">
        <v>20</v>
      </c>
      <c r="E368" s="1" t="s">
        <v>27</v>
      </c>
      <c r="F368" s="1" t="s">
        <v>55</v>
      </c>
      <c r="G368" s="1" t="s">
        <v>15</v>
      </c>
      <c r="H368" s="2">
        <v>44138</v>
      </c>
      <c r="I368" s="1" t="s">
        <v>388</v>
      </c>
      <c r="J368" s="1" t="s">
        <v>20</v>
      </c>
      <c r="K368" s="1" t="s">
        <v>21</v>
      </c>
      <c r="L368" s="2">
        <v>44136</v>
      </c>
      <c r="M368" s="6">
        <f>T_SALES[[#This Row],[Profit]]/T_SALES[[#This Row],[Amount]]</f>
        <v>0.22682175846732808</v>
      </c>
    </row>
    <row r="369" spans="1:13" x14ac:dyDescent="0.25">
      <c r="A369" s="1" t="s">
        <v>389</v>
      </c>
      <c r="B369" s="7">
        <v>9057</v>
      </c>
      <c r="C369" s="8">
        <v>1888</v>
      </c>
      <c r="D369">
        <v>19</v>
      </c>
      <c r="E369" s="1" t="s">
        <v>13</v>
      </c>
      <c r="F369" s="1" t="s">
        <v>25</v>
      </c>
      <c r="G369" s="1" t="s">
        <v>56</v>
      </c>
      <c r="H369" s="2">
        <v>44711</v>
      </c>
      <c r="I369" s="1" t="s">
        <v>390</v>
      </c>
      <c r="J369" s="1" t="s">
        <v>17</v>
      </c>
      <c r="K369" s="1" t="s">
        <v>31</v>
      </c>
      <c r="L369" s="2">
        <v>44682</v>
      </c>
      <c r="M369" s="6">
        <f>T_SALES[[#This Row],[Profit]]/T_SALES[[#This Row],[Amount]]</f>
        <v>0.20845754664900076</v>
      </c>
    </row>
    <row r="370" spans="1:13" x14ac:dyDescent="0.25">
      <c r="A370" s="1" t="s">
        <v>389</v>
      </c>
      <c r="B370" s="7">
        <v>6864</v>
      </c>
      <c r="C370" s="8">
        <v>3275</v>
      </c>
      <c r="D370">
        <v>11</v>
      </c>
      <c r="E370" s="1" t="s">
        <v>39</v>
      </c>
      <c r="F370" s="1" t="s">
        <v>40</v>
      </c>
      <c r="G370" s="1" t="s">
        <v>41</v>
      </c>
      <c r="H370" s="2">
        <v>44711</v>
      </c>
      <c r="I370" s="1" t="s">
        <v>390</v>
      </c>
      <c r="J370" s="1" t="s">
        <v>17</v>
      </c>
      <c r="K370" s="1" t="s">
        <v>31</v>
      </c>
      <c r="L370" s="2">
        <v>44682</v>
      </c>
      <c r="M370" s="6">
        <f>T_SALES[[#This Row],[Profit]]/T_SALES[[#This Row],[Amount]]</f>
        <v>0.47712703962703962</v>
      </c>
    </row>
    <row r="371" spans="1:13" x14ac:dyDescent="0.25">
      <c r="A371" s="1" t="s">
        <v>389</v>
      </c>
      <c r="B371" s="7">
        <v>9200</v>
      </c>
      <c r="C371" s="8">
        <v>809</v>
      </c>
      <c r="D371">
        <v>13</v>
      </c>
      <c r="E371" s="1" t="s">
        <v>13</v>
      </c>
      <c r="F371" s="1" t="s">
        <v>34</v>
      </c>
      <c r="G371" s="1" t="s">
        <v>56</v>
      </c>
      <c r="H371" s="2">
        <v>44711</v>
      </c>
      <c r="I371" s="1" t="s">
        <v>390</v>
      </c>
      <c r="J371" s="1" t="s">
        <v>17</v>
      </c>
      <c r="K371" s="1" t="s">
        <v>31</v>
      </c>
      <c r="L371" s="2">
        <v>44682</v>
      </c>
      <c r="M371" s="6">
        <f>T_SALES[[#This Row],[Profit]]/T_SALES[[#This Row],[Amount]]</f>
        <v>8.7934782608695652E-2</v>
      </c>
    </row>
    <row r="372" spans="1:13" x14ac:dyDescent="0.25">
      <c r="A372" s="1" t="s">
        <v>391</v>
      </c>
      <c r="B372" s="7">
        <v>6113</v>
      </c>
      <c r="C372" s="8">
        <v>2508</v>
      </c>
      <c r="D372">
        <v>6</v>
      </c>
      <c r="E372" s="1" t="s">
        <v>13</v>
      </c>
      <c r="F372" s="1" t="s">
        <v>34</v>
      </c>
      <c r="G372" s="1" t="s">
        <v>15</v>
      </c>
      <c r="H372" s="2">
        <v>45459</v>
      </c>
      <c r="I372" s="1" t="s">
        <v>392</v>
      </c>
      <c r="J372" s="1" t="s">
        <v>17</v>
      </c>
      <c r="K372" s="1" t="s">
        <v>31</v>
      </c>
      <c r="L372" s="2">
        <v>45444</v>
      </c>
      <c r="M372" s="6">
        <f>T_SALES[[#This Row],[Profit]]/T_SALES[[#This Row],[Amount]]</f>
        <v>0.41027318828725667</v>
      </c>
    </row>
    <row r="373" spans="1:13" x14ac:dyDescent="0.25">
      <c r="A373" s="1" t="s">
        <v>391</v>
      </c>
      <c r="B373" s="7">
        <v>7733</v>
      </c>
      <c r="C373" s="8">
        <v>2784</v>
      </c>
      <c r="D373">
        <v>15</v>
      </c>
      <c r="E373" s="1" t="s">
        <v>39</v>
      </c>
      <c r="F373" s="1" t="s">
        <v>40</v>
      </c>
      <c r="G373" s="1" t="s">
        <v>35</v>
      </c>
      <c r="H373" s="2">
        <v>45459</v>
      </c>
      <c r="I373" s="1" t="s">
        <v>392</v>
      </c>
      <c r="J373" s="1" t="s">
        <v>17</v>
      </c>
      <c r="K373" s="1" t="s">
        <v>31</v>
      </c>
      <c r="L373" s="2">
        <v>45444</v>
      </c>
      <c r="M373" s="6">
        <f>T_SALES[[#This Row],[Profit]]/T_SALES[[#This Row],[Amount]]</f>
        <v>0.36001551791025477</v>
      </c>
    </row>
    <row r="374" spans="1:13" x14ac:dyDescent="0.25">
      <c r="A374" s="1" t="s">
        <v>391</v>
      </c>
      <c r="B374" s="7">
        <v>8524</v>
      </c>
      <c r="C374" s="8">
        <v>154</v>
      </c>
      <c r="D374">
        <v>14</v>
      </c>
      <c r="E374" s="1" t="s">
        <v>39</v>
      </c>
      <c r="F374" s="1" t="s">
        <v>40</v>
      </c>
      <c r="G374" s="1" t="s">
        <v>56</v>
      </c>
      <c r="H374" s="2">
        <v>45459</v>
      </c>
      <c r="I374" s="1" t="s">
        <v>392</v>
      </c>
      <c r="J374" s="1" t="s">
        <v>17</v>
      </c>
      <c r="K374" s="1" t="s">
        <v>31</v>
      </c>
      <c r="L374" s="2">
        <v>45444</v>
      </c>
      <c r="M374" s="6">
        <f>T_SALES[[#This Row],[Profit]]/T_SALES[[#This Row],[Amount]]</f>
        <v>1.8066635382449556E-2</v>
      </c>
    </row>
    <row r="375" spans="1:13" x14ac:dyDescent="0.25">
      <c r="A375" s="1" t="s">
        <v>391</v>
      </c>
      <c r="B375" s="7">
        <v>6187</v>
      </c>
      <c r="C375" s="8">
        <v>2344</v>
      </c>
      <c r="D375">
        <v>15</v>
      </c>
      <c r="E375" s="1" t="s">
        <v>39</v>
      </c>
      <c r="F375" s="1" t="s">
        <v>90</v>
      </c>
      <c r="G375" s="1" t="s">
        <v>35</v>
      </c>
      <c r="H375" s="2">
        <v>45459</v>
      </c>
      <c r="I375" s="1" t="s">
        <v>392</v>
      </c>
      <c r="J375" s="1" t="s">
        <v>17</v>
      </c>
      <c r="K375" s="1" t="s">
        <v>31</v>
      </c>
      <c r="L375" s="2">
        <v>45444</v>
      </c>
      <c r="M375" s="6">
        <f>T_SALES[[#This Row],[Profit]]/T_SALES[[#This Row],[Amount]]</f>
        <v>0.37885889768870212</v>
      </c>
    </row>
    <row r="376" spans="1:13" x14ac:dyDescent="0.25">
      <c r="A376" s="1" t="s">
        <v>393</v>
      </c>
      <c r="B376" s="7">
        <v>4364</v>
      </c>
      <c r="C376" s="8">
        <v>148</v>
      </c>
      <c r="D376">
        <v>18</v>
      </c>
      <c r="E376" s="1" t="s">
        <v>39</v>
      </c>
      <c r="F376" s="1" t="s">
        <v>40</v>
      </c>
      <c r="G376" s="1" t="s">
        <v>35</v>
      </c>
      <c r="H376" s="2">
        <v>44757</v>
      </c>
      <c r="I376" s="1" t="s">
        <v>394</v>
      </c>
      <c r="J376" s="1" t="s">
        <v>82</v>
      </c>
      <c r="K376" s="1" t="s">
        <v>89</v>
      </c>
      <c r="L376" s="2">
        <v>44743</v>
      </c>
      <c r="M376" s="6">
        <f>T_SALES[[#This Row],[Profit]]/T_SALES[[#This Row],[Amount]]</f>
        <v>3.3913840513290557E-2</v>
      </c>
    </row>
    <row r="377" spans="1:13" x14ac:dyDescent="0.25">
      <c r="A377" s="1" t="s">
        <v>393</v>
      </c>
      <c r="B377" s="7">
        <v>736</v>
      </c>
      <c r="C377" s="8">
        <v>286</v>
      </c>
      <c r="D377">
        <v>12</v>
      </c>
      <c r="E377" s="1" t="s">
        <v>27</v>
      </c>
      <c r="F377" s="1" t="s">
        <v>28</v>
      </c>
      <c r="G377" s="1" t="s">
        <v>35</v>
      </c>
      <c r="H377" s="2">
        <v>44757</v>
      </c>
      <c r="I377" s="1" t="s">
        <v>394</v>
      </c>
      <c r="J377" s="1" t="s">
        <v>82</v>
      </c>
      <c r="K377" s="1" t="s">
        <v>89</v>
      </c>
      <c r="L377" s="2">
        <v>44743</v>
      </c>
      <c r="M377" s="6">
        <f>T_SALES[[#This Row],[Profit]]/T_SALES[[#This Row],[Amount]]</f>
        <v>0.38858695652173914</v>
      </c>
    </row>
    <row r="378" spans="1:13" x14ac:dyDescent="0.25">
      <c r="A378" s="1" t="s">
        <v>395</v>
      </c>
      <c r="B378" s="7">
        <v>9905</v>
      </c>
      <c r="C378" s="8">
        <v>633</v>
      </c>
      <c r="D378">
        <v>17</v>
      </c>
      <c r="E378" s="1" t="s">
        <v>27</v>
      </c>
      <c r="F378" s="1" t="s">
        <v>28</v>
      </c>
      <c r="G378" s="1" t="s">
        <v>35</v>
      </c>
      <c r="H378" s="2">
        <v>44395</v>
      </c>
      <c r="I378" s="1" t="s">
        <v>396</v>
      </c>
      <c r="J378" s="1" t="s">
        <v>62</v>
      </c>
      <c r="K378" s="1" t="s">
        <v>63</v>
      </c>
      <c r="L378" s="2">
        <v>44378</v>
      </c>
      <c r="M378" s="6">
        <f>T_SALES[[#This Row],[Profit]]/T_SALES[[#This Row],[Amount]]</f>
        <v>6.3907117617364964E-2</v>
      </c>
    </row>
    <row r="379" spans="1:13" x14ac:dyDescent="0.25">
      <c r="A379" s="1" t="s">
        <v>395</v>
      </c>
      <c r="B379" s="7">
        <v>9905</v>
      </c>
      <c r="C379" s="8">
        <v>633</v>
      </c>
      <c r="D379">
        <v>17</v>
      </c>
      <c r="E379" s="1" t="s">
        <v>27</v>
      </c>
      <c r="F379" s="1" t="s">
        <v>28</v>
      </c>
      <c r="G379" s="1" t="s">
        <v>35</v>
      </c>
      <c r="H379" s="2">
        <v>44471</v>
      </c>
      <c r="I379" s="1" t="s">
        <v>397</v>
      </c>
      <c r="J379" s="1" t="s">
        <v>17</v>
      </c>
      <c r="K379" s="1" t="s">
        <v>121</v>
      </c>
      <c r="L379" s="2">
        <v>44470</v>
      </c>
      <c r="M379" s="6">
        <f>T_SALES[[#This Row],[Profit]]/T_SALES[[#This Row],[Amount]]</f>
        <v>6.3907117617364964E-2</v>
      </c>
    </row>
    <row r="380" spans="1:13" x14ac:dyDescent="0.25">
      <c r="A380" s="1" t="s">
        <v>398</v>
      </c>
      <c r="B380" s="7">
        <v>2493</v>
      </c>
      <c r="C380" s="8">
        <v>1221</v>
      </c>
      <c r="D380">
        <v>9</v>
      </c>
      <c r="E380" s="1" t="s">
        <v>27</v>
      </c>
      <c r="F380" s="1" t="s">
        <v>55</v>
      </c>
      <c r="G380" s="1" t="s">
        <v>41</v>
      </c>
      <c r="H380" s="2">
        <v>45398</v>
      </c>
      <c r="I380" s="1" t="s">
        <v>399</v>
      </c>
      <c r="J380" s="1" t="s">
        <v>20</v>
      </c>
      <c r="K380" s="1" t="s">
        <v>54</v>
      </c>
      <c r="L380" s="2">
        <v>45383</v>
      </c>
      <c r="M380" s="6">
        <f>T_SALES[[#This Row],[Profit]]/T_SALES[[#This Row],[Amount]]</f>
        <v>0.48977135980746089</v>
      </c>
    </row>
    <row r="381" spans="1:13" x14ac:dyDescent="0.25">
      <c r="A381" s="1" t="s">
        <v>398</v>
      </c>
      <c r="B381" s="7">
        <v>9849</v>
      </c>
      <c r="C381" s="8">
        <v>963</v>
      </c>
      <c r="D381">
        <v>1</v>
      </c>
      <c r="E381" s="1" t="s">
        <v>27</v>
      </c>
      <c r="F381" s="1" t="s">
        <v>28</v>
      </c>
      <c r="G381" s="1" t="s">
        <v>41</v>
      </c>
      <c r="H381" s="2">
        <v>45398</v>
      </c>
      <c r="I381" s="1" t="s">
        <v>399</v>
      </c>
      <c r="J381" s="1" t="s">
        <v>20</v>
      </c>
      <c r="K381" s="1" t="s">
        <v>54</v>
      </c>
      <c r="L381" s="2">
        <v>45383</v>
      </c>
      <c r="M381" s="6">
        <f>T_SALES[[#This Row],[Profit]]/T_SALES[[#This Row],[Amount]]</f>
        <v>9.7776424002436801E-2</v>
      </c>
    </row>
    <row r="382" spans="1:13" x14ac:dyDescent="0.25">
      <c r="A382" s="1" t="s">
        <v>400</v>
      </c>
      <c r="B382" s="7">
        <v>3423</v>
      </c>
      <c r="C382" s="8">
        <v>804</v>
      </c>
      <c r="D382">
        <v>4</v>
      </c>
      <c r="E382" s="1" t="s">
        <v>13</v>
      </c>
      <c r="F382" s="1" t="s">
        <v>25</v>
      </c>
      <c r="G382" s="1" t="s">
        <v>41</v>
      </c>
      <c r="H382" s="2">
        <v>44021</v>
      </c>
      <c r="I382" s="1" t="s">
        <v>401</v>
      </c>
      <c r="J382" s="1" t="s">
        <v>20</v>
      </c>
      <c r="K382" s="1" t="s">
        <v>137</v>
      </c>
      <c r="L382" s="2">
        <v>44013</v>
      </c>
      <c r="M382" s="6">
        <f>T_SALES[[#This Row],[Profit]]/T_SALES[[#This Row],[Amount]]</f>
        <v>0.23488168273444346</v>
      </c>
    </row>
    <row r="383" spans="1:13" x14ac:dyDescent="0.25">
      <c r="A383" s="1" t="s">
        <v>400</v>
      </c>
      <c r="B383" s="7">
        <v>3423</v>
      </c>
      <c r="C383" s="8">
        <v>804</v>
      </c>
      <c r="D383">
        <v>4</v>
      </c>
      <c r="E383" s="1" t="s">
        <v>13</v>
      </c>
      <c r="F383" s="1" t="s">
        <v>25</v>
      </c>
      <c r="G383" s="1" t="s">
        <v>41</v>
      </c>
      <c r="H383" s="2">
        <v>44037</v>
      </c>
      <c r="I383" s="1" t="s">
        <v>402</v>
      </c>
      <c r="J383" s="1" t="s">
        <v>62</v>
      </c>
      <c r="K383" s="1" t="s">
        <v>63</v>
      </c>
      <c r="L383" s="2">
        <v>44013</v>
      </c>
      <c r="M383" s="6">
        <f>T_SALES[[#This Row],[Profit]]/T_SALES[[#This Row],[Amount]]</f>
        <v>0.23488168273444346</v>
      </c>
    </row>
    <row r="384" spans="1:13" x14ac:dyDescent="0.25">
      <c r="A384" s="1" t="s">
        <v>400</v>
      </c>
      <c r="B384" s="7">
        <v>3423</v>
      </c>
      <c r="C384" s="8">
        <v>804</v>
      </c>
      <c r="D384">
        <v>4</v>
      </c>
      <c r="E384" s="1" t="s">
        <v>13</v>
      </c>
      <c r="F384" s="1" t="s">
        <v>25</v>
      </c>
      <c r="G384" s="1" t="s">
        <v>41</v>
      </c>
      <c r="H384" s="2">
        <v>45315</v>
      </c>
      <c r="I384" s="1" t="s">
        <v>403</v>
      </c>
      <c r="J384" s="1" t="s">
        <v>62</v>
      </c>
      <c r="K384" s="1" t="s">
        <v>74</v>
      </c>
      <c r="L384" s="2">
        <v>45292</v>
      </c>
      <c r="M384" s="6">
        <f>T_SALES[[#This Row],[Profit]]/T_SALES[[#This Row],[Amount]]</f>
        <v>0.23488168273444346</v>
      </c>
    </row>
    <row r="385" spans="1:13" x14ac:dyDescent="0.25">
      <c r="A385" s="1" t="s">
        <v>400</v>
      </c>
      <c r="B385" s="7">
        <v>3423</v>
      </c>
      <c r="C385" s="8">
        <v>804</v>
      </c>
      <c r="D385">
        <v>4</v>
      </c>
      <c r="E385" s="1" t="s">
        <v>13</v>
      </c>
      <c r="F385" s="1" t="s">
        <v>25</v>
      </c>
      <c r="G385" s="1" t="s">
        <v>41</v>
      </c>
      <c r="H385" s="2">
        <v>43955</v>
      </c>
      <c r="I385" s="1" t="s">
        <v>404</v>
      </c>
      <c r="J385" s="1" t="s">
        <v>62</v>
      </c>
      <c r="K385" s="1" t="s">
        <v>63</v>
      </c>
      <c r="L385" s="2">
        <v>43952</v>
      </c>
      <c r="M385" s="6">
        <f>T_SALES[[#This Row],[Profit]]/T_SALES[[#This Row],[Amount]]</f>
        <v>0.23488168273444346</v>
      </c>
    </row>
    <row r="386" spans="1:13" x14ac:dyDescent="0.25">
      <c r="A386" s="1" t="s">
        <v>400</v>
      </c>
      <c r="B386" s="7">
        <v>3423</v>
      </c>
      <c r="C386" s="8">
        <v>804</v>
      </c>
      <c r="D386">
        <v>4</v>
      </c>
      <c r="E386" s="1" t="s">
        <v>13</v>
      </c>
      <c r="F386" s="1" t="s">
        <v>25</v>
      </c>
      <c r="G386" s="1" t="s">
        <v>41</v>
      </c>
      <c r="H386" s="2">
        <v>44513</v>
      </c>
      <c r="I386" s="1" t="s">
        <v>405</v>
      </c>
      <c r="J386" s="1" t="s">
        <v>82</v>
      </c>
      <c r="K386" s="1" t="s">
        <v>89</v>
      </c>
      <c r="L386" s="2">
        <v>44501</v>
      </c>
      <c r="M386" s="6">
        <f>T_SALES[[#This Row],[Profit]]/T_SALES[[#This Row],[Amount]]</f>
        <v>0.23488168273444346</v>
      </c>
    </row>
    <row r="387" spans="1:13" x14ac:dyDescent="0.25">
      <c r="A387" s="1" t="s">
        <v>406</v>
      </c>
      <c r="B387" s="7">
        <v>3900</v>
      </c>
      <c r="C387" s="8">
        <v>115</v>
      </c>
      <c r="D387">
        <v>9</v>
      </c>
      <c r="E387" s="1" t="s">
        <v>39</v>
      </c>
      <c r="F387" s="1" t="s">
        <v>43</v>
      </c>
      <c r="G387" s="1" t="s">
        <v>56</v>
      </c>
      <c r="H387" s="2">
        <v>45206</v>
      </c>
      <c r="I387" s="1" t="s">
        <v>407</v>
      </c>
      <c r="J387" s="1" t="s">
        <v>20</v>
      </c>
      <c r="K387" s="1" t="s">
        <v>54</v>
      </c>
      <c r="L387" s="2">
        <v>45200</v>
      </c>
      <c r="M387" s="6">
        <f>T_SALES[[#This Row],[Profit]]/T_SALES[[#This Row],[Amount]]</f>
        <v>2.9487179487179487E-2</v>
      </c>
    </row>
    <row r="388" spans="1:13" x14ac:dyDescent="0.25">
      <c r="A388" s="1" t="s">
        <v>408</v>
      </c>
      <c r="B388" s="7">
        <v>8568</v>
      </c>
      <c r="C388" s="8">
        <v>2419</v>
      </c>
      <c r="D388">
        <v>11</v>
      </c>
      <c r="E388" s="1" t="s">
        <v>13</v>
      </c>
      <c r="F388" s="1" t="s">
        <v>14</v>
      </c>
      <c r="G388" s="1" t="s">
        <v>15</v>
      </c>
      <c r="H388" s="2">
        <v>44492</v>
      </c>
      <c r="I388" s="1" t="s">
        <v>409</v>
      </c>
      <c r="J388" s="1" t="s">
        <v>23</v>
      </c>
      <c r="K388" s="1" t="s">
        <v>59</v>
      </c>
      <c r="L388" s="2">
        <v>44470</v>
      </c>
      <c r="M388" s="6">
        <f>T_SALES[[#This Row],[Profit]]/T_SALES[[#This Row],[Amount]]</f>
        <v>0.28232959850606909</v>
      </c>
    </row>
    <row r="389" spans="1:13" x14ac:dyDescent="0.25">
      <c r="A389" s="1" t="s">
        <v>408</v>
      </c>
      <c r="B389" s="7">
        <v>3283</v>
      </c>
      <c r="C389" s="8">
        <v>71</v>
      </c>
      <c r="D389">
        <v>6</v>
      </c>
      <c r="E389" s="1" t="s">
        <v>27</v>
      </c>
      <c r="F389" s="1" t="s">
        <v>28</v>
      </c>
      <c r="G389" s="1" t="s">
        <v>35</v>
      </c>
      <c r="H389" s="2">
        <v>44492</v>
      </c>
      <c r="I389" s="1" t="s">
        <v>409</v>
      </c>
      <c r="J389" s="1" t="s">
        <v>23</v>
      </c>
      <c r="K389" s="1" t="s">
        <v>59</v>
      </c>
      <c r="L389" s="2">
        <v>44470</v>
      </c>
      <c r="M389" s="6">
        <f>T_SALES[[#This Row],[Profit]]/T_SALES[[#This Row],[Amount]]</f>
        <v>2.1626561072190069E-2</v>
      </c>
    </row>
    <row r="390" spans="1:13" x14ac:dyDescent="0.25">
      <c r="A390" s="1" t="s">
        <v>410</v>
      </c>
      <c r="B390" s="7">
        <v>7643</v>
      </c>
      <c r="C390" s="8">
        <v>3720</v>
      </c>
      <c r="D390">
        <v>19</v>
      </c>
      <c r="E390" s="1" t="s">
        <v>13</v>
      </c>
      <c r="F390" s="1" t="s">
        <v>14</v>
      </c>
      <c r="G390" s="1" t="s">
        <v>35</v>
      </c>
      <c r="H390" s="2">
        <v>44760</v>
      </c>
      <c r="I390" s="1" t="s">
        <v>411</v>
      </c>
      <c r="J390" s="1" t="s">
        <v>62</v>
      </c>
      <c r="K390" s="1" t="s">
        <v>63</v>
      </c>
      <c r="L390" s="2">
        <v>44743</v>
      </c>
      <c r="M390" s="6">
        <f>T_SALES[[#This Row],[Profit]]/T_SALES[[#This Row],[Amount]]</f>
        <v>0.48671987439487113</v>
      </c>
    </row>
    <row r="391" spans="1:13" x14ac:dyDescent="0.25">
      <c r="A391" s="1" t="s">
        <v>412</v>
      </c>
      <c r="B391" s="7">
        <v>3461</v>
      </c>
      <c r="C391" s="8">
        <v>1537</v>
      </c>
      <c r="D391">
        <v>15</v>
      </c>
      <c r="E391" s="1" t="s">
        <v>39</v>
      </c>
      <c r="F391" s="1" t="s">
        <v>51</v>
      </c>
      <c r="G391" s="1" t="s">
        <v>35</v>
      </c>
      <c r="H391" s="2">
        <v>45527</v>
      </c>
      <c r="I391" s="1" t="s">
        <v>413</v>
      </c>
      <c r="J391" s="1" t="s">
        <v>20</v>
      </c>
      <c r="K391" s="1" t="s">
        <v>21</v>
      </c>
      <c r="L391" s="2">
        <v>45505</v>
      </c>
      <c r="M391" s="6">
        <f>T_SALES[[#This Row],[Profit]]/T_SALES[[#This Row],[Amount]]</f>
        <v>0.444091303091592</v>
      </c>
    </row>
    <row r="392" spans="1:13" x14ac:dyDescent="0.25">
      <c r="A392" s="1" t="s">
        <v>412</v>
      </c>
      <c r="B392" s="7">
        <v>5714</v>
      </c>
      <c r="C392" s="8">
        <v>1438</v>
      </c>
      <c r="D392">
        <v>6</v>
      </c>
      <c r="E392" s="1" t="s">
        <v>13</v>
      </c>
      <c r="F392" s="1" t="s">
        <v>14</v>
      </c>
      <c r="G392" s="1" t="s">
        <v>41</v>
      </c>
      <c r="H392" s="2">
        <v>45527</v>
      </c>
      <c r="I392" s="1" t="s">
        <v>413</v>
      </c>
      <c r="J392" s="1" t="s">
        <v>20</v>
      </c>
      <c r="K392" s="1" t="s">
        <v>21</v>
      </c>
      <c r="L392" s="2">
        <v>45505</v>
      </c>
      <c r="M392" s="6">
        <f>T_SALES[[#This Row],[Profit]]/T_SALES[[#This Row],[Amount]]</f>
        <v>0.25166258312915646</v>
      </c>
    </row>
    <row r="393" spans="1:13" x14ac:dyDescent="0.25">
      <c r="A393" s="1" t="s">
        <v>412</v>
      </c>
      <c r="B393" s="7">
        <v>3853</v>
      </c>
      <c r="C393" s="8">
        <v>1457</v>
      </c>
      <c r="D393">
        <v>10</v>
      </c>
      <c r="E393" s="1" t="s">
        <v>27</v>
      </c>
      <c r="F393" s="1" t="s">
        <v>67</v>
      </c>
      <c r="G393" s="1" t="s">
        <v>56</v>
      </c>
      <c r="H393" s="2">
        <v>45527</v>
      </c>
      <c r="I393" s="1" t="s">
        <v>413</v>
      </c>
      <c r="J393" s="1" t="s">
        <v>20</v>
      </c>
      <c r="K393" s="1" t="s">
        <v>21</v>
      </c>
      <c r="L393" s="2">
        <v>45505</v>
      </c>
      <c r="M393" s="6">
        <f>T_SALES[[#This Row],[Profit]]/T_SALES[[#This Row],[Amount]]</f>
        <v>0.37814689852063327</v>
      </c>
    </row>
    <row r="394" spans="1:13" x14ac:dyDescent="0.25">
      <c r="A394" s="1" t="s">
        <v>414</v>
      </c>
      <c r="B394" s="7">
        <v>6016</v>
      </c>
      <c r="C394" s="8">
        <v>431</v>
      </c>
      <c r="D394">
        <v>20</v>
      </c>
      <c r="E394" s="1" t="s">
        <v>27</v>
      </c>
      <c r="F394" s="1" t="s">
        <v>28</v>
      </c>
      <c r="G394" s="1" t="s">
        <v>15</v>
      </c>
      <c r="H394" s="2">
        <v>44132</v>
      </c>
      <c r="I394" s="1" t="s">
        <v>415</v>
      </c>
      <c r="J394" s="1" t="s">
        <v>20</v>
      </c>
      <c r="K394" s="1" t="s">
        <v>21</v>
      </c>
      <c r="L394" s="2">
        <v>44105</v>
      </c>
      <c r="M394" s="6">
        <f>T_SALES[[#This Row],[Profit]]/T_SALES[[#This Row],[Amount]]</f>
        <v>7.1642287234042548E-2</v>
      </c>
    </row>
    <row r="395" spans="1:13" x14ac:dyDescent="0.25">
      <c r="A395" s="1" t="s">
        <v>416</v>
      </c>
      <c r="B395" s="7">
        <v>1290</v>
      </c>
      <c r="C395" s="8">
        <v>204</v>
      </c>
      <c r="D395">
        <v>12</v>
      </c>
      <c r="E395" s="1" t="s">
        <v>27</v>
      </c>
      <c r="F395" s="1" t="s">
        <v>49</v>
      </c>
      <c r="G395" s="1" t="s">
        <v>15</v>
      </c>
      <c r="H395" s="2">
        <v>45458</v>
      </c>
      <c r="I395" s="1" t="s">
        <v>417</v>
      </c>
      <c r="J395" s="1" t="s">
        <v>23</v>
      </c>
      <c r="K395" s="1" t="s">
        <v>24</v>
      </c>
      <c r="L395" s="2">
        <v>45444</v>
      </c>
      <c r="M395" s="6">
        <f>T_SALES[[#This Row],[Profit]]/T_SALES[[#This Row],[Amount]]</f>
        <v>0.15813953488372093</v>
      </c>
    </row>
    <row r="396" spans="1:13" x14ac:dyDescent="0.25">
      <c r="A396" s="1" t="s">
        <v>416</v>
      </c>
      <c r="B396" s="7">
        <v>1290</v>
      </c>
      <c r="C396" s="8">
        <v>204</v>
      </c>
      <c r="D396">
        <v>12</v>
      </c>
      <c r="E396" s="1" t="s">
        <v>27</v>
      </c>
      <c r="F396" s="1" t="s">
        <v>49</v>
      </c>
      <c r="G396" s="1" t="s">
        <v>15</v>
      </c>
      <c r="H396" s="2">
        <v>45645</v>
      </c>
      <c r="I396" s="1" t="s">
        <v>418</v>
      </c>
      <c r="J396" s="1" t="s">
        <v>37</v>
      </c>
      <c r="K396" s="1" t="s">
        <v>78</v>
      </c>
      <c r="L396" s="2">
        <v>45627</v>
      </c>
      <c r="M396" s="6">
        <f>T_SALES[[#This Row],[Profit]]/T_SALES[[#This Row],[Amount]]</f>
        <v>0.15813953488372093</v>
      </c>
    </row>
    <row r="397" spans="1:13" x14ac:dyDescent="0.25">
      <c r="A397" s="1" t="s">
        <v>419</v>
      </c>
      <c r="B397" s="7">
        <v>4569</v>
      </c>
      <c r="C397" s="8">
        <v>1693</v>
      </c>
      <c r="D397">
        <v>10</v>
      </c>
      <c r="E397" s="1" t="s">
        <v>13</v>
      </c>
      <c r="F397" s="1" t="s">
        <v>25</v>
      </c>
      <c r="G397" s="1" t="s">
        <v>15</v>
      </c>
      <c r="H397" s="2">
        <v>44078</v>
      </c>
      <c r="I397" s="1" t="s">
        <v>420</v>
      </c>
      <c r="J397" s="1" t="s">
        <v>20</v>
      </c>
      <c r="K397" s="1" t="s">
        <v>54</v>
      </c>
      <c r="L397" s="2">
        <v>44075</v>
      </c>
      <c r="M397" s="6">
        <f>T_SALES[[#This Row],[Profit]]/T_SALES[[#This Row],[Amount]]</f>
        <v>0.37054059969358721</v>
      </c>
    </row>
    <row r="398" spans="1:13" x14ac:dyDescent="0.25">
      <c r="A398" s="1" t="s">
        <v>421</v>
      </c>
      <c r="B398" s="7">
        <v>3083</v>
      </c>
      <c r="C398" s="8">
        <v>1151</v>
      </c>
      <c r="D398">
        <v>16</v>
      </c>
      <c r="E398" s="1" t="s">
        <v>39</v>
      </c>
      <c r="F398" s="1" t="s">
        <v>90</v>
      </c>
      <c r="G398" s="1" t="s">
        <v>29</v>
      </c>
      <c r="H398" s="2">
        <v>44667</v>
      </c>
      <c r="I398" s="1" t="s">
        <v>422</v>
      </c>
      <c r="J398" s="1" t="s">
        <v>17</v>
      </c>
      <c r="K398" s="1" t="s">
        <v>31</v>
      </c>
      <c r="L398" s="2">
        <v>44652</v>
      </c>
      <c r="M398" s="6">
        <f>T_SALES[[#This Row],[Profit]]/T_SALES[[#This Row],[Amount]]</f>
        <v>0.3733376581252027</v>
      </c>
    </row>
    <row r="399" spans="1:13" x14ac:dyDescent="0.25">
      <c r="A399" s="1" t="s">
        <v>423</v>
      </c>
      <c r="B399" s="7">
        <v>3522</v>
      </c>
      <c r="C399" s="8">
        <v>898</v>
      </c>
      <c r="D399">
        <v>15</v>
      </c>
      <c r="E399" s="1" t="s">
        <v>27</v>
      </c>
      <c r="F399" s="1" t="s">
        <v>28</v>
      </c>
      <c r="G399" s="1" t="s">
        <v>41</v>
      </c>
      <c r="H399" s="2">
        <v>45533</v>
      </c>
      <c r="I399" s="1" t="s">
        <v>424</v>
      </c>
      <c r="J399" s="1" t="s">
        <v>82</v>
      </c>
      <c r="K399" s="1" t="s">
        <v>97</v>
      </c>
      <c r="L399" s="2">
        <v>45505</v>
      </c>
      <c r="M399" s="6">
        <f>T_SALES[[#This Row],[Profit]]/T_SALES[[#This Row],[Amount]]</f>
        <v>0.25496876774559907</v>
      </c>
    </row>
    <row r="400" spans="1:13" x14ac:dyDescent="0.25">
      <c r="A400" s="1" t="s">
        <v>423</v>
      </c>
      <c r="B400" s="7">
        <v>3522</v>
      </c>
      <c r="C400" s="8">
        <v>898</v>
      </c>
      <c r="D400">
        <v>15</v>
      </c>
      <c r="E400" s="1" t="s">
        <v>27</v>
      </c>
      <c r="F400" s="1" t="s">
        <v>28</v>
      </c>
      <c r="G400" s="1" t="s">
        <v>41</v>
      </c>
      <c r="H400" s="2">
        <v>44575</v>
      </c>
      <c r="I400" s="1" t="s">
        <v>425</v>
      </c>
      <c r="J400" s="1" t="s">
        <v>37</v>
      </c>
      <c r="K400" s="1" t="s">
        <v>38</v>
      </c>
      <c r="L400" s="2">
        <v>44562</v>
      </c>
      <c r="M400" s="6">
        <f>T_SALES[[#This Row],[Profit]]/T_SALES[[#This Row],[Amount]]</f>
        <v>0.25496876774559907</v>
      </c>
    </row>
    <row r="401" spans="1:13" x14ac:dyDescent="0.25">
      <c r="A401" s="1" t="s">
        <v>426</v>
      </c>
      <c r="B401" s="7">
        <v>7301</v>
      </c>
      <c r="C401" s="8">
        <v>3602</v>
      </c>
      <c r="D401">
        <v>3</v>
      </c>
      <c r="E401" s="1" t="s">
        <v>27</v>
      </c>
      <c r="F401" s="1" t="s">
        <v>67</v>
      </c>
      <c r="G401" s="1" t="s">
        <v>29</v>
      </c>
      <c r="H401" s="2">
        <v>45389</v>
      </c>
      <c r="I401" s="1" t="s">
        <v>427</v>
      </c>
      <c r="J401" s="1" t="s">
        <v>62</v>
      </c>
      <c r="K401" s="1" t="s">
        <v>111</v>
      </c>
      <c r="L401" s="2">
        <v>45383</v>
      </c>
      <c r="M401" s="6">
        <f>T_SALES[[#This Row],[Profit]]/T_SALES[[#This Row],[Amount]]</f>
        <v>0.49335707437337351</v>
      </c>
    </row>
    <row r="402" spans="1:13" x14ac:dyDescent="0.25">
      <c r="A402" s="1" t="s">
        <v>428</v>
      </c>
      <c r="B402" s="7">
        <v>4462</v>
      </c>
      <c r="C402" s="8">
        <v>121</v>
      </c>
      <c r="D402">
        <v>8</v>
      </c>
      <c r="E402" s="1" t="s">
        <v>13</v>
      </c>
      <c r="F402" s="1" t="s">
        <v>34</v>
      </c>
      <c r="G402" s="1" t="s">
        <v>56</v>
      </c>
      <c r="H402" s="2">
        <v>44675</v>
      </c>
      <c r="I402" s="1" t="s">
        <v>429</v>
      </c>
      <c r="J402" s="1" t="s">
        <v>20</v>
      </c>
      <c r="K402" s="1" t="s">
        <v>54</v>
      </c>
      <c r="L402" s="2">
        <v>44652</v>
      </c>
      <c r="M402" s="6">
        <f>T_SALES[[#This Row],[Profit]]/T_SALES[[#This Row],[Amount]]</f>
        <v>2.7117884356790675E-2</v>
      </c>
    </row>
    <row r="403" spans="1:13" x14ac:dyDescent="0.25">
      <c r="A403" s="1" t="s">
        <v>428</v>
      </c>
      <c r="B403" s="7">
        <v>6212</v>
      </c>
      <c r="C403" s="8">
        <v>1881</v>
      </c>
      <c r="D403">
        <v>17</v>
      </c>
      <c r="E403" s="1" t="s">
        <v>13</v>
      </c>
      <c r="F403" s="1" t="s">
        <v>70</v>
      </c>
      <c r="G403" s="1" t="s">
        <v>56</v>
      </c>
      <c r="H403" s="2">
        <v>44675</v>
      </c>
      <c r="I403" s="1" t="s">
        <v>429</v>
      </c>
      <c r="J403" s="1" t="s">
        <v>20</v>
      </c>
      <c r="K403" s="1" t="s">
        <v>54</v>
      </c>
      <c r="L403" s="2">
        <v>44652</v>
      </c>
      <c r="M403" s="6">
        <f>T_SALES[[#This Row],[Profit]]/T_SALES[[#This Row],[Amount]]</f>
        <v>0.30280103026400518</v>
      </c>
    </row>
    <row r="404" spans="1:13" x14ac:dyDescent="0.25">
      <c r="A404" s="1" t="s">
        <v>430</v>
      </c>
      <c r="B404" s="7">
        <v>4027</v>
      </c>
      <c r="C404" s="8">
        <v>1386</v>
      </c>
      <c r="D404">
        <v>3</v>
      </c>
      <c r="E404" s="1" t="s">
        <v>39</v>
      </c>
      <c r="F404" s="1" t="s">
        <v>90</v>
      </c>
      <c r="G404" s="1" t="s">
        <v>35</v>
      </c>
      <c r="H404" s="2">
        <v>44070</v>
      </c>
      <c r="I404" s="1" t="s">
        <v>431</v>
      </c>
      <c r="J404" s="1" t="s">
        <v>17</v>
      </c>
      <c r="K404" s="1" t="s">
        <v>121</v>
      </c>
      <c r="L404" s="2">
        <v>44044</v>
      </c>
      <c r="M404" s="6">
        <f>T_SALES[[#This Row],[Profit]]/T_SALES[[#This Row],[Amount]]</f>
        <v>0.34417680655574867</v>
      </c>
    </row>
    <row r="405" spans="1:13" x14ac:dyDescent="0.25">
      <c r="A405" s="1" t="s">
        <v>432</v>
      </c>
      <c r="B405" s="7">
        <v>1676</v>
      </c>
      <c r="C405" s="8">
        <v>330</v>
      </c>
      <c r="D405">
        <v>14</v>
      </c>
      <c r="E405" s="1" t="s">
        <v>13</v>
      </c>
      <c r="F405" s="1" t="s">
        <v>34</v>
      </c>
      <c r="G405" s="1" t="s">
        <v>35</v>
      </c>
      <c r="H405" s="2">
        <v>44986</v>
      </c>
      <c r="I405" s="1" t="s">
        <v>433</v>
      </c>
      <c r="J405" s="1" t="s">
        <v>82</v>
      </c>
      <c r="K405" s="1" t="s">
        <v>97</v>
      </c>
      <c r="L405" s="2">
        <v>44986</v>
      </c>
      <c r="M405" s="6">
        <f>T_SALES[[#This Row],[Profit]]/T_SALES[[#This Row],[Amount]]</f>
        <v>0.19689737470167065</v>
      </c>
    </row>
    <row r="406" spans="1:13" x14ac:dyDescent="0.25">
      <c r="A406" s="1" t="s">
        <v>432</v>
      </c>
      <c r="B406" s="7">
        <v>3927</v>
      </c>
      <c r="C406" s="8">
        <v>1133</v>
      </c>
      <c r="D406">
        <v>12</v>
      </c>
      <c r="E406" s="1" t="s">
        <v>39</v>
      </c>
      <c r="F406" s="1" t="s">
        <v>90</v>
      </c>
      <c r="G406" s="1" t="s">
        <v>56</v>
      </c>
      <c r="H406" s="2">
        <v>44986</v>
      </c>
      <c r="I406" s="1" t="s">
        <v>433</v>
      </c>
      <c r="J406" s="1" t="s">
        <v>82</v>
      </c>
      <c r="K406" s="1" t="s">
        <v>97</v>
      </c>
      <c r="L406" s="2">
        <v>44986</v>
      </c>
      <c r="M406" s="6">
        <f>T_SALES[[#This Row],[Profit]]/T_SALES[[#This Row],[Amount]]</f>
        <v>0.28851540616246496</v>
      </c>
    </row>
    <row r="407" spans="1:13" x14ac:dyDescent="0.25">
      <c r="A407" s="1" t="s">
        <v>432</v>
      </c>
      <c r="B407" s="7">
        <v>2776</v>
      </c>
      <c r="C407" s="8">
        <v>887</v>
      </c>
      <c r="D407">
        <v>9</v>
      </c>
      <c r="E407" s="1" t="s">
        <v>13</v>
      </c>
      <c r="F407" s="1" t="s">
        <v>70</v>
      </c>
      <c r="G407" s="1" t="s">
        <v>29</v>
      </c>
      <c r="H407" s="2">
        <v>44986</v>
      </c>
      <c r="I407" s="1" t="s">
        <v>433</v>
      </c>
      <c r="J407" s="1" t="s">
        <v>82</v>
      </c>
      <c r="K407" s="1" t="s">
        <v>97</v>
      </c>
      <c r="L407" s="2">
        <v>44986</v>
      </c>
      <c r="M407" s="6">
        <f>T_SALES[[#This Row],[Profit]]/T_SALES[[#This Row],[Amount]]</f>
        <v>0.31952449567723346</v>
      </c>
    </row>
    <row r="408" spans="1:13" x14ac:dyDescent="0.25">
      <c r="A408" s="1" t="s">
        <v>434</v>
      </c>
      <c r="B408" s="7">
        <v>7684</v>
      </c>
      <c r="C408" s="8">
        <v>1157</v>
      </c>
      <c r="D408">
        <v>12</v>
      </c>
      <c r="E408" s="1" t="s">
        <v>39</v>
      </c>
      <c r="F408" s="1" t="s">
        <v>51</v>
      </c>
      <c r="G408" s="1" t="s">
        <v>56</v>
      </c>
      <c r="H408" s="2">
        <v>44106</v>
      </c>
      <c r="I408" s="1" t="s">
        <v>435</v>
      </c>
      <c r="J408" s="1" t="s">
        <v>20</v>
      </c>
      <c r="K408" s="1" t="s">
        <v>21</v>
      </c>
      <c r="L408" s="2">
        <v>44105</v>
      </c>
      <c r="M408" s="6">
        <f>T_SALES[[#This Row],[Profit]]/T_SALES[[#This Row],[Amount]]</f>
        <v>0.15057261842790212</v>
      </c>
    </row>
    <row r="409" spans="1:13" x14ac:dyDescent="0.25">
      <c r="A409" s="1" t="s">
        <v>434</v>
      </c>
      <c r="B409" s="7">
        <v>7684</v>
      </c>
      <c r="C409" s="8">
        <v>1157</v>
      </c>
      <c r="D409">
        <v>12</v>
      </c>
      <c r="E409" s="1" t="s">
        <v>39</v>
      </c>
      <c r="F409" s="1" t="s">
        <v>51</v>
      </c>
      <c r="G409" s="1" t="s">
        <v>56</v>
      </c>
      <c r="H409" s="2">
        <v>44005</v>
      </c>
      <c r="I409" s="1" t="s">
        <v>436</v>
      </c>
      <c r="J409" s="1" t="s">
        <v>23</v>
      </c>
      <c r="K409" s="1" t="s">
        <v>24</v>
      </c>
      <c r="L409" s="2">
        <v>43983</v>
      </c>
      <c r="M409" s="6">
        <f>T_SALES[[#This Row],[Profit]]/T_SALES[[#This Row],[Amount]]</f>
        <v>0.15057261842790212</v>
      </c>
    </row>
    <row r="410" spans="1:13" x14ac:dyDescent="0.25">
      <c r="A410" s="1" t="s">
        <v>434</v>
      </c>
      <c r="B410" s="7">
        <v>7684</v>
      </c>
      <c r="C410" s="8">
        <v>1157</v>
      </c>
      <c r="D410">
        <v>12</v>
      </c>
      <c r="E410" s="1" t="s">
        <v>39</v>
      </c>
      <c r="F410" s="1" t="s">
        <v>51</v>
      </c>
      <c r="G410" s="1" t="s">
        <v>56</v>
      </c>
      <c r="H410" s="2">
        <v>45159</v>
      </c>
      <c r="I410" s="1" t="s">
        <v>437</v>
      </c>
      <c r="J410" s="1" t="s">
        <v>82</v>
      </c>
      <c r="K410" s="1" t="s">
        <v>83</v>
      </c>
      <c r="L410" s="2">
        <v>45139</v>
      </c>
      <c r="M410" s="6">
        <f>T_SALES[[#This Row],[Profit]]/T_SALES[[#This Row],[Amount]]</f>
        <v>0.15057261842790212</v>
      </c>
    </row>
    <row r="411" spans="1:13" x14ac:dyDescent="0.25">
      <c r="A411" s="1" t="s">
        <v>438</v>
      </c>
      <c r="B411" s="7">
        <v>6008</v>
      </c>
      <c r="C411" s="8">
        <v>2498</v>
      </c>
      <c r="D411">
        <v>17</v>
      </c>
      <c r="E411" s="1" t="s">
        <v>13</v>
      </c>
      <c r="F411" s="1" t="s">
        <v>70</v>
      </c>
      <c r="G411" s="1" t="s">
        <v>41</v>
      </c>
      <c r="H411" s="2">
        <v>44758</v>
      </c>
      <c r="I411" s="1" t="s">
        <v>439</v>
      </c>
      <c r="J411" s="1" t="s">
        <v>17</v>
      </c>
      <c r="K411" s="1" t="s">
        <v>18</v>
      </c>
      <c r="L411" s="2">
        <v>44743</v>
      </c>
      <c r="M411" s="6">
        <f>T_SALES[[#This Row],[Profit]]/T_SALES[[#This Row],[Amount]]</f>
        <v>0.41577896138482023</v>
      </c>
    </row>
    <row r="412" spans="1:13" x14ac:dyDescent="0.25">
      <c r="A412" s="1" t="s">
        <v>440</v>
      </c>
      <c r="B412" s="7">
        <v>7344</v>
      </c>
      <c r="C412" s="8">
        <v>2598</v>
      </c>
      <c r="D412">
        <v>20</v>
      </c>
      <c r="E412" s="1" t="s">
        <v>39</v>
      </c>
      <c r="F412" s="1" t="s">
        <v>90</v>
      </c>
      <c r="G412" s="1" t="s">
        <v>56</v>
      </c>
      <c r="H412" s="2">
        <v>44774</v>
      </c>
      <c r="I412" s="1" t="s">
        <v>441</v>
      </c>
      <c r="J412" s="1" t="s">
        <v>62</v>
      </c>
      <c r="K412" s="1" t="s">
        <v>63</v>
      </c>
      <c r="L412" s="2">
        <v>44774</v>
      </c>
      <c r="M412" s="6">
        <f>T_SALES[[#This Row],[Profit]]/T_SALES[[#This Row],[Amount]]</f>
        <v>0.35375816993464054</v>
      </c>
    </row>
    <row r="413" spans="1:13" x14ac:dyDescent="0.25">
      <c r="A413" s="1" t="s">
        <v>442</v>
      </c>
      <c r="B413" s="7">
        <v>6932</v>
      </c>
      <c r="C413" s="8">
        <v>3218</v>
      </c>
      <c r="D413">
        <v>20</v>
      </c>
      <c r="E413" s="1" t="s">
        <v>27</v>
      </c>
      <c r="F413" s="1" t="s">
        <v>28</v>
      </c>
      <c r="G413" s="1" t="s">
        <v>56</v>
      </c>
      <c r="H413" s="2">
        <v>44028</v>
      </c>
      <c r="I413" s="1" t="s">
        <v>443</v>
      </c>
      <c r="J413" s="1" t="s">
        <v>17</v>
      </c>
      <c r="K413" s="1" t="s">
        <v>31</v>
      </c>
      <c r="L413" s="2">
        <v>44013</v>
      </c>
      <c r="M413" s="6">
        <f>T_SALES[[#This Row],[Profit]]/T_SALES[[#This Row],[Amount]]</f>
        <v>0.46422388920946334</v>
      </c>
    </row>
    <row r="414" spans="1:13" x14ac:dyDescent="0.25">
      <c r="A414" s="1" t="s">
        <v>444</v>
      </c>
      <c r="B414" s="7">
        <v>7748</v>
      </c>
      <c r="C414" s="8">
        <v>1706</v>
      </c>
      <c r="D414">
        <v>16</v>
      </c>
      <c r="E414" s="1" t="s">
        <v>13</v>
      </c>
      <c r="F414" s="1" t="s">
        <v>14</v>
      </c>
      <c r="G414" s="1" t="s">
        <v>35</v>
      </c>
      <c r="H414" s="2">
        <v>43953</v>
      </c>
      <c r="I414" s="1" t="s">
        <v>445</v>
      </c>
      <c r="J414" s="1" t="s">
        <v>82</v>
      </c>
      <c r="K414" s="1" t="s">
        <v>89</v>
      </c>
      <c r="L414" s="2">
        <v>43952</v>
      </c>
      <c r="M414" s="6">
        <f>T_SALES[[#This Row],[Profit]]/T_SALES[[#This Row],[Amount]]</f>
        <v>0.22018585441404234</v>
      </c>
    </row>
    <row r="415" spans="1:13" x14ac:dyDescent="0.25">
      <c r="A415" s="1" t="s">
        <v>444</v>
      </c>
      <c r="B415" s="7">
        <v>6381</v>
      </c>
      <c r="C415" s="8">
        <v>2763</v>
      </c>
      <c r="D415">
        <v>20</v>
      </c>
      <c r="E415" s="1" t="s">
        <v>27</v>
      </c>
      <c r="F415" s="1" t="s">
        <v>49</v>
      </c>
      <c r="G415" s="1" t="s">
        <v>15</v>
      </c>
      <c r="H415" s="2">
        <v>43953</v>
      </c>
      <c r="I415" s="1" t="s">
        <v>445</v>
      </c>
      <c r="J415" s="1" t="s">
        <v>82</v>
      </c>
      <c r="K415" s="1" t="s">
        <v>89</v>
      </c>
      <c r="L415" s="2">
        <v>43952</v>
      </c>
      <c r="M415" s="6">
        <f>T_SALES[[#This Row],[Profit]]/T_SALES[[#This Row],[Amount]]</f>
        <v>0.43300423131170662</v>
      </c>
    </row>
    <row r="416" spans="1:13" x14ac:dyDescent="0.25">
      <c r="A416" s="1" t="s">
        <v>444</v>
      </c>
      <c r="B416" s="7">
        <v>992</v>
      </c>
      <c r="C416" s="8">
        <v>64</v>
      </c>
      <c r="D416">
        <v>6</v>
      </c>
      <c r="E416" s="1" t="s">
        <v>13</v>
      </c>
      <c r="F416" s="1" t="s">
        <v>70</v>
      </c>
      <c r="G416" s="1" t="s">
        <v>41</v>
      </c>
      <c r="H416" s="2">
        <v>43953</v>
      </c>
      <c r="I416" s="1" t="s">
        <v>445</v>
      </c>
      <c r="J416" s="1" t="s">
        <v>82</v>
      </c>
      <c r="K416" s="1" t="s">
        <v>89</v>
      </c>
      <c r="L416" s="2">
        <v>43952</v>
      </c>
      <c r="M416" s="6">
        <f>T_SALES[[#This Row],[Profit]]/T_SALES[[#This Row],[Amount]]</f>
        <v>6.4516129032258063E-2</v>
      </c>
    </row>
    <row r="417" spans="1:13" x14ac:dyDescent="0.25">
      <c r="A417" s="1" t="s">
        <v>446</v>
      </c>
      <c r="B417" s="7">
        <v>8649</v>
      </c>
      <c r="C417" s="8">
        <v>2631</v>
      </c>
      <c r="D417">
        <v>13</v>
      </c>
      <c r="E417" s="1" t="s">
        <v>13</v>
      </c>
      <c r="F417" s="1" t="s">
        <v>34</v>
      </c>
      <c r="G417" s="1" t="s">
        <v>35</v>
      </c>
      <c r="H417" s="2">
        <v>45301</v>
      </c>
      <c r="I417" s="1" t="s">
        <v>447</v>
      </c>
      <c r="J417" s="1" t="s">
        <v>37</v>
      </c>
      <c r="K417" s="1" t="s">
        <v>78</v>
      </c>
      <c r="L417" s="2">
        <v>45292</v>
      </c>
      <c r="M417" s="6">
        <f>T_SALES[[#This Row],[Profit]]/T_SALES[[#This Row],[Amount]]</f>
        <v>0.30419701699618451</v>
      </c>
    </row>
    <row r="418" spans="1:13" x14ac:dyDescent="0.25">
      <c r="A418" s="1" t="s">
        <v>446</v>
      </c>
      <c r="B418" s="7">
        <v>8649</v>
      </c>
      <c r="C418" s="8">
        <v>2631</v>
      </c>
      <c r="D418">
        <v>13</v>
      </c>
      <c r="E418" s="1" t="s">
        <v>13</v>
      </c>
      <c r="F418" s="1" t="s">
        <v>34</v>
      </c>
      <c r="G418" s="1" t="s">
        <v>35</v>
      </c>
      <c r="H418" s="2">
        <v>44104</v>
      </c>
      <c r="I418" s="1" t="s">
        <v>448</v>
      </c>
      <c r="J418" s="1" t="s">
        <v>23</v>
      </c>
      <c r="K418" s="1" t="s">
        <v>59</v>
      </c>
      <c r="L418" s="2">
        <v>44075</v>
      </c>
      <c r="M418" s="6">
        <f>T_SALES[[#This Row],[Profit]]/T_SALES[[#This Row],[Amount]]</f>
        <v>0.30419701699618451</v>
      </c>
    </row>
    <row r="419" spans="1:13" x14ac:dyDescent="0.25">
      <c r="A419" s="1" t="s">
        <v>449</v>
      </c>
      <c r="B419" s="7">
        <v>4099</v>
      </c>
      <c r="C419" s="8">
        <v>52</v>
      </c>
      <c r="D419">
        <v>18</v>
      </c>
      <c r="E419" s="1" t="s">
        <v>13</v>
      </c>
      <c r="F419" s="1" t="s">
        <v>34</v>
      </c>
      <c r="G419" s="1" t="s">
        <v>15</v>
      </c>
      <c r="H419" s="2">
        <v>44648</v>
      </c>
      <c r="I419" s="1" t="s">
        <v>450</v>
      </c>
      <c r="J419" s="1" t="s">
        <v>23</v>
      </c>
      <c r="K419" s="1" t="s">
        <v>45</v>
      </c>
      <c r="L419" s="2">
        <v>44621</v>
      </c>
      <c r="M419" s="6">
        <f>T_SALES[[#This Row],[Profit]]/T_SALES[[#This Row],[Amount]]</f>
        <v>1.2686020980727006E-2</v>
      </c>
    </row>
    <row r="420" spans="1:13" x14ac:dyDescent="0.25">
      <c r="A420" s="1" t="s">
        <v>451</v>
      </c>
      <c r="B420" s="7">
        <v>2539</v>
      </c>
      <c r="C420" s="8">
        <v>324</v>
      </c>
      <c r="D420">
        <v>5</v>
      </c>
      <c r="E420" s="1" t="s">
        <v>13</v>
      </c>
      <c r="F420" s="1" t="s">
        <v>14</v>
      </c>
      <c r="G420" s="1" t="s">
        <v>15</v>
      </c>
      <c r="H420" s="2">
        <v>44226</v>
      </c>
      <c r="I420" s="1" t="s">
        <v>452</v>
      </c>
      <c r="J420" s="1" t="s">
        <v>37</v>
      </c>
      <c r="K420" s="1" t="s">
        <v>78</v>
      </c>
      <c r="L420" s="2">
        <v>44197</v>
      </c>
      <c r="M420" s="6">
        <f>T_SALES[[#This Row],[Profit]]/T_SALES[[#This Row],[Amount]]</f>
        <v>0.12760929499803073</v>
      </c>
    </row>
    <row r="421" spans="1:13" x14ac:dyDescent="0.25">
      <c r="A421" s="1" t="s">
        <v>453</v>
      </c>
      <c r="B421" s="7">
        <v>9845</v>
      </c>
      <c r="C421" s="8">
        <v>3062</v>
      </c>
      <c r="D421">
        <v>9</v>
      </c>
      <c r="E421" s="1" t="s">
        <v>27</v>
      </c>
      <c r="F421" s="1" t="s">
        <v>55</v>
      </c>
      <c r="G421" s="1" t="s">
        <v>56</v>
      </c>
      <c r="H421" s="2">
        <v>45730</v>
      </c>
      <c r="I421" s="1" t="s">
        <v>454</v>
      </c>
      <c r="J421" s="1" t="s">
        <v>17</v>
      </c>
      <c r="K421" s="1" t="s">
        <v>31</v>
      </c>
      <c r="L421" s="2">
        <v>45717</v>
      </c>
      <c r="M421" s="6">
        <f>T_SALES[[#This Row],[Profit]]/T_SALES[[#This Row],[Amount]]</f>
        <v>0.31102082275266635</v>
      </c>
    </row>
    <row r="422" spans="1:13" x14ac:dyDescent="0.25">
      <c r="A422" s="1" t="s">
        <v>455</v>
      </c>
      <c r="B422" s="7">
        <v>2901</v>
      </c>
      <c r="C422" s="8">
        <v>1411</v>
      </c>
      <c r="D422">
        <v>2</v>
      </c>
      <c r="E422" s="1" t="s">
        <v>27</v>
      </c>
      <c r="F422" s="1" t="s">
        <v>55</v>
      </c>
      <c r="G422" s="1" t="s">
        <v>29</v>
      </c>
      <c r="H422" s="2">
        <v>44495</v>
      </c>
      <c r="I422" s="1" t="s">
        <v>456</v>
      </c>
      <c r="J422" s="1" t="s">
        <v>62</v>
      </c>
      <c r="K422" s="1" t="s">
        <v>74</v>
      </c>
      <c r="L422" s="2">
        <v>44470</v>
      </c>
      <c r="M422" s="6">
        <f>T_SALES[[#This Row],[Profit]]/T_SALES[[#This Row],[Amount]]</f>
        <v>0.48638400551533956</v>
      </c>
    </row>
    <row r="423" spans="1:13" x14ac:dyDescent="0.25">
      <c r="A423" s="1" t="s">
        <v>455</v>
      </c>
      <c r="B423" s="7">
        <v>2901</v>
      </c>
      <c r="C423" s="8">
        <v>1411</v>
      </c>
      <c r="D423">
        <v>2</v>
      </c>
      <c r="E423" s="1" t="s">
        <v>27</v>
      </c>
      <c r="F423" s="1" t="s">
        <v>55</v>
      </c>
      <c r="G423" s="1" t="s">
        <v>29</v>
      </c>
      <c r="H423" s="2">
        <v>44937</v>
      </c>
      <c r="I423" s="1" t="s">
        <v>457</v>
      </c>
      <c r="J423" s="1" t="s">
        <v>37</v>
      </c>
      <c r="K423" s="1" t="s">
        <v>38</v>
      </c>
      <c r="L423" s="2">
        <v>44927</v>
      </c>
      <c r="M423" s="6">
        <f>T_SALES[[#This Row],[Profit]]/T_SALES[[#This Row],[Amount]]</f>
        <v>0.48638400551533956</v>
      </c>
    </row>
    <row r="424" spans="1:13" x14ac:dyDescent="0.25">
      <c r="A424" s="1" t="s">
        <v>455</v>
      </c>
      <c r="B424" s="7">
        <v>6934</v>
      </c>
      <c r="C424" s="8">
        <v>1152</v>
      </c>
      <c r="D424">
        <v>6</v>
      </c>
      <c r="E424" s="1" t="s">
        <v>27</v>
      </c>
      <c r="F424" s="1" t="s">
        <v>28</v>
      </c>
      <c r="G424" s="1" t="s">
        <v>41</v>
      </c>
      <c r="H424" s="2">
        <v>44495</v>
      </c>
      <c r="I424" s="1" t="s">
        <v>456</v>
      </c>
      <c r="J424" s="1" t="s">
        <v>62</v>
      </c>
      <c r="K424" s="1" t="s">
        <v>74</v>
      </c>
      <c r="L424" s="2">
        <v>44470</v>
      </c>
      <c r="M424" s="6">
        <f>T_SALES[[#This Row],[Profit]]/T_SALES[[#This Row],[Amount]]</f>
        <v>0.16613787135852323</v>
      </c>
    </row>
    <row r="425" spans="1:13" x14ac:dyDescent="0.25">
      <c r="A425" s="1" t="s">
        <v>455</v>
      </c>
      <c r="B425" s="7">
        <v>6934</v>
      </c>
      <c r="C425" s="8">
        <v>1152</v>
      </c>
      <c r="D425">
        <v>6</v>
      </c>
      <c r="E425" s="1" t="s">
        <v>27</v>
      </c>
      <c r="F425" s="1" t="s">
        <v>28</v>
      </c>
      <c r="G425" s="1" t="s">
        <v>41</v>
      </c>
      <c r="H425" s="2">
        <v>44937</v>
      </c>
      <c r="I425" s="1" t="s">
        <v>457</v>
      </c>
      <c r="J425" s="1" t="s">
        <v>37</v>
      </c>
      <c r="K425" s="1" t="s">
        <v>38</v>
      </c>
      <c r="L425" s="2">
        <v>44927</v>
      </c>
      <c r="M425" s="6">
        <f>T_SALES[[#This Row],[Profit]]/T_SALES[[#This Row],[Amount]]</f>
        <v>0.16613787135852323</v>
      </c>
    </row>
    <row r="426" spans="1:13" x14ac:dyDescent="0.25">
      <c r="A426" s="1" t="s">
        <v>458</v>
      </c>
      <c r="B426" s="7">
        <v>9640</v>
      </c>
      <c r="C426" s="8">
        <v>2606</v>
      </c>
      <c r="D426">
        <v>2</v>
      </c>
      <c r="E426" s="1" t="s">
        <v>39</v>
      </c>
      <c r="F426" s="1" t="s">
        <v>90</v>
      </c>
      <c r="G426" s="1" t="s">
        <v>41</v>
      </c>
      <c r="H426" s="2">
        <v>44500</v>
      </c>
      <c r="I426" s="1" t="s">
        <v>459</v>
      </c>
      <c r="J426" s="1" t="s">
        <v>20</v>
      </c>
      <c r="K426" s="1" t="s">
        <v>137</v>
      </c>
      <c r="L426" s="2">
        <v>44470</v>
      </c>
      <c r="M426" s="6">
        <f>T_SALES[[#This Row],[Profit]]/T_SALES[[#This Row],[Amount]]</f>
        <v>0.27033195020746886</v>
      </c>
    </row>
    <row r="427" spans="1:13" x14ac:dyDescent="0.25">
      <c r="A427" s="1" t="s">
        <v>460</v>
      </c>
      <c r="B427" s="7">
        <v>7930</v>
      </c>
      <c r="C427" s="8">
        <v>1981</v>
      </c>
      <c r="D427">
        <v>13</v>
      </c>
      <c r="E427" s="1" t="s">
        <v>39</v>
      </c>
      <c r="F427" s="1" t="s">
        <v>43</v>
      </c>
      <c r="G427" s="1" t="s">
        <v>41</v>
      </c>
      <c r="H427" s="2">
        <v>45050</v>
      </c>
      <c r="I427" s="1" t="s">
        <v>461</v>
      </c>
      <c r="J427" s="1" t="s">
        <v>82</v>
      </c>
      <c r="K427" s="1" t="s">
        <v>97</v>
      </c>
      <c r="L427" s="2">
        <v>45047</v>
      </c>
      <c r="M427" s="6">
        <f>T_SALES[[#This Row],[Profit]]/T_SALES[[#This Row],[Amount]]</f>
        <v>0.24981084489281211</v>
      </c>
    </row>
    <row r="428" spans="1:13" x14ac:dyDescent="0.25">
      <c r="A428" s="1" t="s">
        <v>460</v>
      </c>
      <c r="B428" s="7">
        <v>7930</v>
      </c>
      <c r="C428" s="8">
        <v>1981</v>
      </c>
      <c r="D428">
        <v>13</v>
      </c>
      <c r="E428" s="1" t="s">
        <v>39</v>
      </c>
      <c r="F428" s="1" t="s">
        <v>43</v>
      </c>
      <c r="G428" s="1" t="s">
        <v>41</v>
      </c>
      <c r="H428" s="2">
        <v>45513</v>
      </c>
      <c r="I428" s="1" t="s">
        <v>462</v>
      </c>
      <c r="J428" s="1" t="s">
        <v>20</v>
      </c>
      <c r="K428" s="1" t="s">
        <v>54</v>
      </c>
      <c r="L428" s="2">
        <v>45505</v>
      </c>
      <c r="M428" s="6">
        <f>T_SALES[[#This Row],[Profit]]/T_SALES[[#This Row],[Amount]]</f>
        <v>0.24981084489281211</v>
      </c>
    </row>
    <row r="429" spans="1:13" x14ac:dyDescent="0.25">
      <c r="A429" s="1" t="s">
        <v>463</v>
      </c>
      <c r="B429" s="7">
        <v>9894</v>
      </c>
      <c r="C429" s="8">
        <v>829</v>
      </c>
      <c r="D429">
        <v>1</v>
      </c>
      <c r="E429" s="1" t="s">
        <v>27</v>
      </c>
      <c r="F429" s="1" t="s">
        <v>67</v>
      </c>
      <c r="G429" s="1" t="s">
        <v>56</v>
      </c>
      <c r="H429" s="2">
        <v>44794</v>
      </c>
      <c r="I429" s="1" t="s">
        <v>464</v>
      </c>
      <c r="J429" s="1" t="s">
        <v>37</v>
      </c>
      <c r="K429" s="1" t="s">
        <v>65</v>
      </c>
      <c r="L429" s="2">
        <v>44774</v>
      </c>
      <c r="M429" s="6">
        <f>T_SALES[[#This Row],[Profit]]/T_SALES[[#This Row],[Amount]]</f>
        <v>8.3788154437032539E-2</v>
      </c>
    </row>
    <row r="430" spans="1:13" x14ac:dyDescent="0.25">
      <c r="A430" s="1" t="s">
        <v>463</v>
      </c>
      <c r="B430" s="7">
        <v>4534</v>
      </c>
      <c r="C430" s="8">
        <v>2235</v>
      </c>
      <c r="D430">
        <v>4</v>
      </c>
      <c r="E430" s="1" t="s">
        <v>39</v>
      </c>
      <c r="F430" s="1" t="s">
        <v>40</v>
      </c>
      <c r="G430" s="1" t="s">
        <v>56</v>
      </c>
      <c r="H430" s="2">
        <v>44794</v>
      </c>
      <c r="I430" s="1" t="s">
        <v>464</v>
      </c>
      <c r="J430" s="1" t="s">
        <v>37</v>
      </c>
      <c r="K430" s="1" t="s">
        <v>65</v>
      </c>
      <c r="L430" s="2">
        <v>44774</v>
      </c>
      <c r="M430" s="6">
        <f>T_SALES[[#This Row],[Profit]]/T_SALES[[#This Row],[Amount]]</f>
        <v>0.49294221438023822</v>
      </c>
    </row>
    <row r="431" spans="1:13" x14ac:dyDescent="0.25">
      <c r="A431" s="1" t="s">
        <v>465</v>
      </c>
      <c r="B431" s="7">
        <v>4911</v>
      </c>
      <c r="C431" s="8">
        <v>186</v>
      </c>
      <c r="D431">
        <v>20</v>
      </c>
      <c r="E431" s="1" t="s">
        <v>13</v>
      </c>
      <c r="F431" s="1" t="s">
        <v>70</v>
      </c>
      <c r="G431" s="1" t="s">
        <v>29</v>
      </c>
      <c r="H431" s="2">
        <v>44731</v>
      </c>
      <c r="I431" s="1" t="s">
        <v>466</v>
      </c>
      <c r="J431" s="1" t="s">
        <v>23</v>
      </c>
      <c r="K431" s="1" t="s">
        <v>24</v>
      </c>
      <c r="L431" s="2">
        <v>44713</v>
      </c>
      <c r="M431" s="6">
        <f>T_SALES[[#This Row],[Profit]]/T_SALES[[#This Row],[Amount]]</f>
        <v>3.7874160048869884E-2</v>
      </c>
    </row>
    <row r="432" spans="1:13" x14ac:dyDescent="0.25">
      <c r="A432" s="1" t="s">
        <v>465</v>
      </c>
      <c r="B432" s="7">
        <v>531</v>
      </c>
      <c r="C432" s="8">
        <v>189</v>
      </c>
      <c r="D432">
        <v>20</v>
      </c>
      <c r="E432" s="1" t="s">
        <v>39</v>
      </c>
      <c r="F432" s="1" t="s">
        <v>90</v>
      </c>
      <c r="G432" s="1" t="s">
        <v>29</v>
      </c>
      <c r="H432" s="2">
        <v>44731</v>
      </c>
      <c r="I432" s="1" t="s">
        <v>466</v>
      </c>
      <c r="J432" s="1" t="s">
        <v>23</v>
      </c>
      <c r="K432" s="1" t="s">
        <v>24</v>
      </c>
      <c r="L432" s="2">
        <v>44713</v>
      </c>
      <c r="M432" s="6">
        <f>T_SALES[[#This Row],[Profit]]/T_SALES[[#This Row],[Amount]]</f>
        <v>0.3559322033898305</v>
      </c>
    </row>
    <row r="433" spans="1:13" x14ac:dyDescent="0.25">
      <c r="A433" s="1" t="s">
        <v>467</v>
      </c>
      <c r="B433" s="7">
        <v>9707</v>
      </c>
      <c r="C433" s="8">
        <v>3483</v>
      </c>
      <c r="D433">
        <v>10</v>
      </c>
      <c r="E433" s="1" t="s">
        <v>13</v>
      </c>
      <c r="F433" s="1" t="s">
        <v>14</v>
      </c>
      <c r="G433" s="1" t="s">
        <v>35</v>
      </c>
      <c r="H433" s="2">
        <v>45686</v>
      </c>
      <c r="I433" s="1" t="s">
        <v>468</v>
      </c>
      <c r="J433" s="1" t="s">
        <v>20</v>
      </c>
      <c r="K433" s="1" t="s">
        <v>137</v>
      </c>
      <c r="L433" s="2">
        <v>45658</v>
      </c>
      <c r="M433" s="6">
        <f>T_SALES[[#This Row],[Profit]]/T_SALES[[#This Row],[Amount]]</f>
        <v>0.35881322756773465</v>
      </c>
    </row>
    <row r="434" spans="1:13" x14ac:dyDescent="0.25">
      <c r="A434" s="1" t="s">
        <v>467</v>
      </c>
      <c r="B434" s="7">
        <v>8521</v>
      </c>
      <c r="C434" s="8">
        <v>2584</v>
      </c>
      <c r="D434">
        <v>7</v>
      </c>
      <c r="E434" s="1" t="s">
        <v>27</v>
      </c>
      <c r="F434" s="1" t="s">
        <v>55</v>
      </c>
      <c r="G434" s="1" t="s">
        <v>56</v>
      </c>
      <c r="H434" s="2">
        <v>45686</v>
      </c>
      <c r="I434" s="1" t="s">
        <v>468</v>
      </c>
      <c r="J434" s="1" t="s">
        <v>20</v>
      </c>
      <c r="K434" s="1" t="s">
        <v>137</v>
      </c>
      <c r="L434" s="2">
        <v>45658</v>
      </c>
      <c r="M434" s="6">
        <f>T_SALES[[#This Row],[Profit]]/T_SALES[[#This Row],[Amount]]</f>
        <v>0.30325079216054451</v>
      </c>
    </row>
    <row r="435" spans="1:13" x14ac:dyDescent="0.25">
      <c r="A435" s="1" t="s">
        <v>469</v>
      </c>
      <c r="B435" s="7">
        <v>8438</v>
      </c>
      <c r="C435" s="8">
        <v>3427</v>
      </c>
      <c r="D435">
        <v>12</v>
      </c>
      <c r="E435" s="1" t="s">
        <v>27</v>
      </c>
      <c r="F435" s="1" t="s">
        <v>67</v>
      </c>
      <c r="G435" s="1" t="s">
        <v>41</v>
      </c>
      <c r="H435" s="2">
        <v>44575</v>
      </c>
      <c r="I435" s="1" t="s">
        <v>470</v>
      </c>
      <c r="J435" s="1" t="s">
        <v>23</v>
      </c>
      <c r="K435" s="1" t="s">
        <v>24</v>
      </c>
      <c r="L435" s="2">
        <v>44562</v>
      </c>
      <c r="M435" s="6">
        <f>T_SALES[[#This Row],[Profit]]/T_SALES[[#This Row],[Amount]]</f>
        <v>0.40613889547286086</v>
      </c>
    </row>
    <row r="436" spans="1:13" x14ac:dyDescent="0.25">
      <c r="A436" s="1" t="s">
        <v>469</v>
      </c>
      <c r="B436" s="7">
        <v>1689</v>
      </c>
      <c r="C436" s="8">
        <v>109</v>
      </c>
      <c r="D436">
        <v>9</v>
      </c>
      <c r="E436" s="1" t="s">
        <v>13</v>
      </c>
      <c r="F436" s="1" t="s">
        <v>14</v>
      </c>
      <c r="G436" s="1" t="s">
        <v>15</v>
      </c>
      <c r="H436" s="2">
        <v>44575</v>
      </c>
      <c r="I436" s="1" t="s">
        <v>470</v>
      </c>
      <c r="J436" s="1" t="s">
        <v>23</v>
      </c>
      <c r="K436" s="1" t="s">
        <v>24</v>
      </c>
      <c r="L436" s="2">
        <v>44562</v>
      </c>
      <c r="M436" s="6">
        <f>T_SALES[[#This Row],[Profit]]/T_SALES[[#This Row],[Amount]]</f>
        <v>6.4535227945529905E-2</v>
      </c>
    </row>
    <row r="437" spans="1:13" x14ac:dyDescent="0.25">
      <c r="A437" s="1" t="s">
        <v>469</v>
      </c>
      <c r="B437" s="7">
        <v>3936</v>
      </c>
      <c r="C437" s="8">
        <v>1626</v>
      </c>
      <c r="D437">
        <v>14</v>
      </c>
      <c r="E437" s="1" t="s">
        <v>27</v>
      </c>
      <c r="F437" s="1" t="s">
        <v>55</v>
      </c>
      <c r="G437" s="1" t="s">
        <v>56</v>
      </c>
      <c r="H437" s="2">
        <v>44575</v>
      </c>
      <c r="I437" s="1" t="s">
        <v>470</v>
      </c>
      <c r="J437" s="1" t="s">
        <v>23</v>
      </c>
      <c r="K437" s="1" t="s">
        <v>24</v>
      </c>
      <c r="L437" s="2">
        <v>44562</v>
      </c>
      <c r="M437" s="6">
        <f>T_SALES[[#This Row],[Profit]]/T_SALES[[#This Row],[Amount]]</f>
        <v>0.41310975609756095</v>
      </c>
    </row>
    <row r="438" spans="1:13" x14ac:dyDescent="0.25">
      <c r="A438" s="1" t="s">
        <v>471</v>
      </c>
      <c r="B438" s="7">
        <v>7664</v>
      </c>
      <c r="C438" s="8">
        <v>1753</v>
      </c>
      <c r="D438">
        <v>19</v>
      </c>
      <c r="E438" s="1" t="s">
        <v>13</v>
      </c>
      <c r="F438" s="1" t="s">
        <v>70</v>
      </c>
      <c r="G438" s="1" t="s">
        <v>29</v>
      </c>
      <c r="H438" s="2">
        <v>45092</v>
      </c>
      <c r="I438" s="1" t="s">
        <v>472</v>
      </c>
      <c r="J438" s="1" t="s">
        <v>82</v>
      </c>
      <c r="K438" s="1" t="s">
        <v>89</v>
      </c>
      <c r="L438" s="2">
        <v>45078</v>
      </c>
      <c r="M438" s="6">
        <f>T_SALES[[#This Row],[Profit]]/T_SALES[[#This Row],[Amount]]</f>
        <v>0.22873173277661796</v>
      </c>
    </row>
    <row r="439" spans="1:13" x14ac:dyDescent="0.25">
      <c r="A439" s="1" t="s">
        <v>473</v>
      </c>
      <c r="B439" s="7">
        <v>721</v>
      </c>
      <c r="C439" s="8">
        <v>258</v>
      </c>
      <c r="D439">
        <v>13</v>
      </c>
      <c r="E439" s="1" t="s">
        <v>13</v>
      </c>
      <c r="F439" s="1" t="s">
        <v>34</v>
      </c>
      <c r="G439" s="1" t="s">
        <v>29</v>
      </c>
      <c r="H439" s="2">
        <v>45217</v>
      </c>
      <c r="I439" s="1" t="s">
        <v>474</v>
      </c>
      <c r="J439" s="1" t="s">
        <v>20</v>
      </c>
      <c r="K439" s="1" t="s">
        <v>137</v>
      </c>
      <c r="L439" s="2">
        <v>45200</v>
      </c>
      <c r="M439" s="6">
        <f>T_SALES[[#This Row],[Profit]]/T_SALES[[#This Row],[Amount]]</f>
        <v>0.3578363384188627</v>
      </c>
    </row>
    <row r="440" spans="1:13" x14ac:dyDescent="0.25">
      <c r="A440" s="1" t="s">
        <v>473</v>
      </c>
      <c r="B440" s="7">
        <v>721</v>
      </c>
      <c r="C440" s="8">
        <v>258</v>
      </c>
      <c r="D440">
        <v>13</v>
      </c>
      <c r="E440" s="1" t="s">
        <v>13</v>
      </c>
      <c r="F440" s="1" t="s">
        <v>34</v>
      </c>
      <c r="G440" s="1" t="s">
        <v>29</v>
      </c>
      <c r="H440" s="2">
        <v>44725</v>
      </c>
      <c r="I440" s="1" t="s">
        <v>475</v>
      </c>
      <c r="J440" s="1" t="s">
        <v>23</v>
      </c>
      <c r="K440" s="1" t="s">
        <v>24</v>
      </c>
      <c r="L440" s="2">
        <v>44713</v>
      </c>
      <c r="M440" s="6">
        <f>T_SALES[[#This Row],[Profit]]/T_SALES[[#This Row],[Amount]]</f>
        <v>0.3578363384188627</v>
      </c>
    </row>
    <row r="441" spans="1:13" x14ac:dyDescent="0.25">
      <c r="A441" s="1" t="s">
        <v>473</v>
      </c>
      <c r="B441" s="7">
        <v>8364</v>
      </c>
      <c r="C441" s="8">
        <v>3055</v>
      </c>
      <c r="D441">
        <v>17</v>
      </c>
      <c r="E441" s="1" t="s">
        <v>13</v>
      </c>
      <c r="F441" s="1" t="s">
        <v>34</v>
      </c>
      <c r="G441" s="1" t="s">
        <v>41</v>
      </c>
      <c r="H441" s="2">
        <v>45217</v>
      </c>
      <c r="I441" s="1" t="s">
        <v>474</v>
      </c>
      <c r="J441" s="1" t="s">
        <v>20</v>
      </c>
      <c r="K441" s="1" t="s">
        <v>137</v>
      </c>
      <c r="L441" s="2">
        <v>45200</v>
      </c>
      <c r="M441" s="6">
        <f>T_SALES[[#This Row],[Profit]]/T_SALES[[#This Row],[Amount]]</f>
        <v>0.36525585844093733</v>
      </c>
    </row>
    <row r="442" spans="1:13" x14ac:dyDescent="0.25">
      <c r="A442" s="1" t="s">
        <v>473</v>
      </c>
      <c r="B442" s="7">
        <v>8364</v>
      </c>
      <c r="C442" s="8">
        <v>3055</v>
      </c>
      <c r="D442">
        <v>17</v>
      </c>
      <c r="E442" s="1" t="s">
        <v>13</v>
      </c>
      <c r="F442" s="1" t="s">
        <v>34</v>
      </c>
      <c r="G442" s="1" t="s">
        <v>41</v>
      </c>
      <c r="H442" s="2">
        <v>44725</v>
      </c>
      <c r="I442" s="1" t="s">
        <v>475</v>
      </c>
      <c r="J442" s="1" t="s">
        <v>23</v>
      </c>
      <c r="K442" s="1" t="s">
        <v>24</v>
      </c>
      <c r="L442" s="2">
        <v>44713</v>
      </c>
      <c r="M442" s="6">
        <f>T_SALES[[#This Row],[Profit]]/T_SALES[[#This Row],[Amount]]</f>
        <v>0.36525585844093733</v>
      </c>
    </row>
    <row r="443" spans="1:13" x14ac:dyDescent="0.25">
      <c r="A443" s="1" t="s">
        <v>473</v>
      </c>
      <c r="B443" s="7">
        <v>5234</v>
      </c>
      <c r="C443" s="8">
        <v>2021</v>
      </c>
      <c r="D443">
        <v>15</v>
      </c>
      <c r="E443" s="1" t="s">
        <v>39</v>
      </c>
      <c r="F443" s="1" t="s">
        <v>90</v>
      </c>
      <c r="G443" s="1" t="s">
        <v>35</v>
      </c>
      <c r="H443" s="2">
        <v>45217</v>
      </c>
      <c r="I443" s="1" t="s">
        <v>474</v>
      </c>
      <c r="J443" s="1" t="s">
        <v>20</v>
      </c>
      <c r="K443" s="1" t="s">
        <v>137</v>
      </c>
      <c r="L443" s="2">
        <v>45200</v>
      </c>
      <c r="M443" s="6">
        <f>T_SALES[[#This Row],[Profit]]/T_SALES[[#This Row],[Amount]]</f>
        <v>0.38612915552158961</v>
      </c>
    </row>
    <row r="444" spans="1:13" x14ac:dyDescent="0.25">
      <c r="A444" s="1" t="s">
        <v>473</v>
      </c>
      <c r="B444" s="7">
        <v>5234</v>
      </c>
      <c r="C444" s="8">
        <v>2021</v>
      </c>
      <c r="D444">
        <v>15</v>
      </c>
      <c r="E444" s="1" t="s">
        <v>39</v>
      </c>
      <c r="F444" s="1" t="s">
        <v>90</v>
      </c>
      <c r="G444" s="1" t="s">
        <v>35</v>
      </c>
      <c r="H444" s="2">
        <v>44725</v>
      </c>
      <c r="I444" s="1" t="s">
        <v>475</v>
      </c>
      <c r="J444" s="1" t="s">
        <v>23</v>
      </c>
      <c r="K444" s="1" t="s">
        <v>24</v>
      </c>
      <c r="L444" s="2">
        <v>44713</v>
      </c>
      <c r="M444" s="6">
        <f>T_SALES[[#This Row],[Profit]]/T_SALES[[#This Row],[Amount]]</f>
        <v>0.38612915552158961</v>
      </c>
    </row>
    <row r="445" spans="1:13" x14ac:dyDescent="0.25">
      <c r="A445" s="1" t="s">
        <v>476</v>
      </c>
      <c r="B445" s="7">
        <v>3944</v>
      </c>
      <c r="C445" s="8">
        <v>1559</v>
      </c>
      <c r="D445">
        <v>18</v>
      </c>
      <c r="E445" s="1" t="s">
        <v>13</v>
      </c>
      <c r="F445" s="1" t="s">
        <v>70</v>
      </c>
      <c r="G445" s="1" t="s">
        <v>41</v>
      </c>
      <c r="H445" s="2">
        <v>45455</v>
      </c>
      <c r="I445" s="1" t="s">
        <v>477</v>
      </c>
      <c r="J445" s="1" t="s">
        <v>37</v>
      </c>
      <c r="K445" s="1" t="s">
        <v>78</v>
      </c>
      <c r="L445" s="2">
        <v>45444</v>
      </c>
      <c r="M445" s="6">
        <f>T_SALES[[#This Row],[Profit]]/T_SALES[[#This Row],[Amount]]</f>
        <v>0.39528397565922924</v>
      </c>
    </row>
    <row r="446" spans="1:13" x14ac:dyDescent="0.25">
      <c r="A446" s="1" t="s">
        <v>476</v>
      </c>
      <c r="B446" s="7">
        <v>6711</v>
      </c>
      <c r="C446" s="8">
        <v>1045</v>
      </c>
      <c r="D446">
        <v>12</v>
      </c>
      <c r="E446" s="1" t="s">
        <v>27</v>
      </c>
      <c r="F446" s="1" t="s">
        <v>28</v>
      </c>
      <c r="G446" s="1" t="s">
        <v>41</v>
      </c>
      <c r="H446" s="2">
        <v>45455</v>
      </c>
      <c r="I446" s="1" t="s">
        <v>477</v>
      </c>
      <c r="J446" s="1" t="s">
        <v>37</v>
      </c>
      <c r="K446" s="1" t="s">
        <v>78</v>
      </c>
      <c r="L446" s="2">
        <v>45444</v>
      </c>
      <c r="M446" s="6">
        <f>T_SALES[[#This Row],[Profit]]/T_SALES[[#This Row],[Amount]]</f>
        <v>0.15571449858441366</v>
      </c>
    </row>
    <row r="447" spans="1:13" x14ac:dyDescent="0.25">
      <c r="A447" s="1" t="s">
        <v>476</v>
      </c>
      <c r="B447" s="7">
        <v>5031</v>
      </c>
      <c r="C447" s="8">
        <v>714</v>
      </c>
      <c r="D447">
        <v>4</v>
      </c>
      <c r="E447" s="1" t="s">
        <v>39</v>
      </c>
      <c r="F447" s="1" t="s">
        <v>40</v>
      </c>
      <c r="G447" s="1" t="s">
        <v>41</v>
      </c>
      <c r="H447" s="2">
        <v>45455</v>
      </c>
      <c r="I447" s="1" t="s">
        <v>477</v>
      </c>
      <c r="J447" s="1" t="s">
        <v>37</v>
      </c>
      <c r="K447" s="1" t="s">
        <v>78</v>
      </c>
      <c r="L447" s="2">
        <v>45444</v>
      </c>
      <c r="M447" s="6">
        <f>T_SALES[[#This Row],[Profit]]/T_SALES[[#This Row],[Amount]]</f>
        <v>0.14192009540846751</v>
      </c>
    </row>
    <row r="448" spans="1:13" x14ac:dyDescent="0.25">
      <c r="A448" s="1" t="s">
        <v>476</v>
      </c>
      <c r="B448" s="7">
        <v>6295</v>
      </c>
      <c r="C448" s="8">
        <v>2469</v>
      </c>
      <c r="D448">
        <v>14</v>
      </c>
      <c r="E448" s="1" t="s">
        <v>27</v>
      </c>
      <c r="F448" s="1" t="s">
        <v>67</v>
      </c>
      <c r="G448" s="1" t="s">
        <v>35</v>
      </c>
      <c r="H448" s="2">
        <v>45455</v>
      </c>
      <c r="I448" s="1" t="s">
        <v>477</v>
      </c>
      <c r="J448" s="1" t="s">
        <v>37</v>
      </c>
      <c r="K448" s="1" t="s">
        <v>78</v>
      </c>
      <c r="L448" s="2">
        <v>45444</v>
      </c>
      <c r="M448" s="6">
        <f>T_SALES[[#This Row],[Profit]]/T_SALES[[#This Row],[Amount]]</f>
        <v>0.39221604447974584</v>
      </c>
    </row>
    <row r="449" spans="1:13" x14ac:dyDescent="0.25">
      <c r="A449" s="1" t="s">
        <v>478</v>
      </c>
      <c r="B449" s="7">
        <v>9654</v>
      </c>
      <c r="C449" s="8">
        <v>4111</v>
      </c>
      <c r="D449">
        <v>1</v>
      </c>
      <c r="E449" s="1" t="s">
        <v>27</v>
      </c>
      <c r="F449" s="1" t="s">
        <v>55</v>
      </c>
      <c r="G449" s="1" t="s">
        <v>15</v>
      </c>
      <c r="H449" s="2">
        <v>44739</v>
      </c>
      <c r="I449" s="1" t="s">
        <v>479</v>
      </c>
      <c r="J449" s="1" t="s">
        <v>37</v>
      </c>
      <c r="K449" s="1" t="s">
        <v>78</v>
      </c>
      <c r="L449" s="2">
        <v>44713</v>
      </c>
      <c r="M449" s="6">
        <f>T_SALES[[#This Row],[Profit]]/T_SALES[[#This Row],[Amount]]</f>
        <v>0.42583385125336648</v>
      </c>
    </row>
    <row r="450" spans="1:13" x14ac:dyDescent="0.25">
      <c r="A450" s="1" t="s">
        <v>478</v>
      </c>
      <c r="B450" s="7">
        <v>3112</v>
      </c>
      <c r="C450" s="8">
        <v>1065</v>
      </c>
      <c r="D450">
        <v>20</v>
      </c>
      <c r="E450" s="1" t="s">
        <v>27</v>
      </c>
      <c r="F450" s="1" t="s">
        <v>67</v>
      </c>
      <c r="G450" s="1" t="s">
        <v>56</v>
      </c>
      <c r="H450" s="2">
        <v>44739</v>
      </c>
      <c r="I450" s="1" t="s">
        <v>479</v>
      </c>
      <c r="J450" s="1" t="s">
        <v>37</v>
      </c>
      <c r="K450" s="1" t="s">
        <v>78</v>
      </c>
      <c r="L450" s="2">
        <v>44713</v>
      </c>
      <c r="M450" s="6">
        <f>T_SALES[[#This Row],[Profit]]/T_SALES[[#This Row],[Amount]]</f>
        <v>0.34222365038560409</v>
      </c>
    </row>
    <row r="451" spans="1:13" x14ac:dyDescent="0.25">
      <c r="A451" s="1" t="s">
        <v>480</v>
      </c>
      <c r="B451" s="7">
        <v>7838</v>
      </c>
      <c r="C451" s="8">
        <v>1142</v>
      </c>
      <c r="D451">
        <v>13</v>
      </c>
      <c r="E451" s="1" t="s">
        <v>13</v>
      </c>
      <c r="F451" s="1" t="s">
        <v>70</v>
      </c>
      <c r="G451" s="1" t="s">
        <v>15</v>
      </c>
      <c r="H451" s="2">
        <v>44245</v>
      </c>
      <c r="I451" s="1" t="s">
        <v>481</v>
      </c>
      <c r="J451" s="1" t="s">
        <v>37</v>
      </c>
      <c r="K451" s="1" t="s">
        <v>78</v>
      </c>
      <c r="L451" s="2">
        <v>44228</v>
      </c>
      <c r="M451" s="6">
        <f>T_SALES[[#This Row],[Profit]]/T_SALES[[#This Row],[Amount]]</f>
        <v>0.14570043378412861</v>
      </c>
    </row>
    <row r="452" spans="1:13" x14ac:dyDescent="0.25">
      <c r="A452" s="1" t="s">
        <v>480</v>
      </c>
      <c r="B452" s="7">
        <v>9300</v>
      </c>
      <c r="C452" s="8">
        <v>3146</v>
      </c>
      <c r="D452">
        <v>6</v>
      </c>
      <c r="E452" s="1" t="s">
        <v>13</v>
      </c>
      <c r="F452" s="1" t="s">
        <v>70</v>
      </c>
      <c r="G452" s="1" t="s">
        <v>41</v>
      </c>
      <c r="H452" s="2">
        <v>44245</v>
      </c>
      <c r="I452" s="1" t="s">
        <v>481</v>
      </c>
      <c r="J452" s="1" t="s">
        <v>37</v>
      </c>
      <c r="K452" s="1" t="s">
        <v>78</v>
      </c>
      <c r="L452" s="2">
        <v>44228</v>
      </c>
      <c r="M452" s="6">
        <f>T_SALES[[#This Row],[Profit]]/T_SALES[[#This Row],[Amount]]</f>
        <v>0.3382795698924731</v>
      </c>
    </row>
    <row r="453" spans="1:13" x14ac:dyDescent="0.25">
      <c r="A453" s="1" t="s">
        <v>480</v>
      </c>
      <c r="B453" s="7">
        <v>1733</v>
      </c>
      <c r="C453" s="8">
        <v>133</v>
      </c>
      <c r="D453">
        <v>17</v>
      </c>
      <c r="E453" s="1" t="s">
        <v>27</v>
      </c>
      <c r="F453" s="1" t="s">
        <v>55</v>
      </c>
      <c r="G453" s="1" t="s">
        <v>29</v>
      </c>
      <c r="H453" s="2">
        <v>44245</v>
      </c>
      <c r="I453" s="1" t="s">
        <v>481</v>
      </c>
      <c r="J453" s="1" t="s">
        <v>37</v>
      </c>
      <c r="K453" s="1" t="s">
        <v>78</v>
      </c>
      <c r="L453" s="2">
        <v>44228</v>
      </c>
      <c r="M453" s="6">
        <f>T_SALES[[#This Row],[Profit]]/T_SALES[[#This Row],[Amount]]</f>
        <v>7.6745527986151182E-2</v>
      </c>
    </row>
    <row r="454" spans="1:13" x14ac:dyDescent="0.25">
      <c r="A454" s="1" t="s">
        <v>482</v>
      </c>
      <c r="B454" s="7">
        <v>874</v>
      </c>
      <c r="C454" s="8">
        <v>235</v>
      </c>
      <c r="D454">
        <v>15</v>
      </c>
      <c r="E454" s="1" t="s">
        <v>27</v>
      </c>
      <c r="F454" s="1" t="s">
        <v>67</v>
      </c>
      <c r="G454" s="1" t="s">
        <v>29</v>
      </c>
      <c r="H454" s="2">
        <v>45075</v>
      </c>
      <c r="I454" s="1" t="s">
        <v>483</v>
      </c>
      <c r="J454" s="1" t="s">
        <v>23</v>
      </c>
      <c r="K454" s="1" t="s">
        <v>59</v>
      </c>
      <c r="L454" s="2">
        <v>45047</v>
      </c>
      <c r="M454" s="6">
        <f>T_SALES[[#This Row],[Profit]]/T_SALES[[#This Row],[Amount]]</f>
        <v>0.26887871853546913</v>
      </c>
    </row>
    <row r="455" spans="1:13" x14ac:dyDescent="0.25">
      <c r="A455" s="1" t="s">
        <v>482</v>
      </c>
      <c r="B455" s="7">
        <v>874</v>
      </c>
      <c r="C455" s="8">
        <v>235</v>
      </c>
      <c r="D455">
        <v>15</v>
      </c>
      <c r="E455" s="1" t="s">
        <v>27</v>
      </c>
      <c r="F455" s="1" t="s">
        <v>67</v>
      </c>
      <c r="G455" s="1" t="s">
        <v>29</v>
      </c>
      <c r="H455" s="2">
        <v>44351</v>
      </c>
      <c r="I455" s="1" t="s">
        <v>484</v>
      </c>
      <c r="J455" s="1" t="s">
        <v>17</v>
      </c>
      <c r="K455" s="1" t="s">
        <v>18</v>
      </c>
      <c r="L455" s="2">
        <v>44348</v>
      </c>
      <c r="M455" s="6">
        <f>T_SALES[[#This Row],[Profit]]/T_SALES[[#This Row],[Amount]]</f>
        <v>0.26887871853546913</v>
      </c>
    </row>
    <row r="456" spans="1:13" x14ac:dyDescent="0.25">
      <c r="A456" s="1" t="s">
        <v>485</v>
      </c>
      <c r="B456" s="7">
        <v>1248</v>
      </c>
      <c r="C456" s="8">
        <v>584</v>
      </c>
      <c r="D456">
        <v>13</v>
      </c>
      <c r="E456" s="1" t="s">
        <v>27</v>
      </c>
      <c r="F456" s="1" t="s">
        <v>28</v>
      </c>
      <c r="G456" s="1" t="s">
        <v>35</v>
      </c>
      <c r="H456" s="2">
        <v>45313</v>
      </c>
      <c r="I456" s="1" t="s">
        <v>486</v>
      </c>
      <c r="J456" s="1" t="s">
        <v>82</v>
      </c>
      <c r="K456" s="1" t="s">
        <v>83</v>
      </c>
      <c r="L456" s="2">
        <v>45292</v>
      </c>
      <c r="M456" s="6">
        <f>T_SALES[[#This Row],[Profit]]/T_SALES[[#This Row],[Amount]]</f>
        <v>0.46794871794871795</v>
      </c>
    </row>
    <row r="457" spans="1:13" x14ac:dyDescent="0.25">
      <c r="A457" s="1" t="s">
        <v>485</v>
      </c>
      <c r="B457" s="7">
        <v>1248</v>
      </c>
      <c r="C457" s="8">
        <v>584</v>
      </c>
      <c r="D457">
        <v>13</v>
      </c>
      <c r="E457" s="1" t="s">
        <v>27</v>
      </c>
      <c r="F457" s="1" t="s">
        <v>28</v>
      </c>
      <c r="G457" s="1" t="s">
        <v>35</v>
      </c>
      <c r="H457" s="2">
        <v>44922</v>
      </c>
      <c r="I457" s="1" t="s">
        <v>487</v>
      </c>
      <c r="J457" s="1" t="s">
        <v>37</v>
      </c>
      <c r="K457" s="1" t="s">
        <v>78</v>
      </c>
      <c r="L457" s="2">
        <v>44896</v>
      </c>
      <c r="M457" s="6">
        <f>T_SALES[[#This Row],[Profit]]/T_SALES[[#This Row],[Amount]]</f>
        <v>0.46794871794871795</v>
      </c>
    </row>
    <row r="458" spans="1:13" x14ac:dyDescent="0.25">
      <c r="A458" s="1" t="s">
        <v>485</v>
      </c>
      <c r="B458" s="7">
        <v>3669</v>
      </c>
      <c r="C458" s="8">
        <v>154</v>
      </c>
      <c r="D458">
        <v>14</v>
      </c>
      <c r="E458" s="1" t="s">
        <v>27</v>
      </c>
      <c r="F458" s="1" t="s">
        <v>49</v>
      </c>
      <c r="G458" s="1" t="s">
        <v>35</v>
      </c>
      <c r="H458" s="2">
        <v>45313</v>
      </c>
      <c r="I458" s="1" t="s">
        <v>486</v>
      </c>
      <c r="J458" s="1" t="s">
        <v>82</v>
      </c>
      <c r="K458" s="1" t="s">
        <v>83</v>
      </c>
      <c r="L458" s="2">
        <v>45292</v>
      </c>
      <c r="M458" s="6">
        <f>T_SALES[[#This Row],[Profit]]/T_SALES[[#This Row],[Amount]]</f>
        <v>4.1973289724720635E-2</v>
      </c>
    </row>
    <row r="459" spans="1:13" x14ac:dyDescent="0.25">
      <c r="A459" s="1" t="s">
        <v>485</v>
      </c>
      <c r="B459" s="7">
        <v>3669</v>
      </c>
      <c r="C459" s="8">
        <v>154</v>
      </c>
      <c r="D459">
        <v>14</v>
      </c>
      <c r="E459" s="1" t="s">
        <v>27</v>
      </c>
      <c r="F459" s="1" t="s">
        <v>49</v>
      </c>
      <c r="G459" s="1" t="s">
        <v>35</v>
      </c>
      <c r="H459" s="2">
        <v>44922</v>
      </c>
      <c r="I459" s="1" t="s">
        <v>487</v>
      </c>
      <c r="J459" s="1" t="s">
        <v>37</v>
      </c>
      <c r="K459" s="1" t="s">
        <v>78</v>
      </c>
      <c r="L459" s="2">
        <v>44896</v>
      </c>
      <c r="M459" s="6">
        <f>T_SALES[[#This Row],[Profit]]/T_SALES[[#This Row],[Amount]]</f>
        <v>4.1973289724720635E-2</v>
      </c>
    </row>
    <row r="460" spans="1:13" x14ac:dyDescent="0.25">
      <c r="A460" s="1" t="s">
        <v>485</v>
      </c>
      <c r="B460" s="7">
        <v>514</v>
      </c>
      <c r="C460" s="8">
        <v>109</v>
      </c>
      <c r="D460">
        <v>15</v>
      </c>
      <c r="E460" s="1" t="s">
        <v>27</v>
      </c>
      <c r="F460" s="1" t="s">
        <v>55</v>
      </c>
      <c r="G460" s="1" t="s">
        <v>29</v>
      </c>
      <c r="H460" s="2">
        <v>45313</v>
      </c>
      <c r="I460" s="1" t="s">
        <v>486</v>
      </c>
      <c r="J460" s="1" t="s">
        <v>82</v>
      </c>
      <c r="K460" s="1" t="s">
        <v>83</v>
      </c>
      <c r="L460" s="2">
        <v>45292</v>
      </c>
      <c r="M460" s="6">
        <f>T_SALES[[#This Row],[Profit]]/T_SALES[[#This Row],[Amount]]</f>
        <v>0.21206225680933852</v>
      </c>
    </row>
    <row r="461" spans="1:13" x14ac:dyDescent="0.25">
      <c r="A461" s="1" t="s">
        <v>485</v>
      </c>
      <c r="B461" s="7">
        <v>514</v>
      </c>
      <c r="C461" s="8">
        <v>109</v>
      </c>
      <c r="D461">
        <v>15</v>
      </c>
      <c r="E461" s="1" t="s">
        <v>27</v>
      </c>
      <c r="F461" s="1" t="s">
        <v>55</v>
      </c>
      <c r="G461" s="1" t="s">
        <v>29</v>
      </c>
      <c r="H461" s="2">
        <v>44922</v>
      </c>
      <c r="I461" s="1" t="s">
        <v>487</v>
      </c>
      <c r="J461" s="1" t="s">
        <v>37</v>
      </c>
      <c r="K461" s="1" t="s">
        <v>78</v>
      </c>
      <c r="L461" s="2">
        <v>44896</v>
      </c>
      <c r="M461" s="6">
        <f>T_SALES[[#This Row],[Profit]]/T_SALES[[#This Row],[Amount]]</f>
        <v>0.21206225680933852</v>
      </c>
    </row>
    <row r="462" spans="1:13" x14ac:dyDescent="0.25">
      <c r="A462" s="1" t="s">
        <v>488</v>
      </c>
      <c r="B462" s="7">
        <v>3273</v>
      </c>
      <c r="C462" s="8">
        <v>85</v>
      </c>
      <c r="D462">
        <v>16</v>
      </c>
      <c r="E462" s="1" t="s">
        <v>13</v>
      </c>
      <c r="F462" s="1" t="s">
        <v>70</v>
      </c>
      <c r="G462" s="1" t="s">
        <v>15</v>
      </c>
      <c r="H462" s="2">
        <v>45381</v>
      </c>
      <c r="I462" s="1" t="s">
        <v>489</v>
      </c>
      <c r="J462" s="1" t="s">
        <v>82</v>
      </c>
      <c r="K462" s="1" t="s">
        <v>89</v>
      </c>
      <c r="L462" s="2">
        <v>45352</v>
      </c>
      <c r="M462" s="6">
        <f>T_SALES[[#This Row],[Profit]]/T_SALES[[#This Row],[Amount]]</f>
        <v>2.5970058050717997E-2</v>
      </c>
    </row>
    <row r="463" spans="1:13" x14ac:dyDescent="0.25">
      <c r="A463" s="1" t="s">
        <v>490</v>
      </c>
      <c r="B463" s="7">
        <v>5035</v>
      </c>
      <c r="C463" s="8">
        <v>2008</v>
      </c>
      <c r="D463">
        <v>2</v>
      </c>
      <c r="E463" s="1" t="s">
        <v>39</v>
      </c>
      <c r="F463" s="1" t="s">
        <v>43</v>
      </c>
      <c r="G463" s="1" t="s">
        <v>56</v>
      </c>
      <c r="H463" s="2">
        <v>43925</v>
      </c>
      <c r="I463" s="1" t="s">
        <v>491</v>
      </c>
      <c r="J463" s="1" t="s">
        <v>17</v>
      </c>
      <c r="K463" s="1" t="s">
        <v>18</v>
      </c>
      <c r="L463" s="2">
        <v>43922</v>
      </c>
      <c r="M463" s="6">
        <f>T_SALES[[#This Row],[Profit]]/T_SALES[[#This Row],[Amount]]</f>
        <v>0.39880834160873885</v>
      </c>
    </row>
    <row r="464" spans="1:13" x14ac:dyDescent="0.25">
      <c r="A464" s="1" t="s">
        <v>490</v>
      </c>
      <c r="B464" s="7">
        <v>7702</v>
      </c>
      <c r="C464" s="8">
        <v>60</v>
      </c>
      <c r="D464">
        <v>19</v>
      </c>
      <c r="E464" s="1" t="s">
        <v>13</v>
      </c>
      <c r="F464" s="1" t="s">
        <v>25</v>
      </c>
      <c r="G464" s="1" t="s">
        <v>15</v>
      </c>
      <c r="H464" s="2">
        <v>43925</v>
      </c>
      <c r="I464" s="1" t="s">
        <v>491</v>
      </c>
      <c r="J464" s="1" t="s">
        <v>17</v>
      </c>
      <c r="K464" s="1" t="s">
        <v>18</v>
      </c>
      <c r="L464" s="2">
        <v>43922</v>
      </c>
      <c r="M464" s="6">
        <f>T_SALES[[#This Row],[Profit]]/T_SALES[[#This Row],[Amount]]</f>
        <v>7.7901843676967024E-3</v>
      </c>
    </row>
    <row r="465" spans="1:13" x14ac:dyDescent="0.25">
      <c r="A465" s="1" t="s">
        <v>490</v>
      </c>
      <c r="B465" s="7">
        <v>9884</v>
      </c>
      <c r="C465" s="8">
        <v>4446</v>
      </c>
      <c r="D465">
        <v>7</v>
      </c>
      <c r="E465" s="1" t="s">
        <v>13</v>
      </c>
      <c r="F465" s="1" t="s">
        <v>25</v>
      </c>
      <c r="G465" s="1" t="s">
        <v>35</v>
      </c>
      <c r="H465" s="2">
        <v>43925</v>
      </c>
      <c r="I465" s="1" t="s">
        <v>491</v>
      </c>
      <c r="J465" s="1" t="s">
        <v>17</v>
      </c>
      <c r="K465" s="1" t="s">
        <v>18</v>
      </c>
      <c r="L465" s="2">
        <v>43922</v>
      </c>
      <c r="M465" s="6">
        <f>T_SALES[[#This Row],[Profit]]/T_SALES[[#This Row],[Amount]]</f>
        <v>0.44981788749494134</v>
      </c>
    </row>
    <row r="466" spans="1:13" x14ac:dyDescent="0.25">
      <c r="A466" s="1" t="s">
        <v>492</v>
      </c>
      <c r="B466" s="7">
        <v>5564</v>
      </c>
      <c r="C466" s="8">
        <v>175</v>
      </c>
      <c r="D466">
        <v>11</v>
      </c>
      <c r="E466" s="1" t="s">
        <v>13</v>
      </c>
      <c r="F466" s="1" t="s">
        <v>34</v>
      </c>
      <c r="G466" s="1" t="s">
        <v>56</v>
      </c>
      <c r="H466" s="2">
        <v>44948</v>
      </c>
      <c r="I466" s="1" t="s">
        <v>493</v>
      </c>
      <c r="J466" s="1" t="s">
        <v>20</v>
      </c>
      <c r="K466" s="1" t="s">
        <v>21</v>
      </c>
      <c r="L466" s="2">
        <v>44927</v>
      </c>
      <c r="M466" s="6">
        <f>T_SALES[[#This Row],[Profit]]/T_SALES[[#This Row],[Amount]]</f>
        <v>3.145219266714594E-2</v>
      </c>
    </row>
    <row r="467" spans="1:13" x14ac:dyDescent="0.25">
      <c r="A467" s="1" t="s">
        <v>492</v>
      </c>
      <c r="B467" s="7">
        <v>5564</v>
      </c>
      <c r="C467" s="8">
        <v>175</v>
      </c>
      <c r="D467">
        <v>11</v>
      </c>
      <c r="E467" s="1" t="s">
        <v>13</v>
      </c>
      <c r="F467" s="1" t="s">
        <v>34</v>
      </c>
      <c r="G467" s="1" t="s">
        <v>56</v>
      </c>
      <c r="H467" s="2">
        <v>44663</v>
      </c>
      <c r="I467" s="1" t="s">
        <v>494</v>
      </c>
      <c r="J467" s="1" t="s">
        <v>62</v>
      </c>
      <c r="K467" s="1" t="s">
        <v>111</v>
      </c>
      <c r="L467" s="2">
        <v>44652</v>
      </c>
      <c r="M467" s="6">
        <f>T_SALES[[#This Row],[Profit]]/T_SALES[[#This Row],[Amount]]</f>
        <v>3.145219266714594E-2</v>
      </c>
    </row>
    <row r="468" spans="1:13" x14ac:dyDescent="0.25">
      <c r="A468" s="1" t="s">
        <v>492</v>
      </c>
      <c r="B468" s="7">
        <v>5564</v>
      </c>
      <c r="C468" s="8">
        <v>175</v>
      </c>
      <c r="D468">
        <v>11</v>
      </c>
      <c r="E468" s="1" t="s">
        <v>13</v>
      </c>
      <c r="F468" s="1" t="s">
        <v>34</v>
      </c>
      <c r="G468" s="1" t="s">
        <v>56</v>
      </c>
      <c r="H468" s="2">
        <v>45273</v>
      </c>
      <c r="I468" s="1" t="s">
        <v>495</v>
      </c>
      <c r="J468" s="1" t="s">
        <v>17</v>
      </c>
      <c r="K468" s="1" t="s">
        <v>18</v>
      </c>
      <c r="L468" s="2">
        <v>45261</v>
      </c>
      <c r="M468" s="6">
        <f>T_SALES[[#This Row],[Profit]]/T_SALES[[#This Row],[Amount]]</f>
        <v>3.145219266714594E-2</v>
      </c>
    </row>
    <row r="469" spans="1:13" x14ac:dyDescent="0.25">
      <c r="A469" s="1" t="s">
        <v>492</v>
      </c>
      <c r="B469" s="7">
        <v>3953</v>
      </c>
      <c r="C469" s="8">
        <v>1776</v>
      </c>
      <c r="D469">
        <v>15</v>
      </c>
      <c r="E469" s="1" t="s">
        <v>13</v>
      </c>
      <c r="F469" s="1" t="s">
        <v>14</v>
      </c>
      <c r="G469" s="1" t="s">
        <v>15</v>
      </c>
      <c r="H469" s="2">
        <v>44948</v>
      </c>
      <c r="I469" s="1" t="s">
        <v>493</v>
      </c>
      <c r="J469" s="1" t="s">
        <v>20</v>
      </c>
      <c r="K469" s="1" t="s">
        <v>21</v>
      </c>
      <c r="L469" s="2">
        <v>44927</v>
      </c>
      <c r="M469" s="6">
        <f>T_SALES[[#This Row],[Profit]]/T_SALES[[#This Row],[Amount]]</f>
        <v>0.44927902858588414</v>
      </c>
    </row>
    <row r="470" spans="1:13" x14ac:dyDescent="0.25">
      <c r="A470" s="1" t="s">
        <v>492</v>
      </c>
      <c r="B470" s="7">
        <v>3953</v>
      </c>
      <c r="C470" s="8">
        <v>1776</v>
      </c>
      <c r="D470">
        <v>15</v>
      </c>
      <c r="E470" s="1" t="s">
        <v>13</v>
      </c>
      <c r="F470" s="1" t="s">
        <v>14</v>
      </c>
      <c r="G470" s="1" t="s">
        <v>15</v>
      </c>
      <c r="H470" s="2">
        <v>44663</v>
      </c>
      <c r="I470" s="1" t="s">
        <v>494</v>
      </c>
      <c r="J470" s="1" t="s">
        <v>62</v>
      </c>
      <c r="K470" s="1" t="s">
        <v>111</v>
      </c>
      <c r="L470" s="2">
        <v>44652</v>
      </c>
      <c r="M470" s="6">
        <f>T_SALES[[#This Row],[Profit]]/T_SALES[[#This Row],[Amount]]</f>
        <v>0.44927902858588414</v>
      </c>
    </row>
    <row r="471" spans="1:13" x14ac:dyDescent="0.25">
      <c r="A471" s="1" t="s">
        <v>492</v>
      </c>
      <c r="B471" s="7">
        <v>3953</v>
      </c>
      <c r="C471" s="8">
        <v>1776</v>
      </c>
      <c r="D471">
        <v>15</v>
      </c>
      <c r="E471" s="1" t="s">
        <v>13</v>
      </c>
      <c r="F471" s="1" t="s">
        <v>14</v>
      </c>
      <c r="G471" s="1" t="s">
        <v>15</v>
      </c>
      <c r="H471" s="2">
        <v>45273</v>
      </c>
      <c r="I471" s="1" t="s">
        <v>495</v>
      </c>
      <c r="J471" s="1" t="s">
        <v>17</v>
      </c>
      <c r="K471" s="1" t="s">
        <v>18</v>
      </c>
      <c r="L471" s="2">
        <v>45261</v>
      </c>
      <c r="M471" s="6">
        <f>T_SALES[[#This Row],[Profit]]/T_SALES[[#This Row],[Amount]]</f>
        <v>0.44927902858588414</v>
      </c>
    </row>
    <row r="472" spans="1:13" x14ac:dyDescent="0.25">
      <c r="A472" s="1" t="s">
        <v>496</v>
      </c>
      <c r="B472" s="7">
        <v>6488</v>
      </c>
      <c r="C472" s="8">
        <v>1591</v>
      </c>
      <c r="D472">
        <v>18</v>
      </c>
      <c r="E472" s="1" t="s">
        <v>13</v>
      </c>
      <c r="F472" s="1" t="s">
        <v>25</v>
      </c>
      <c r="G472" s="1" t="s">
        <v>35</v>
      </c>
      <c r="H472" s="2">
        <v>45070</v>
      </c>
      <c r="I472" s="1" t="s">
        <v>497</v>
      </c>
      <c r="J472" s="1" t="s">
        <v>62</v>
      </c>
      <c r="K472" s="1" t="s">
        <v>63</v>
      </c>
      <c r="L472" s="2">
        <v>45047</v>
      </c>
      <c r="M472" s="6">
        <f>T_SALES[[#This Row],[Profit]]/T_SALES[[#This Row],[Amount]]</f>
        <v>0.24522194821208385</v>
      </c>
    </row>
    <row r="473" spans="1:13" x14ac:dyDescent="0.25">
      <c r="A473" s="1" t="s">
        <v>496</v>
      </c>
      <c r="B473" s="7">
        <v>6488</v>
      </c>
      <c r="C473" s="8">
        <v>1591</v>
      </c>
      <c r="D473">
        <v>18</v>
      </c>
      <c r="E473" s="1" t="s">
        <v>13</v>
      </c>
      <c r="F473" s="1" t="s">
        <v>25</v>
      </c>
      <c r="G473" s="1" t="s">
        <v>35</v>
      </c>
      <c r="H473" s="2">
        <v>44164</v>
      </c>
      <c r="I473" s="1" t="s">
        <v>498</v>
      </c>
      <c r="J473" s="1" t="s">
        <v>62</v>
      </c>
      <c r="K473" s="1" t="s">
        <v>111</v>
      </c>
      <c r="L473" s="2">
        <v>44136</v>
      </c>
      <c r="M473" s="6">
        <f>T_SALES[[#This Row],[Profit]]/T_SALES[[#This Row],[Amount]]</f>
        <v>0.24522194821208385</v>
      </c>
    </row>
    <row r="474" spans="1:13" x14ac:dyDescent="0.25">
      <c r="A474" s="1" t="s">
        <v>499</v>
      </c>
      <c r="B474" s="7">
        <v>7856</v>
      </c>
      <c r="C474" s="8">
        <v>3699</v>
      </c>
      <c r="D474">
        <v>17</v>
      </c>
      <c r="E474" s="1" t="s">
        <v>13</v>
      </c>
      <c r="F474" s="1" t="s">
        <v>14</v>
      </c>
      <c r="G474" s="1" t="s">
        <v>15</v>
      </c>
      <c r="H474" s="2">
        <v>44279</v>
      </c>
      <c r="I474" s="1" t="s">
        <v>500</v>
      </c>
      <c r="J474" s="1" t="s">
        <v>17</v>
      </c>
      <c r="K474" s="1" t="s">
        <v>31</v>
      </c>
      <c r="L474" s="2">
        <v>44256</v>
      </c>
      <c r="M474" s="6">
        <f>T_SALES[[#This Row],[Profit]]/T_SALES[[#This Row],[Amount]]</f>
        <v>0.47085030549898166</v>
      </c>
    </row>
    <row r="475" spans="1:13" x14ac:dyDescent="0.25">
      <c r="A475" s="1" t="s">
        <v>499</v>
      </c>
      <c r="B475" s="7">
        <v>1165</v>
      </c>
      <c r="C475" s="8">
        <v>51</v>
      </c>
      <c r="D475">
        <v>3</v>
      </c>
      <c r="E475" s="1" t="s">
        <v>27</v>
      </c>
      <c r="F475" s="1" t="s">
        <v>28</v>
      </c>
      <c r="G475" s="1" t="s">
        <v>35</v>
      </c>
      <c r="H475" s="2">
        <v>44279</v>
      </c>
      <c r="I475" s="1" t="s">
        <v>500</v>
      </c>
      <c r="J475" s="1" t="s">
        <v>17</v>
      </c>
      <c r="K475" s="1" t="s">
        <v>31</v>
      </c>
      <c r="L475" s="2">
        <v>44256</v>
      </c>
      <c r="M475" s="6">
        <f>T_SALES[[#This Row],[Profit]]/T_SALES[[#This Row],[Amount]]</f>
        <v>4.3776824034334763E-2</v>
      </c>
    </row>
    <row r="476" spans="1:13" x14ac:dyDescent="0.25">
      <c r="A476" s="1" t="s">
        <v>501</v>
      </c>
      <c r="B476" s="7">
        <v>9386</v>
      </c>
      <c r="C476" s="8">
        <v>2555</v>
      </c>
      <c r="D476">
        <v>20</v>
      </c>
      <c r="E476" s="1" t="s">
        <v>27</v>
      </c>
      <c r="F476" s="1" t="s">
        <v>49</v>
      </c>
      <c r="G476" s="1" t="s">
        <v>41</v>
      </c>
      <c r="H476" s="2">
        <v>44062</v>
      </c>
      <c r="I476" s="1" t="s">
        <v>502</v>
      </c>
      <c r="J476" s="1" t="s">
        <v>37</v>
      </c>
      <c r="K476" s="1" t="s">
        <v>65</v>
      </c>
      <c r="L476" s="2">
        <v>44044</v>
      </c>
      <c r="M476" s="6">
        <f>T_SALES[[#This Row],[Profit]]/T_SALES[[#This Row],[Amount]]</f>
        <v>0.27221393564883872</v>
      </c>
    </row>
    <row r="477" spans="1:13" x14ac:dyDescent="0.25">
      <c r="A477" s="1" t="s">
        <v>501</v>
      </c>
      <c r="B477" s="7">
        <v>9386</v>
      </c>
      <c r="C477" s="8">
        <v>2555</v>
      </c>
      <c r="D477">
        <v>20</v>
      </c>
      <c r="E477" s="1" t="s">
        <v>27</v>
      </c>
      <c r="F477" s="1" t="s">
        <v>49</v>
      </c>
      <c r="G477" s="1" t="s">
        <v>41</v>
      </c>
      <c r="H477" s="2">
        <v>44854</v>
      </c>
      <c r="I477" s="1" t="s">
        <v>503</v>
      </c>
      <c r="J477" s="1" t="s">
        <v>82</v>
      </c>
      <c r="K477" s="1" t="s">
        <v>97</v>
      </c>
      <c r="L477" s="2">
        <v>44835</v>
      </c>
      <c r="M477" s="6">
        <f>T_SALES[[#This Row],[Profit]]/T_SALES[[#This Row],[Amount]]</f>
        <v>0.27221393564883872</v>
      </c>
    </row>
    <row r="478" spans="1:13" x14ac:dyDescent="0.25">
      <c r="A478" s="1" t="s">
        <v>504</v>
      </c>
      <c r="B478" s="7">
        <v>3956</v>
      </c>
      <c r="C478" s="8">
        <v>142</v>
      </c>
      <c r="D478">
        <v>12</v>
      </c>
      <c r="E478" s="1" t="s">
        <v>27</v>
      </c>
      <c r="F478" s="1" t="s">
        <v>28</v>
      </c>
      <c r="G478" s="1" t="s">
        <v>29</v>
      </c>
      <c r="H478" s="2">
        <v>45189</v>
      </c>
      <c r="I478" s="1" t="s">
        <v>505</v>
      </c>
      <c r="J478" s="1" t="s">
        <v>17</v>
      </c>
      <c r="K478" s="1" t="s">
        <v>121</v>
      </c>
      <c r="L478" s="2">
        <v>45170</v>
      </c>
      <c r="M478" s="6">
        <f>T_SALES[[#This Row],[Profit]]/T_SALES[[#This Row],[Amount]]</f>
        <v>3.5894843276036398E-2</v>
      </c>
    </row>
    <row r="479" spans="1:13" x14ac:dyDescent="0.25">
      <c r="A479" s="1" t="s">
        <v>504</v>
      </c>
      <c r="B479" s="7">
        <v>3956</v>
      </c>
      <c r="C479" s="8">
        <v>142</v>
      </c>
      <c r="D479">
        <v>12</v>
      </c>
      <c r="E479" s="1" t="s">
        <v>27</v>
      </c>
      <c r="F479" s="1" t="s">
        <v>28</v>
      </c>
      <c r="G479" s="1" t="s">
        <v>29</v>
      </c>
      <c r="H479" s="2">
        <v>45652</v>
      </c>
      <c r="I479" s="1" t="s">
        <v>506</v>
      </c>
      <c r="J479" s="1" t="s">
        <v>62</v>
      </c>
      <c r="K479" s="1" t="s">
        <v>63</v>
      </c>
      <c r="L479" s="2">
        <v>45627</v>
      </c>
      <c r="M479" s="6">
        <f>T_SALES[[#This Row],[Profit]]/T_SALES[[#This Row],[Amount]]</f>
        <v>3.5894843276036398E-2</v>
      </c>
    </row>
    <row r="480" spans="1:13" x14ac:dyDescent="0.25">
      <c r="A480" s="1" t="s">
        <v>504</v>
      </c>
      <c r="B480" s="7">
        <v>6449</v>
      </c>
      <c r="C480" s="8">
        <v>2628</v>
      </c>
      <c r="D480">
        <v>11</v>
      </c>
      <c r="E480" s="1" t="s">
        <v>39</v>
      </c>
      <c r="F480" s="1" t="s">
        <v>90</v>
      </c>
      <c r="G480" s="1" t="s">
        <v>35</v>
      </c>
      <c r="H480" s="2">
        <v>45189</v>
      </c>
      <c r="I480" s="1" t="s">
        <v>505</v>
      </c>
      <c r="J480" s="1" t="s">
        <v>17</v>
      </c>
      <c r="K480" s="1" t="s">
        <v>121</v>
      </c>
      <c r="L480" s="2">
        <v>45170</v>
      </c>
      <c r="M480" s="6">
        <f>T_SALES[[#This Row],[Profit]]/T_SALES[[#This Row],[Amount]]</f>
        <v>0.40750503954101414</v>
      </c>
    </row>
    <row r="481" spans="1:13" x14ac:dyDescent="0.25">
      <c r="A481" s="1" t="s">
        <v>504</v>
      </c>
      <c r="B481" s="7">
        <v>6449</v>
      </c>
      <c r="C481" s="8">
        <v>2628</v>
      </c>
      <c r="D481">
        <v>11</v>
      </c>
      <c r="E481" s="1" t="s">
        <v>39</v>
      </c>
      <c r="F481" s="1" t="s">
        <v>90</v>
      </c>
      <c r="G481" s="1" t="s">
        <v>35</v>
      </c>
      <c r="H481" s="2">
        <v>45652</v>
      </c>
      <c r="I481" s="1" t="s">
        <v>506</v>
      </c>
      <c r="J481" s="1" t="s">
        <v>62</v>
      </c>
      <c r="K481" s="1" t="s">
        <v>63</v>
      </c>
      <c r="L481" s="2">
        <v>45627</v>
      </c>
      <c r="M481" s="6">
        <f>T_SALES[[#This Row],[Profit]]/T_SALES[[#This Row],[Amount]]</f>
        <v>0.40750503954101414</v>
      </c>
    </row>
    <row r="482" spans="1:13" x14ac:dyDescent="0.25">
      <c r="A482" s="1" t="s">
        <v>507</v>
      </c>
      <c r="B482" s="7">
        <v>6255</v>
      </c>
      <c r="C482" s="8">
        <v>437</v>
      </c>
      <c r="D482">
        <v>18</v>
      </c>
      <c r="E482" s="1" t="s">
        <v>27</v>
      </c>
      <c r="F482" s="1" t="s">
        <v>49</v>
      </c>
      <c r="G482" s="1" t="s">
        <v>56</v>
      </c>
      <c r="H482" s="2">
        <v>44533</v>
      </c>
      <c r="I482" s="1" t="s">
        <v>508</v>
      </c>
      <c r="J482" s="1" t="s">
        <v>23</v>
      </c>
      <c r="K482" s="1" t="s">
        <v>59</v>
      </c>
      <c r="L482" s="2">
        <v>44531</v>
      </c>
      <c r="M482" s="6">
        <f>T_SALES[[#This Row],[Profit]]/T_SALES[[#This Row],[Amount]]</f>
        <v>6.9864108713029574E-2</v>
      </c>
    </row>
    <row r="483" spans="1:13" x14ac:dyDescent="0.25">
      <c r="A483" s="1" t="s">
        <v>507</v>
      </c>
      <c r="B483" s="7">
        <v>2109</v>
      </c>
      <c r="C483" s="8">
        <v>681</v>
      </c>
      <c r="D483">
        <v>20</v>
      </c>
      <c r="E483" s="1" t="s">
        <v>13</v>
      </c>
      <c r="F483" s="1" t="s">
        <v>14</v>
      </c>
      <c r="G483" s="1" t="s">
        <v>15</v>
      </c>
      <c r="H483" s="2">
        <v>44533</v>
      </c>
      <c r="I483" s="1" t="s">
        <v>508</v>
      </c>
      <c r="J483" s="1" t="s">
        <v>23</v>
      </c>
      <c r="K483" s="1" t="s">
        <v>59</v>
      </c>
      <c r="L483" s="2">
        <v>44531</v>
      </c>
      <c r="M483" s="6">
        <f>T_SALES[[#This Row],[Profit]]/T_SALES[[#This Row],[Amount]]</f>
        <v>0.3229018492176387</v>
      </c>
    </row>
    <row r="484" spans="1:13" x14ac:dyDescent="0.25">
      <c r="A484" s="1" t="s">
        <v>509</v>
      </c>
      <c r="B484" s="7">
        <v>6707</v>
      </c>
      <c r="C484" s="8">
        <v>1041</v>
      </c>
      <c r="D484">
        <v>20</v>
      </c>
      <c r="E484" s="1" t="s">
        <v>13</v>
      </c>
      <c r="F484" s="1" t="s">
        <v>70</v>
      </c>
      <c r="G484" s="1" t="s">
        <v>41</v>
      </c>
      <c r="H484" s="2">
        <v>44453</v>
      </c>
      <c r="I484" s="1" t="s">
        <v>510</v>
      </c>
      <c r="J484" s="1" t="s">
        <v>62</v>
      </c>
      <c r="K484" s="1" t="s">
        <v>74</v>
      </c>
      <c r="L484" s="2">
        <v>44440</v>
      </c>
      <c r="M484" s="6">
        <f>T_SALES[[#This Row],[Profit]]/T_SALES[[#This Row],[Amount]]</f>
        <v>0.15521097360966155</v>
      </c>
    </row>
    <row r="485" spans="1:13" x14ac:dyDescent="0.25">
      <c r="A485" s="1" t="s">
        <v>511</v>
      </c>
      <c r="B485" s="7">
        <v>7633</v>
      </c>
      <c r="C485" s="8">
        <v>184</v>
      </c>
      <c r="D485">
        <v>13</v>
      </c>
      <c r="E485" s="1" t="s">
        <v>27</v>
      </c>
      <c r="F485" s="1" t="s">
        <v>28</v>
      </c>
      <c r="G485" s="1" t="s">
        <v>56</v>
      </c>
      <c r="H485" s="2">
        <v>44469</v>
      </c>
      <c r="I485" s="1" t="s">
        <v>512</v>
      </c>
      <c r="J485" s="1" t="s">
        <v>20</v>
      </c>
      <c r="K485" s="1" t="s">
        <v>54</v>
      </c>
      <c r="L485" s="2">
        <v>44440</v>
      </c>
      <c r="M485" s="6">
        <f>T_SALES[[#This Row],[Profit]]/T_SALES[[#This Row],[Amount]]</f>
        <v>2.4105856150923623E-2</v>
      </c>
    </row>
    <row r="486" spans="1:13" x14ac:dyDescent="0.25">
      <c r="A486" s="1" t="s">
        <v>513</v>
      </c>
      <c r="B486" s="7">
        <v>975</v>
      </c>
      <c r="C486" s="8">
        <v>224</v>
      </c>
      <c r="D486">
        <v>18</v>
      </c>
      <c r="E486" s="1" t="s">
        <v>27</v>
      </c>
      <c r="F486" s="1" t="s">
        <v>28</v>
      </c>
      <c r="G486" s="1" t="s">
        <v>56</v>
      </c>
      <c r="H486" s="2">
        <v>44552</v>
      </c>
      <c r="I486" s="1" t="s">
        <v>514</v>
      </c>
      <c r="J486" s="1" t="s">
        <v>37</v>
      </c>
      <c r="K486" s="1" t="s">
        <v>65</v>
      </c>
      <c r="L486" s="2">
        <v>44531</v>
      </c>
      <c r="M486" s="6">
        <f>T_SALES[[#This Row],[Profit]]/T_SALES[[#This Row],[Amount]]</f>
        <v>0.22974358974358974</v>
      </c>
    </row>
    <row r="487" spans="1:13" x14ac:dyDescent="0.25">
      <c r="A487" s="1" t="s">
        <v>513</v>
      </c>
      <c r="B487" s="7">
        <v>4492</v>
      </c>
      <c r="C487" s="8">
        <v>1450</v>
      </c>
      <c r="D487">
        <v>7</v>
      </c>
      <c r="E487" s="1" t="s">
        <v>39</v>
      </c>
      <c r="F487" s="1" t="s">
        <v>40</v>
      </c>
      <c r="G487" s="1" t="s">
        <v>35</v>
      </c>
      <c r="H487" s="2">
        <v>44552</v>
      </c>
      <c r="I487" s="1" t="s">
        <v>514</v>
      </c>
      <c r="J487" s="1" t="s">
        <v>37</v>
      </c>
      <c r="K487" s="1" t="s">
        <v>65</v>
      </c>
      <c r="L487" s="2">
        <v>44531</v>
      </c>
      <c r="M487" s="6">
        <f>T_SALES[[#This Row],[Profit]]/T_SALES[[#This Row],[Amount]]</f>
        <v>0.32279608192341941</v>
      </c>
    </row>
    <row r="488" spans="1:13" x14ac:dyDescent="0.25">
      <c r="A488" s="1" t="s">
        <v>513</v>
      </c>
      <c r="B488" s="7">
        <v>7957</v>
      </c>
      <c r="C488" s="8">
        <v>2834</v>
      </c>
      <c r="D488">
        <v>12</v>
      </c>
      <c r="E488" s="1" t="s">
        <v>39</v>
      </c>
      <c r="F488" s="1" t="s">
        <v>43</v>
      </c>
      <c r="G488" s="1" t="s">
        <v>15</v>
      </c>
      <c r="H488" s="2">
        <v>44552</v>
      </c>
      <c r="I488" s="1" t="s">
        <v>514</v>
      </c>
      <c r="J488" s="1" t="s">
        <v>37</v>
      </c>
      <c r="K488" s="1" t="s">
        <v>65</v>
      </c>
      <c r="L488" s="2">
        <v>44531</v>
      </c>
      <c r="M488" s="6">
        <f>T_SALES[[#This Row],[Profit]]/T_SALES[[#This Row],[Amount]]</f>
        <v>0.35616438356164382</v>
      </c>
    </row>
    <row r="489" spans="1:13" x14ac:dyDescent="0.25">
      <c r="A489" s="1" t="s">
        <v>515</v>
      </c>
      <c r="B489" s="7">
        <v>4906</v>
      </c>
      <c r="C489" s="8">
        <v>975</v>
      </c>
      <c r="D489">
        <v>7</v>
      </c>
      <c r="E489" s="1" t="s">
        <v>39</v>
      </c>
      <c r="F489" s="1" t="s">
        <v>40</v>
      </c>
      <c r="G489" s="1" t="s">
        <v>29</v>
      </c>
      <c r="H489" s="2">
        <v>44699</v>
      </c>
      <c r="I489" s="1" t="s">
        <v>516</v>
      </c>
      <c r="J489" s="1" t="s">
        <v>62</v>
      </c>
      <c r="K489" s="1" t="s">
        <v>111</v>
      </c>
      <c r="L489" s="2">
        <v>44682</v>
      </c>
      <c r="M489" s="6">
        <f>T_SALES[[#This Row],[Profit]]/T_SALES[[#This Row],[Amount]]</f>
        <v>0.19873624133713819</v>
      </c>
    </row>
    <row r="490" spans="1:13" x14ac:dyDescent="0.25">
      <c r="A490" s="1" t="s">
        <v>517</v>
      </c>
      <c r="B490" s="7">
        <v>1379</v>
      </c>
      <c r="C490" s="8">
        <v>250</v>
      </c>
      <c r="D490">
        <v>3</v>
      </c>
      <c r="E490" s="1" t="s">
        <v>27</v>
      </c>
      <c r="F490" s="1" t="s">
        <v>28</v>
      </c>
      <c r="G490" s="1" t="s">
        <v>41</v>
      </c>
      <c r="H490" s="2">
        <v>44112</v>
      </c>
      <c r="I490" s="1" t="s">
        <v>518</v>
      </c>
      <c r="J490" s="1" t="s">
        <v>23</v>
      </c>
      <c r="K490" s="1" t="s">
        <v>24</v>
      </c>
      <c r="L490" s="2">
        <v>44105</v>
      </c>
      <c r="M490" s="6">
        <f>T_SALES[[#This Row],[Profit]]/T_SALES[[#This Row],[Amount]]</f>
        <v>0.18129079042784627</v>
      </c>
    </row>
    <row r="491" spans="1:13" x14ac:dyDescent="0.25">
      <c r="A491" s="1" t="s">
        <v>517</v>
      </c>
      <c r="B491" s="7">
        <v>4244</v>
      </c>
      <c r="C491" s="8">
        <v>340</v>
      </c>
      <c r="D491">
        <v>10</v>
      </c>
      <c r="E491" s="1" t="s">
        <v>13</v>
      </c>
      <c r="F491" s="1" t="s">
        <v>34</v>
      </c>
      <c r="G491" s="1" t="s">
        <v>29</v>
      </c>
      <c r="H491" s="2">
        <v>44112</v>
      </c>
      <c r="I491" s="1" t="s">
        <v>518</v>
      </c>
      <c r="J491" s="1" t="s">
        <v>23</v>
      </c>
      <c r="K491" s="1" t="s">
        <v>24</v>
      </c>
      <c r="L491" s="2">
        <v>44105</v>
      </c>
      <c r="M491" s="6">
        <f>T_SALES[[#This Row],[Profit]]/T_SALES[[#This Row],[Amount]]</f>
        <v>8.0113100848256361E-2</v>
      </c>
    </row>
    <row r="492" spans="1:13" x14ac:dyDescent="0.25">
      <c r="A492" s="1" t="s">
        <v>519</v>
      </c>
      <c r="B492" s="7">
        <v>5911</v>
      </c>
      <c r="C492" s="8">
        <v>2333</v>
      </c>
      <c r="D492">
        <v>14</v>
      </c>
      <c r="E492" s="1" t="s">
        <v>39</v>
      </c>
      <c r="F492" s="1" t="s">
        <v>90</v>
      </c>
      <c r="G492" s="1" t="s">
        <v>35</v>
      </c>
      <c r="H492" s="2">
        <v>44793</v>
      </c>
      <c r="I492" s="1" t="s">
        <v>520</v>
      </c>
      <c r="J492" s="1" t="s">
        <v>37</v>
      </c>
      <c r="K492" s="1" t="s">
        <v>65</v>
      </c>
      <c r="L492" s="2">
        <v>44774</v>
      </c>
      <c r="M492" s="6">
        <f>T_SALES[[#This Row],[Profit]]/T_SALES[[#This Row],[Amount]]</f>
        <v>0.39468787007274575</v>
      </c>
    </row>
    <row r="493" spans="1:13" x14ac:dyDescent="0.25">
      <c r="A493" s="1" t="s">
        <v>519</v>
      </c>
      <c r="B493" s="7">
        <v>5911</v>
      </c>
      <c r="C493" s="8">
        <v>2333</v>
      </c>
      <c r="D493">
        <v>14</v>
      </c>
      <c r="E493" s="1" t="s">
        <v>39</v>
      </c>
      <c r="F493" s="1" t="s">
        <v>90</v>
      </c>
      <c r="G493" s="1" t="s">
        <v>35</v>
      </c>
      <c r="H493" s="2">
        <v>45621</v>
      </c>
      <c r="I493" s="1" t="s">
        <v>521</v>
      </c>
      <c r="J493" s="1" t="s">
        <v>37</v>
      </c>
      <c r="K493" s="1" t="s">
        <v>78</v>
      </c>
      <c r="L493" s="2">
        <v>45597</v>
      </c>
      <c r="M493" s="6">
        <f>T_SALES[[#This Row],[Profit]]/T_SALES[[#This Row],[Amount]]</f>
        <v>0.39468787007274575</v>
      </c>
    </row>
    <row r="494" spans="1:13" x14ac:dyDescent="0.25">
      <c r="A494" s="1" t="s">
        <v>519</v>
      </c>
      <c r="B494" s="7">
        <v>1818</v>
      </c>
      <c r="C494" s="8">
        <v>738</v>
      </c>
      <c r="D494">
        <v>11</v>
      </c>
      <c r="E494" s="1" t="s">
        <v>27</v>
      </c>
      <c r="F494" s="1" t="s">
        <v>49</v>
      </c>
      <c r="G494" s="1" t="s">
        <v>35</v>
      </c>
      <c r="H494" s="2">
        <v>44793</v>
      </c>
      <c r="I494" s="1" t="s">
        <v>520</v>
      </c>
      <c r="J494" s="1" t="s">
        <v>37</v>
      </c>
      <c r="K494" s="1" t="s">
        <v>65</v>
      </c>
      <c r="L494" s="2">
        <v>44774</v>
      </c>
      <c r="M494" s="6">
        <f>T_SALES[[#This Row],[Profit]]/T_SALES[[#This Row],[Amount]]</f>
        <v>0.40594059405940597</v>
      </c>
    </row>
    <row r="495" spans="1:13" x14ac:dyDescent="0.25">
      <c r="A495" s="1" t="s">
        <v>519</v>
      </c>
      <c r="B495" s="7">
        <v>1818</v>
      </c>
      <c r="C495" s="8">
        <v>738</v>
      </c>
      <c r="D495">
        <v>11</v>
      </c>
      <c r="E495" s="1" t="s">
        <v>27</v>
      </c>
      <c r="F495" s="1" t="s">
        <v>49</v>
      </c>
      <c r="G495" s="1" t="s">
        <v>35</v>
      </c>
      <c r="H495" s="2">
        <v>45621</v>
      </c>
      <c r="I495" s="1" t="s">
        <v>521</v>
      </c>
      <c r="J495" s="1" t="s">
        <v>37</v>
      </c>
      <c r="K495" s="1" t="s">
        <v>78</v>
      </c>
      <c r="L495" s="2">
        <v>45597</v>
      </c>
      <c r="M495" s="6">
        <f>T_SALES[[#This Row],[Profit]]/T_SALES[[#This Row],[Amount]]</f>
        <v>0.40594059405940597</v>
      </c>
    </row>
    <row r="496" spans="1:13" x14ac:dyDescent="0.25">
      <c r="A496" s="1" t="s">
        <v>522</v>
      </c>
      <c r="B496" s="7">
        <v>2140</v>
      </c>
      <c r="C496" s="8">
        <v>970</v>
      </c>
      <c r="D496">
        <v>4</v>
      </c>
      <c r="E496" s="1" t="s">
        <v>27</v>
      </c>
      <c r="F496" s="1" t="s">
        <v>55</v>
      </c>
      <c r="G496" s="1" t="s">
        <v>41</v>
      </c>
      <c r="H496" s="2">
        <v>44104</v>
      </c>
      <c r="I496" s="1" t="s">
        <v>523</v>
      </c>
      <c r="J496" s="1" t="s">
        <v>37</v>
      </c>
      <c r="K496" s="1" t="s">
        <v>65</v>
      </c>
      <c r="L496" s="2">
        <v>44075</v>
      </c>
      <c r="M496" s="6">
        <f>T_SALES[[#This Row],[Profit]]/T_SALES[[#This Row],[Amount]]</f>
        <v>0.45327102803738317</v>
      </c>
    </row>
    <row r="497" spans="1:13" x14ac:dyDescent="0.25">
      <c r="A497" s="1" t="s">
        <v>522</v>
      </c>
      <c r="B497" s="7">
        <v>2140</v>
      </c>
      <c r="C497" s="8">
        <v>970</v>
      </c>
      <c r="D497">
        <v>4</v>
      </c>
      <c r="E497" s="1" t="s">
        <v>27</v>
      </c>
      <c r="F497" s="1" t="s">
        <v>55</v>
      </c>
      <c r="G497" s="1" t="s">
        <v>41</v>
      </c>
      <c r="H497" s="2">
        <v>45708</v>
      </c>
      <c r="I497" s="1" t="s">
        <v>524</v>
      </c>
      <c r="J497" s="1" t="s">
        <v>17</v>
      </c>
      <c r="K497" s="1" t="s">
        <v>31</v>
      </c>
      <c r="L497" s="2">
        <v>45689</v>
      </c>
      <c r="M497" s="6">
        <f>T_SALES[[#This Row],[Profit]]/T_SALES[[#This Row],[Amount]]</f>
        <v>0.45327102803738317</v>
      </c>
    </row>
    <row r="498" spans="1:13" x14ac:dyDescent="0.25">
      <c r="A498" s="1" t="s">
        <v>522</v>
      </c>
      <c r="B498" s="7">
        <v>2140</v>
      </c>
      <c r="C498" s="8">
        <v>970</v>
      </c>
      <c r="D498">
        <v>4</v>
      </c>
      <c r="E498" s="1" t="s">
        <v>27</v>
      </c>
      <c r="F498" s="1" t="s">
        <v>55</v>
      </c>
      <c r="G498" s="1" t="s">
        <v>41</v>
      </c>
      <c r="H498" s="2">
        <v>44640</v>
      </c>
      <c r="I498" s="1" t="s">
        <v>525</v>
      </c>
      <c r="J498" s="1" t="s">
        <v>37</v>
      </c>
      <c r="K498" s="1" t="s">
        <v>78</v>
      </c>
      <c r="L498" s="2">
        <v>44621</v>
      </c>
      <c r="M498" s="6">
        <f>T_SALES[[#This Row],[Profit]]/T_SALES[[#This Row],[Amount]]</f>
        <v>0.45327102803738317</v>
      </c>
    </row>
    <row r="499" spans="1:13" x14ac:dyDescent="0.25">
      <c r="A499" s="1" t="s">
        <v>522</v>
      </c>
      <c r="B499" s="7">
        <v>2670</v>
      </c>
      <c r="C499" s="8">
        <v>1026</v>
      </c>
      <c r="D499">
        <v>1</v>
      </c>
      <c r="E499" s="1" t="s">
        <v>13</v>
      </c>
      <c r="F499" s="1" t="s">
        <v>34</v>
      </c>
      <c r="G499" s="1" t="s">
        <v>29</v>
      </c>
      <c r="H499" s="2">
        <v>44104</v>
      </c>
      <c r="I499" s="1" t="s">
        <v>523</v>
      </c>
      <c r="J499" s="1" t="s">
        <v>37</v>
      </c>
      <c r="K499" s="1" t="s">
        <v>65</v>
      </c>
      <c r="L499" s="2">
        <v>44075</v>
      </c>
      <c r="M499" s="6">
        <f>T_SALES[[#This Row],[Profit]]/T_SALES[[#This Row],[Amount]]</f>
        <v>0.38426966292134829</v>
      </c>
    </row>
    <row r="500" spans="1:13" x14ac:dyDescent="0.25">
      <c r="A500" s="1" t="s">
        <v>522</v>
      </c>
      <c r="B500" s="7">
        <v>2670</v>
      </c>
      <c r="C500" s="8">
        <v>1026</v>
      </c>
      <c r="D500">
        <v>1</v>
      </c>
      <c r="E500" s="1" t="s">
        <v>13</v>
      </c>
      <c r="F500" s="1" t="s">
        <v>34</v>
      </c>
      <c r="G500" s="1" t="s">
        <v>29</v>
      </c>
      <c r="H500" s="2">
        <v>45708</v>
      </c>
      <c r="I500" s="1" t="s">
        <v>524</v>
      </c>
      <c r="J500" s="1" t="s">
        <v>17</v>
      </c>
      <c r="K500" s="1" t="s">
        <v>31</v>
      </c>
      <c r="L500" s="2">
        <v>45689</v>
      </c>
      <c r="M500" s="6">
        <f>T_SALES[[#This Row],[Profit]]/T_SALES[[#This Row],[Amount]]</f>
        <v>0.38426966292134829</v>
      </c>
    </row>
    <row r="501" spans="1:13" x14ac:dyDescent="0.25">
      <c r="A501" s="1" t="s">
        <v>522</v>
      </c>
      <c r="B501" s="7">
        <v>2670</v>
      </c>
      <c r="C501" s="8">
        <v>1026</v>
      </c>
      <c r="D501">
        <v>1</v>
      </c>
      <c r="E501" s="1" t="s">
        <v>13</v>
      </c>
      <c r="F501" s="1" t="s">
        <v>34</v>
      </c>
      <c r="G501" s="1" t="s">
        <v>29</v>
      </c>
      <c r="H501" s="2">
        <v>44640</v>
      </c>
      <c r="I501" s="1" t="s">
        <v>525</v>
      </c>
      <c r="J501" s="1" t="s">
        <v>37</v>
      </c>
      <c r="K501" s="1" t="s">
        <v>78</v>
      </c>
      <c r="L501" s="2">
        <v>44621</v>
      </c>
      <c r="M501" s="6">
        <f>T_SALES[[#This Row],[Profit]]/T_SALES[[#This Row],[Amount]]</f>
        <v>0.38426966292134829</v>
      </c>
    </row>
    <row r="502" spans="1:13" x14ac:dyDescent="0.25">
      <c r="A502" s="1" t="s">
        <v>526</v>
      </c>
      <c r="B502" s="7">
        <v>1108</v>
      </c>
      <c r="C502" s="8">
        <v>167</v>
      </c>
      <c r="D502">
        <v>18</v>
      </c>
      <c r="E502" s="1" t="s">
        <v>13</v>
      </c>
      <c r="F502" s="1" t="s">
        <v>34</v>
      </c>
      <c r="G502" s="1" t="s">
        <v>29</v>
      </c>
      <c r="H502" s="2">
        <v>45723</v>
      </c>
      <c r="I502" s="1" t="s">
        <v>527</v>
      </c>
      <c r="J502" s="1" t="s">
        <v>20</v>
      </c>
      <c r="K502" s="1" t="s">
        <v>54</v>
      </c>
      <c r="L502" s="2">
        <v>45717</v>
      </c>
      <c r="M502" s="6">
        <f>T_SALES[[#This Row],[Profit]]/T_SALES[[#This Row],[Amount]]</f>
        <v>0.15072202166064982</v>
      </c>
    </row>
    <row r="503" spans="1:13" x14ac:dyDescent="0.25">
      <c r="A503" s="1" t="s">
        <v>526</v>
      </c>
      <c r="B503" s="7">
        <v>9776</v>
      </c>
      <c r="C503" s="8">
        <v>3750</v>
      </c>
      <c r="D503">
        <v>9</v>
      </c>
      <c r="E503" s="1" t="s">
        <v>27</v>
      </c>
      <c r="F503" s="1" t="s">
        <v>67</v>
      </c>
      <c r="G503" s="1" t="s">
        <v>15</v>
      </c>
      <c r="H503" s="2">
        <v>45723</v>
      </c>
      <c r="I503" s="1" t="s">
        <v>527</v>
      </c>
      <c r="J503" s="1" t="s">
        <v>20</v>
      </c>
      <c r="K503" s="1" t="s">
        <v>54</v>
      </c>
      <c r="L503" s="2">
        <v>45717</v>
      </c>
      <c r="M503" s="6">
        <f>T_SALES[[#This Row],[Profit]]/T_SALES[[#This Row],[Amount]]</f>
        <v>0.38359247135842883</v>
      </c>
    </row>
    <row r="504" spans="1:13" x14ac:dyDescent="0.25">
      <c r="A504" s="1" t="s">
        <v>526</v>
      </c>
      <c r="B504" s="7">
        <v>535</v>
      </c>
      <c r="C504" s="8">
        <v>72</v>
      </c>
      <c r="D504">
        <v>6</v>
      </c>
      <c r="E504" s="1" t="s">
        <v>39</v>
      </c>
      <c r="F504" s="1" t="s">
        <v>90</v>
      </c>
      <c r="G504" s="1" t="s">
        <v>56</v>
      </c>
      <c r="H504" s="2">
        <v>45723</v>
      </c>
      <c r="I504" s="1" t="s">
        <v>527</v>
      </c>
      <c r="J504" s="1" t="s">
        <v>20</v>
      </c>
      <c r="K504" s="1" t="s">
        <v>54</v>
      </c>
      <c r="L504" s="2">
        <v>45717</v>
      </c>
      <c r="M504" s="6">
        <f>T_SALES[[#This Row],[Profit]]/T_SALES[[#This Row],[Amount]]</f>
        <v>0.13457943925233645</v>
      </c>
    </row>
    <row r="505" spans="1:13" x14ac:dyDescent="0.25">
      <c r="A505" s="1" t="s">
        <v>528</v>
      </c>
      <c r="B505" s="7">
        <v>7564</v>
      </c>
      <c r="C505" s="8">
        <v>3463</v>
      </c>
      <c r="D505">
        <v>5</v>
      </c>
      <c r="E505" s="1" t="s">
        <v>27</v>
      </c>
      <c r="F505" s="1" t="s">
        <v>55</v>
      </c>
      <c r="G505" s="1" t="s">
        <v>41</v>
      </c>
      <c r="H505" s="2">
        <v>45459</v>
      </c>
      <c r="I505" s="1" t="s">
        <v>529</v>
      </c>
      <c r="J505" s="1" t="s">
        <v>17</v>
      </c>
      <c r="K505" s="1" t="s">
        <v>121</v>
      </c>
      <c r="L505" s="2">
        <v>45444</v>
      </c>
      <c r="M505" s="6">
        <f>T_SALES[[#This Row],[Profit]]/T_SALES[[#This Row],[Amount]]</f>
        <v>0.45782654680063456</v>
      </c>
    </row>
    <row r="506" spans="1:13" x14ac:dyDescent="0.25">
      <c r="A506" s="1" t="s">
        <v>528</v>
      </c>
      <c r="B506" s="7">
        <v>7564</v>
      </c>
      <c r="C506" s="8">
        <v>3463</v>
      </c>
      <c r="D506">
        <v>5</v>
      </c>
      <c r="E506" s="1" t="s">
        <v>27</v>
      </c>
      <c r="F506" s="1" t="s">
        <v>55</v>
      </c>
      <c r="G506" s="1" t="s">
        <v>41</v>
      </c>
      <c r="H506" s="2">
        <v>44156</v>
      </c>
      <c r="I506" s="1" t="s">
        <v>530</v>
      </c>
      <c r="J506" s="1" t="s">
        <v>20</v>
      </c>
      <c r="K506" s="1" t="s">
        <v>137</v>
      </c>
      <c r="L506" s="2">
        <v>44136</v>
      </c>
      <c r="M506" s="6">
        <f>T_SALES[[#This Row],[Profit]]/T_SALES[[#This Row],[Amount]]</f>
        <v>0.45782654680063456</v>
      </c>
    </row>
    <row r="507" spans="1:13" x14ac:dyDescent="0.25">
      <c r="A507" s="1" t="s">
        <v>528</v>
      </c>
      <c r="B507" s="7">
        <v>7564</v>
      </c>
      <c r="C507" s="8">
        <v>3463</v>
      </c>
      <c r="D507">
        <v>5</v>
      </c>
      <c r="E507" s="1" t="s">
        <v>27</v>
      </c>
      <c r="F507" s="1" t="s">
        <v>55</v>
      </c>
      <c r="G507" s="1" t="s">
        <v>41</v>
      </c>
      <c r="H507" s="2">
        <v>45566</v>
      </c>
      <c r="I507" s="1" t="s">
        <v>531</v>
      </c>
      <c r="J507" s="1" t="s">
        <v>17</v>
      </c>
      <c r="K507" s="1" t="s">
        <v>18</v>
      </c>
      <c r="L507" s="2">
        <v>45566</v>
      </c>
      <c r="M507" s="6">
        <f>T_SALES[[#This Row],[Profit]]/T_SALES[[#This Row],[Amount]]</f>
        <v>0.45782654680063456</v>
      </c>
    </row>
    <row r="508" spans="1:13" x14ac:dyDescent="0.25">
      <c r="A508" s="1" t="s">
        <v>528</v>
      </c>
      <c r="B508" s="7">
        <v>7564</v>
      </c>
      <c r="C508" s="8">
        <v>3463</v>
      </c>
      <c r="D508">
        <v>5</v>
      </c>
      <c r="E508" s="1" t="s">
        <v>27</v>
      </c>
      <c r="F508" s="1" t="s">
        <v>55</v>
      </c>
      <c r="G508" s="1" t="s">
        <v>41</v>
      </c>
      <c r="H508" s="2">
        <v>45474</v>
      </c>
      <c r="I508" s="1" t="s">
        <v>532</v>
      </c>
      <c r="J508" s="1" t="s">
        <v>62</v>
      </c>
      <c r="K508" s="1" t="s">
        <v>111</v>
      </c>
      <c r="L508" s="2">
        <v>45474</v>
      </c>
      <c r="M508" s="6">
        <f>T_SALES[[#This Row],[Profit]]/T_SALES[[#This Row],[Amount]]</f>
        <v>0.45782654680063456</v>
      </c>
    </row>
    <row r="509" spans="1:13" x14ac:dyDescent="0.25">
      <c r="A509" s="1" t="s">
        <v>528</v>
      </c>
      <c r="B509" s="7">
        <v>3409</v>
      </c>
      <c r="C509" s="8">
        <v>1605</v>
      </c>
      <c r="D509">
        <v>20</v>
      </c>
      <c r="E509" s="1" t="s">
        <v>13</v>
      </c>
      <c r="F509" s="1" t="s">
        <v>14</v>
      </c>
      <c r="G509" s="1" t="s">
        <v>15</v>
      </c>
      <c r="H509" s="2">
        <v>45459</v>
      </c>
      <c r="I509" s="1" t="s">
        <v>529</v>
      </c>
      <c r="J509" s="1" t="s">
        <v>17</v>
      </c>
      <c r="K509" s="1" t="s">
        <v>121</v>
      </c>
      <c r="L509" s="2">
        <v>45444</v>
      </c>
      <c r="M509" s="6">
        <f>T_SALES[[#This Row],[Profit]]/T_SALES[[#This Row],[Amount]]</f>
        <v>0.47081255500146668</v>
      </c>
    </row>
    <row r="510" spans="1:13" x14ac:dyDescent="0.25">
      <c r="A510" s="1" t="s">
        <v>528</v>
      </c>
      <c r="B510" s="7">
        <v>3409</v>
      </c>
      <c r="C510" s="8">
        <v>1605</v>
      </c>
      <c r="D510">
        <v>20</v>
      </c>
      <c r="E510" s="1" t="s">
        <v>13</v>
      </c>
      <c r="F510" s="1" t="s">
        <v>14</v>
      </c>
      <c r="G510" s="1" t="s">
        <v>15</v>
      </c>
      <c r="H510" s="2">
        <v>44156</v>
      </c>
      <c r="I510" s="1" t="s">
        <v>530</v>
      </c>
      <c r="J510" s="1" t="s">
        <v>20</v>
      </c>
      <c r="K510" s="1" t="s">
        <v>137</v>
      </c>
      <c r="L510" s="2">
        <v>44136</v>
      </c>
      <c r="M510" s="6">
        <f>T_SALES[[#This Row],[Profit]]/T_SALES[[#This Row],[Amount]]</f>
        <v>0.47081255500146668</v>
      </c>
    </row>
    <row r="511" spans="1:13" x14ac:dyDescent="0.25">
      <c r="A511" s="1" t="s">
        <v>528</v>
      </c>
      <c r="B511" s="7">
        <v>3409</v>
      </c>
      <c r="C511" s="8">
        <v>1605</v>
      </c>
      <c r="D511">
        <v>20</v>
      </c>
      <c r="E511" s="1" t="s">
        <v>13</v>
      </c>
      <c r="F511" s="1" t="s">
        <v>14</v>
      </c>
      <c r="G511" s="1" t="s">
        <v>15</v>
      </c>
      <c r="H511" s="2">
        <v>45566</v>
      </c>
      <c r="I511" s="1" t="s">
        <v>531</v>
      </c>
      <c r="J511" s="1" t="s">
        <v>17</v>
      </c>
      <c r="K511" s="1" t="s">
        <v>18</v>
      </c>
      <c r="L511" s="2">
        <v>45566</v>
      </c>
      <c r="M511" s="6">
        <f>T_SALES[[#This Row],[Profit]]/T_SALES[[#This Row],[Amount]]</f>
        <v>0.47081255500146668</v>
      </c>
    </row>
    <row r="512" spans="1:13" x14ac:dyDescent="0.25">
      <c r="A512" s="1" t="s">
        <v>528</v>
      </c>
      <c r="B512" s="7">
        <v>3409</v>
      </c>
      <c r="C512" s="8">
        <v>1605</v>
      </c>
      <c r="D512">
        <v>20</v>
      </c>
      <c r="E512" s="1" t="s">
        <v>13</v>
      </c>
      <c r="F512" s="1" t="s">
        <v>14</v>
      </c>
      <c r="G512" s="1" t="s">
        <v>15</v>
      </c>
      <c r="H512" s="2">
        <v>45474</v>
      </c>
      <c r="I512" s="1" t="s">
        <v>532</v>
      </c>
      <c r="J512" s="1" t="s">
        <v>62</v>
      </c>
      <c r="K512" s="1" t="s">
        <v>111</v>
      </c>
      <c r="L512" s="2">
        <v>45474</v>
      </c>
      <c r="M512" s="6">
        <f>T_SALES[[#This Row],[Profit]]/T_SALES[[#This Row],[Amount]]</f>
        <v>0.47081255500146668</v>
      </c>
    </row>
    <row r="513" spans="1:13" x14ac:dyDescent="0.25">
      <c r="A513" s="1" t="s">
        <v>533</v>
      </c>
      <c r="B513" s="7">
        <v>9751</v>
      </c>
      <c r="C513" s="8">
        <v>2459</v>
      </c>
      <c r="D513">
        <v>13</v>
      </c>
      <c r="E513" s="1" t="s">
        <v>27</v>
      </c>
      <c r="F513" s="1" t="s">
        <v>28</v>
      </c>
      <c r="G513" s="1" t="s">
        <v>56</v>
      </c>
      <c r="H513" s="2">
        <v>44158</v>
      </c>
      <c r="I513" s="1" t="s">
        <v>534</v>
      </c>
      <c r="J513" s="1" t="s">
        <v>23</v>
      </c>
      <c r="K513" s="1" t="s">
        <v>24</v>
      </c>
      <c r="L513" s="2">
        <v>44136</v>
      </c>
      <c r="M513" s="6">
        <f>T_SALES[[#This Row],[Profit]]/T_SALES[[#This Row],[Amount]]</f>
        <v>0.25217926366526511</v>
      </c>
    </row>
    <row r="514" spans="1:13" x14ac:dyDescent="0.25">
      <c r="A514" s="1" t="s">
        <v>535</v>
      </c>
      <c r="B514" s="7">
        <v>6385</v>
      </c>
      <c r="C514" s="8">
        <v>2656</v>
      </c>
      <c r="D514">
        <v>11</v>
      </c>
      <c r="E514" s="1" t="s">
        <v>13</v>
      </c>
      <c r="F514" s="1" t="s">
        <v>25</v>
      </c>
      <c r="G514" s="1" t="s">
        <v>41</v>
      </c>
      <c r="H514" s="2">
        <v>45003</v>
      </c>
      <c r="I514" s="1" t="s">
        <v>536</v>
      </c>
      <c r="J514" s="1" t="s">
        <v>17</v>
      </c>
      <c r="K514" s="1" t="s">
        <v>31</v>
      </c>
      <c r="L514" s="2">
        <v>44986</v>
      </c>
      <c r="M514" s="6">
        <f>T_SALES[[#This Row],[Profit]]/T_SALES[[#This Row],[Amount]]</f>
        <v>0.4159749412685983</v>
      </c>
    </row>
    <row r="515" spans="1:13" x14ac:dyDescent="0.25">
      <c r="A515" s="1" t="s">
        <v>535</v>
      </c>
      <c r="B515" s="7">
        <v>6385</v>
      </c>
      <c r="C515" s="8">
        <v>2656</v>
      </c>
      <c r="D515">
        <v>11</v>
      </c>
      <c r="E515" s="1" t="s">
        <v>13</v>
      </c>
      <c r="F515" s="1" t="s">
        <v>25</v>
      </c>
      <c r="G515" s="1" t="s">
        <v>41</v>
      </c>
      <c r="H515" s="2">
        <v>44853</v>
      </c>
      <c r="I515" s="1" t="s">
        <v>537</v>
      </c>
      <c r="J515" s="1" t="s">
        <v>17</v>
      </c>
      <c r="K515" s="1" t="s">
        <v>121</v>
      </c>
      <c r="L515" s="2">
        <v>44835</v>
      </c>
      <c r="M515" s="6">
        <f>T_SALES[[#This Row],[Profit]]/T_SALES[[#This Row],[Amount]]</f>
        <v>0.4159749412685983</v>
      </c>
    </row>
    <row r="516" spans="1:13" x14ac:dyDescent="0.25">
      <c r="A516" s="1" t="s">
        <v>538</v>
      </c>
      <c r="B516" s="7">
        <v>6355</v>
      </c>
      <c r="C516" s="8">
        <v>1335</v>
      </c>
      <c r="D516">
        <v>15</v>
      </c>
      <c r="E516" s="1" t="s">
        <v>13</v>
      </c>
      <c r="F516" s="1" t="s">
        <v>14</v>
      </c>
      <c r="G516" s="1" t="s">
        <v>29</v>
      </c>
      <c r="H516" s="2">
        <v>45169</v>
      </c>
      <c r="I516" s="1" t="s">
        <v>539</v>
      </c>
      <c r="J516" s="1" t="s">
        <v>62</v>
      </c>
      <c r="K516" s="1" t="s">
        <v>74</v>
      </c>
      <c r="L516" s="2">
        <v>45139</v>
      </c>
      <c r="M516" s="6">
        <f>T_SALES[[#This Row],[Profit]]/T_SALES[[#This Row],[Amount]]</f>
        <v>0.21007081038552322</v>
      </c>
    </row>
    <row r="517" spans="1:13" x14ac:dyDescent="0.25">
      <c r="A517" s="1" t="s">
        <v>538</v>
      </c>
      <c r="B517" s="7">
        <v>6355</v>
      </c>
      <c r="C517" s="8">
        <v>1335</v>
      </c>
      <c r="D517">
        <v>15</v>
      </c>
      <c r="E517" s="1" t="s">
        <v>13</v>
      </c>
      <c r="F517" s="1" t="s">
        <v>14</v>
      </c>
      <c r="G517" s="1" t="s">
        <v>29</v>
      </c>
      <c r="H517" s="2">
        <v>44353</v>
      </c>
      <c r="I517" s="1" t="s">
        <v>540</v>
      </c>
      <c r="J517" s="1" t="s">
        <v>62</v>
      </c>
      <c r="K517" s="1" t="s">
        <v>74</v>
      </c>
      <c r="L517" s="2">
        <v>44348</v>
      </c>
      <c r="M517" s="6">
        <f>T_SALES[[#This Row],[Profit]]/T_SALES[[#This Row],[Amount]]</f>
        <v>0.21007081038552322</v>
      </c>
    </row>
    <row r="518" spans="1:13" x14ac:dyDescent="0.25">
      <c r="A518" s="1" t="s">
        <v>541</v>
      </c>
      <c r="B518" s="7">
        <v>7377</v>
      </c>
      <c r="C518" s="8">
        <v>320</v>
      </c>
      <c r="D518">
        <v>15</v>
      </c>
      <c r="E518" s="1" t="s">
        <v>13</v>
      </c>
      <c r="F518" s="1" t="s">
        <v>25</v>
      </c>
      <c r="G518" s="1" t="s">
        <v>29</v>
      </c>
      <c r="H518" s="2">
        <v>44916</v>
      </c>
      <c r="I518" s="1" t="s">
        <v>542</v>
      </c>
      <c r="J518" s="1" t="s">
        <v>62</v>
      </c>
      <c r="K518" s="1" t="s">
        <v>74</v>
      </c>
      <c r="L518" s="2">
        <v>44896</v>
      </c>
      <c r="M518" s="6">
        <f>T_SALES[[#This Row],[Profit]]/T_SALES[[#This Row],[Amount]]</f>
        <v>4.3378066964890875E-2</v>
      </c>
    </row>
    <row r="519" spans="1:13" x14ac:dyDescent="0.25">
      <c r="A519" s="1" t="s">
        <v>541</v>
      </c>
      <c r="B519" s="7">
        <v>2054</v>
      </c>
      <c r="C519" s="8">
        <v>371</v>
      </c>
      <c r="D519">
        <v>12</v>
      </c>
      <c r="E519" s="1" t="s">
        <v>27</v>
      </c>
      <c r="F519" s="1" t="s">
        <v>49</v>
      </c>
      <c r="G519" s="1" t="s">
        <v>35</v>
      </c>
      <c r="H519" s="2">
        <v>44916</v>
      </c>
      <c r="I519" s="1" t="s">
        <v>542</v>
      </c>
      <c r="J519" s="1" t="s">
        <v>62</v>
      </c>
      <c r="K519" s="1" t="s">
        <v>74</v>
      </c>
      <c r="L519" s="2">
        <v>44896</v>
      </c>
      <c r="M519" s="6">
        <f>T_SALES[[#This Row],[Profit]]/T_SALES[[#This Row],[Amount]]</f>
        <v>0.18062317429406036</v>
      </c>
    </row>
    <row r="520" spans="1:13" x14ac:dyDescent="0.25">
      <c r="A520" s="1" t="s">
        <v>543</v>
      </c>
      <c r="B520" s="7">
        <v>7497</v>
      </c>
      <c r="C520" s="8">
        <v>319</v>
      </c>
      <c r="D520">
        <v>18</v>
      </c>
      <c r="E520" s="1" t="s">
        <v>39</v>
      </c>
      <c r="F520" s="1" t="s">
        <v>43</v>
      </c>
      <c r="G520" s="1" t="s">
        <v>56</v>
      </c>
      <c r="H520" s="2">
        <v>45334</v>
      </c>
      <c r="I520" s="1" t="s">
        <v>544</v>
      </c>
      <c r="J520" s="1" t="s">
        <v>20</v>
      </c>
      <c r="K520" s="1" t="s">
        <v>137</v>
      </c>
      <c r="L520" s="2">
        <v>45323</v>
      </c>
      <c r="M520" s="6">
        <f>T_SALES[[#This Row],[Profit]]/T_SALES[[#This Row],[Amount]]</f>
        <v>4.2550353474723225E-2</v>
      </c>
    </row>
    <row r="521" spans="1:13" x14ac:dyDescent="0.25">
      <c r="A521" s="1" t="s">
        <v>545</v>
      </c>
      <c r="B521" s="7">
        <v>2565</v>
      </c>
      <c r="C521" s="8">
        <v>983</v>
      </c>
      <c r="D521">
        <v>20</v>
      </c>
      <c r="E521" s="1" t="s">
        <v>13</v>
      </c>
      <c r="F521" s="1" t="s">
        <v>14</v>
      </c>
      <c r="G521" s="1" t="s">
        <v>29</v>
      </c>
      <c r="H521" s="2">
        <v>44900</v>
      </c>
      <c r="I521" s="1" t="s">
        <v>546</v>
      </c>
      <c r="J521" s="1" t="s">
        <v>17</v>
      </c>
      <c r="K521" s="1" t="s">
        <v>18</v>
      </c>
      <c r="L521" s="2">
        <v>44896</v>
      </c>
      <c r="M521" s="6">
        <f>T_SALES[[#This Row],[Profit]]/T_SALES[[#This Row],[Amount]]</f>
        <v>0.38323586744639376</v>
      </c>
    </row>
    <row r="522" spans="1:13" x14ac:dyDescent="0.25">
      <c r="A522" s="1" t="s">
        <v>545</v>
      </c>
      <c r="B522" s="7">
        <v>5024</v>
      </c>
      <c r="C522" s="8">
        <v>1544</v>
      </c>
      <c r="D522">
        <v>19</v>
      </c>
      <c r="E522" s="1" t="s">
        <v>27</v>
      </c>
      <c r="F522" s="1" t="s">
        <v>28</v>
      </c>
      <c r="G522" s="1" t="s">
        <v>56</v>
      </c>
      <c r="H522" s="2">
        <v>44900</v>
      </c>
      <c r="I522" s="1" t="s">
        <v>546</v>
      </c>
      <c r="J522" s="1" t="s">
        <v>17</v>
      </c>
      <c r="K522" s="1" t="s">
        <v>18</v>
      </c>
      <c r="L522" s="2">
        <v>44896</v>
      </c>
      <c r="M522" s="6">
        <f>T_SALES[[#This Row],[Profit]]/T_SALES[[#This Row],[Amount]]</f>
        <v>0.3073248407643312</v>
      </c>
    </row>
    <row r="523" spans="1:13" x14ac:dyDescent="0.25">
      <c r="A523" s="1" t="s">
        <v>547</v>
      </c>
      <c r="B523" s="7">
        <v>8243</v>
      </c>
      <c r="C523" s="8">
        <v>1346</v>
      </c>
      <c r="D523">
        <v>15</v>
      </c>
      <c r="E523" s="1" t="s">
        <v>27</v>
      </c>
      <c r="F523" s="1" t="s">
        <v>67</v>
      </c>
      <c r="G523" s="1" t="s">
        <v>29</v>
      </c>
      <c r="H523" s="2">
        <v>44290</v>
      </c>
      <c r="I523" s="1" t="s">
        <v>548</v>
      </c>
      <c r="J523" s="1" t="s">
        <v>62</v>
      </c>
      <c r="K523" s="1" t="s">
        <v>111</v>
      </c>
      <c r="L523" s="2">
        <v>44287</v>
      </c>
      <c r="M523" s="6">
        <f>T_SALES[[#This Row],[Profit]]/T_SALES[[#This Row],[Amount]]</f>
        <v>0.16329006429697926</v>
      </c>
    </row>
    <row r="524" spans="1:13" x14ac:dyDescent="0.25">
      <c r="A524" s="1" t="s">
        <v>549</v>
      </c>
      <c r="B524" s="7">
        <v>7792</v>
      </c>
      <c r="C524" s="8">
        <v>1403</v>
      </c>
      <c r="D524">
        <v>13</v>
      </c>
      <c r="E524" s="1" t="s">
        <v>27</v>
      </c>
      <c r="F524" s="1" t="s">
        <v>55</v>
      </c>
      <c r="G524" s="1" t="s">
        <v>15</v>
      </c>
      <c r="H524" s="2">
        <v>44239</v>
      </c>
      <c r="I524" s="1" t="s">
        <v>550</v>
      </c>
      <c r="J524" s="1" t="s">
        <v>20</v>
      </c>
      <c r="K524" s="1" t="s">
        <v>137</v>
      </c>
      <c r="L524" s="2">
        <v>44228</v>
      </c>
      <c r="M524" s="6">
        <f>T_SALES[[#This Row],[Profit]]/T_SALES[[#This Row],[Amount]]</f>
        <v>0.18005646817248461</v>
      </c>
    </row>
    <row r="525" spans="1:13" x14ac:dyDescent="0.25">
      <c r="A525" s="1" t="s">
        <v>549</v>
      </c>
      <c r="B525" s="7">
        <v>7792</v>
      </c>
      <c r="C525" s="8">
        <v>1403</v>
      </c>
      <c r="D525">
        <v>13</v>
      </c>
      <c r="E525" s="1" t="s">
        <v>27</v>
      </c>
      <c r="F525" s="1" t="s">
        <v>55</v>
      </c>
      <c r="G525" s="1" t="s">
        <v>15</v>
      </c>
      <c r="H525" s="2">
        <v>44922</v>
      </c>
      <c r="I525" s="1" t="s">
        <v>551</v>
      </c>
      <c r="J525" s="1" t="s">
        <v>23</v>
      </c>
      <c r="K525" s="1" t="s">
        <v>59</v>
      </c>
      <c r="L525" s="2">
        <v>44896</v>
      </c>
      <c r="M525" s="6">
        <f>T_SALES[[#This Row],[Profit]]/T_SALES[[#This Row],[Amount]]</f>
        <v>0.18005646817248461</v>
      </c>
    </row>
    <row r="526" spans="1:13" x14ac:dyDescent="0.25">
      <c r="A526" s="1" t="s">
        <v>549</v>
      </c>
      <c r="B526" s="7">
        <v>7792</v>
      </c>
      <c r="C526" s="8">
        <v>1403</v>
      </c>
      <c r="D526">
        <v>13</v>
      </c>
      <c r="E526" s="1" t="s">
        <v>27</v>
      </c>
      <c r="F526" s="1" t="s">
        <v>55</v>
      </c>
      <c r="G526" s="1" t="s">
        <v>15</v>
      </c>
      <c r="H526" s="2">
        <v>45310</v>
      </c>
      <c r="I526" s="1" t="s">
        <v>552</v>
      </c>
      <c r="J526" s="1" t="s">
        <v>37</v>
      </c>
      <c r="K526" s="1" t="s">
        <v>65</v>
      </c>
      <c r="L526" s="2">
        <v>45292</v>
      </c>
      <c r="M526" s="6">
        <f>T_SALES[[#This Row],[Profit]]/T_SALES[[#This Row],[Amount]]</f>
        <v>0.18005646817248461</v>
      </c>
    </row>
    <row r="527" spans="1:13" x14ac:dyDescent="0.25">
      <c r="A527" s="1" t="s">
        <v>549</v>
      </c>
      <c r="B527" s="7">
        <v>2346</v>
      </c>
      <c r="C527" s="8">
        <v>388</v>
      </c>
      <c r="D527">
        <v>14</v>
      </c>
      <c r="E527" s="1" t="s">
        <v>39</v>
      </c>
      <c r="F527" s="1" t="s">
        <v>43</v>
      </c>
      <c r="G527" s="1" t="s">
        <v>29</v>
      </c>
      <c r="H527" s="2">
        <v>44239</v>
      </c>
      <c r="I527" s="1" t="s">
        <v>550</v>
      </c>
      <c r="J527" s="1" t="s">
        <v>20</v>
      </c>
      <c r="K527" s="1" t="s">
        <v>137</v>
      </c>
      <c r="L527" s="2">
        <v>44228</v>
      </c>
      <c r="M527" s="6">
        <f>T_SALES[[#This Row],[Profit]]/T_SALES[[#This Row],[Amount]]</f>
        <v>0.16538789428815004</v>
      </c>
    </row>
    <row r="528" spans="1:13" x14ac:dyDescent="0.25">
      <c r="A528" s="1" t="s">
        <v>549</v>
      </c>
      <c r="B528" s="7">
        <v>2346</v>
      </c>
      <c r="C528" s="8">
        <v>388</v>
      </c>
      <c r="D528">
        <v>14</v>
      </c>
      <c r="E528" s="1" t="s">
        <v>39</v>
      </c>
      <c r="F528" s="1" t="s">
        <v>43</v>
      </c>
      <c r="G528" s="1" t="s">
        <v>29</v>
      </c>
      <c r="H528" s="2">
        <v>44922</v>
      </c>
      <c r="I528" s="1" t="s">
        <v>551</v>
      </c>
      <c r="J528" s="1" t="s">
        <v>23</v>
      </c>
      <c r="K528" s="1" t="s">
        <v>59</v>
      </c>
      <c r="L528" s="2">
        <v>44896</v>
      </c>
      <c r="M528" s="6">
        <f>T_SALES[[#This Row],[Profit]]/T_SALES[[#This Row],[Amount]]</f>
        <v>0.16538789428815004</v>
      </c>
    </row>
    <row r="529" spans="1:13" x14ac:dyDescent="0.25">
      <c r="A529" s="1" t="s">
        <v>549</v>
      </c>
      <c r="B529" s="7">
        <v>2346</v>
      </c>
      <c r="C529" s="8">
        <v>388</v>
      </c>
      <c r="D529">
        <v>14</v>
      </c>
      <c r="E529" s="1" t="s">
        <v>39</v>
      </c>
      <c r="F529" s="1" t="s">
        <v>43</v>
      </c>
      <c r="G529" s="1" t="s">
        <v>29</v>
      </c>
      <c r="H529" s="2">
        <v>45310</v>
      </c>
      <c r="I529" s="1" t="s">
        <v>552</v>
      </c>
      <c r="J529" s="1" t="s">
        <v>37</v>
      </c>
      <c r="K529" s="1" t="s">
        <v>65</v>
      </c>
      <c r="L529" s="2">
        <v>45292</v>
      </c>
      <c r="M529" s="6">
        <f>T_SALES[[#This Row],[Profit]]/T_SALES[[#This Row],[Amount]]</f>
        <v>0.16538789428815004</v>
      </c>
    </row>
    <row r="530" spans="1:13" x14ac:dyDescent="0.25">
      <c r="A530" s="1" t="s">
        <v>553</v>
      </c>
      <c r="B530" s="7">
        <v>7346</v>
      </c>
      <c r="C530" s="8">
        <v>1043</v>
      </c>
      <c r="D530">
        <v>10</v>
      </c>
      <c r="E530" s="1" t="s">
        <v>39</v>
      </c>
      <c r="F530" s="1" t="s">
        <v>51</v>
      </c>
      <c r="G530" s="1" t="s">
        <v>41</v>
      </c>
      <c r="H530" s="2">
        <v>44920</v>
      </c>
      <c r="I530" s="1" t="s">
        <v>554</v>
      </c>
      <c r="J530" s="1" t="s">
        <v>82</v>
      </c>
      <c r="K530" s="1" t="s">
        <v>83</v>
      </c>
      <c r="L530" s="2">
        <v>44896</v>
      </c>
      <c r="M530" s="6">
        <f>T_SALES[[#This Row],[Profit]]/T_SALES[[#This Row],[Amount]]</f>
        <v>0.1419820310372992</v>
      </c>
    </row>
    <row r="531" spans="1:13" x14ac:dyDescent="0.25">
      <c r="A531" s="1" t="s">
        <v>553</v>
      </c>
      <c r="B531" s="7">
        <v>9770</v>
      </c>
      <c r="C531" s="8">
        <v>4132</v>
      </c>
      <c r="D531">
        <v>7</v>
      </c>
      <c r="E531" s="1" t="s">
        <v>13</v>
      </c>
      <c r="F531" s="1" t="s">
        <v>14</v>
      </c>
      <c r="G531" s="1" t="s">
        <v>15</v>
      </c>
      <c r="H531" s="2">
        <v>44920</v>
      </c>
      <c r="I531" s="1" t="s">
        <v>554</v>
      </c>
      <c r="J531" s="1" t="s">
        <v>82</v>
      </c>
      <c r="K531" s="1" t="s">
        <v>83</v>
      </c>
      <c r="L531" s="2">
        <v>44896</v>
      </c>
      <c r="M531" s="6">
        <f>T_SALES[[#This Row],[Profit]]/T_SALES[[#This Row],[Amount]]</f>
        <v>0.42292732855680654</v>
      </c>
    </row>
    <row r="532" spans="1:13" x14ac:dyDescent="0.25">
      <c r="A532" s="1" t="s">
        <v>553</v>
      </c>
      <c r="B532" s="7">
        <v>7179</v>
      </c>
      <c r="C532" s="8">
        <v>683</v>
      </c>
      <c r="D532">
        <v>13</v>
      </c>
      <c r="E532" s="1" t="s">
        <v>13</v>
      </c>
      <c r="F532" s="1" t="s">
        <v>34</v>
      </c>
      <c r="G532" s="1" t="s">
        <v>41</v>
      </c>
      <c r="H532" s="2">
        <v>44920</v>
      </c>
      <c r="I532" s="1" t="s">
        <v>554</v>
      </c>
      <c r="J532" s="1" t="s">
        <v>82</v>
      </c>
      <c r="K532" s="1" t="s">
        <v>83</v>
      </c>
      <c r="L532" s="2">
        <v>44896</v>
      </c>
      <c r="M532" s="6">
        <f>T_SALES[[#This Row],[Profit]]/T_SALES[[#This Row],[Amount]]</f>
        <v>9.5138598690625437E-2</v>
      </c>
    </row>
    <row r="533" spans="1:13" x14ac:dyDescent="0.25">
      <c r="A533" s="1" t="s">
        <v>555</v>
      </c>
      <c r="B533" s="7">
        <v>5449</v>
      </c>
      <c r="C533" s="8">
        <v>2389</v>
      </c>
      <c r="D533">
        <v>2</v>
      </c>
      <c r="E533" s="1" t="s">
        <v>13</v>
      </c>
      <c r="F533" s="1" t="s">
        <v>70</v>
      </c>
      <c r="G533" s="1" t="s">
        <v>15</v>
      </c>
      <c r="H533" s="2">
        <v>44840</v>
      </c>
      <c r="I533" s="1" t="s">
        <v>556</v>
      </c>
      <c r="J533" s="1" t="s">
        <v>17</v>
      </c>
      <c r="K533" s="1" t="s">
        <v>18</v>
      </c>
      <c r="L533" s="2">
        <v>44835</v>
      </c>
      <c r="M533" s="6">
        <f>T_SALES[[#This Row],[Profit]]/T_SALES[[#This Row],[Amount]]</f>
        <v>0.43842906955404659</v>
      </c>
    </row>
    <row r="534" spans="1:13" x14ac:dyDescent="0.25">
      <c r="A534" s="1" t="s">
        <v>557</v>
      </c>
      <c r="B534" s="7">
        <v>2895</v>
      </c>
      <c r="C534" s="8">
        <v>104</v>
      </c>
      <c r="D534">
        <v>6</v>
      </c>
      <c r="E534" s="1" t="s">
        <v>39</v>
      </c>
      <c r="F534" s="1" t="s">
        <v>43</v>
      </c>
      <c r="G534" s="1" t="s">
        <v>56</v>
      </c>
      <c r="H534" s="2">
        <v>43948</v>
      </c>
      <c r="I534" s="1" t="s">
        <v>558</v>
      </c>
      <c r="J534" s="1" t="s">
        <v>23</v>
      </c>
      <c r="K534" s="1" t="s">
        <v>24</v>
      </c>
      <c r="L534" s="2">
        <v>43922</v>
      </c>
      <c r="M534" s="6">
        <f>T_SALES[[#This Row],[Profit]]/T_SALES[[#This Row],[Amount]]</f>
        <v>3.5924006908462869E-2</v>
      </c>
    </row>
    <row r="535" spans="1:13" x14ac:dyDescent="0.25">
      <c r="A535" s="1" t="s">
        <v>557</v>
      </c>
      <c r="B535" s="7">
        <v>2895</v>
      </c>
      <c r="C535" s="8">
        <v>104</v>
      </c>
      <c r="D535">
        <v>6</v>
      </c>
      <c r="E535" s="1" t="s">
        <v>39</v>
      </c>
      <c r="F535" s="1" t="s">
        <v>43</v>
      </c>
      <c r="G535" s="1" t="s">
        <v>56</v>
      </c>
      <c r="H535" s="2">
        <v>45425</v>
      </c>
      <c r="I535" s="1" t="s">
        <v>559</v>
      </c>
      <c r="J535" s="1" t="s">
        <v>62</v>
      </c>
      <c r="K535" s="1" t="s">
        <v>111</v>
      </c>
      <c r="L535" s="2">
        <v>45413</v>
      </c>
      <c r="M535" s="6">
        <f>T_SALES[[#This Row],[Profit]]/T_SALES[[#This Row],[Amount]]</f>
        <v>3.5924006908462869E-2</v>
      </c>
    </row>
    <row r="536" spans="1:13" x14ac:dyDescent="0.25">
      <c r="A536" s="1" t="s">
        <v>557</v>
      </c>
      <c r="B536" s="7">
        <v>697</v>
      </c>
      <c r="C536" s="8">
        <v>116</v>
      </c>
      <c r="D536">
        <v>1</v>
      </c>
      <c r="E536" s="1" t="s">
        <v>39</v>
      </c>
      <c r="F536" s="1" t="s">
        <v>43</v>
      </c>
      <c r="G536" s="1" t="s">
        <v>15</v>
      </c>
      <c r="H536" s="2">
        <v>43948</v>
      </c>
      <c r="I536" s="1" t="s">
        <v>558</v>
      </c>
      <c r="J536" s="1" t="s">
        <v>23</v>
      </c>
      <c r="K536" s="1" t="s">
        <v>24</v>
      </c>
      <c r="L536" s="2">
        <v>43922</v>
      </c>
      <c r="M536" s="6">
        <f>T_SALES[[#This Row],[Profit]]/T_SALES[[#This Row],[Amount]]</f>
        <v>0.16642754662840745</v>
      </c>
    </row>
    <row r="537" spans="1:13" x14ac:dyDescent="0.25">
      <c r="A537" s="1" t="s">
        <v>557</v>
      </c>
      <c r="B537" s="7">
        <v>697</v>
      </c>
      <c r="C537" s="8">
        <v>116</v>
      </c>
      <c r="D537">
        <v>1</v>
      </c>
      <c r="E537" s="1" t="s">
        <v>39</v>
      </c>
      <c r="F537" s="1" t="s">
        <v>43</v>
      </c>
      <c r="G537" s="1" t="s">
        <v>15</v>
      </c>
      <c r="H537" s="2">
        <v>45425</v>
      </c>
      <c r="I537" s="1" t="s">
        <v>559</v>
      </c>
      <c r="J537" s="1" t="s">
        <v>62</v>
      </c>
      <c r="K537" s="1" t="s">
        <v>111</v>
      </c>
      <c r="L537" s="2">
        <v>45413</v>
      </c>
      <c r="M537" s="6">
        <f>T_SALES[[#This Row],[Profit]]/T_SALES[[#This Row],[Amount]]</f>
        <v>0.16642754662840745</v>
      </c>
    </row>
    <row r="538" spans="1:13" x14ac:dyDescent="0.25">
      <c r="A538" s="1" t="s">
        <v>560</v>
      </c>
      <c r="B538" s="7">
        <v>6145</v>
      </c>
      <c r="C538" s="8">
        <v>1414</v>
      </c>
      <c r="D538">
        <v>4</v>
      </c>
      <c r="E538" s="1" t="s">
        <v>39</v>
      </c>
      <c r="F538" s="1" t="s">
        <v>43</v>
      </c>
      <c r="G538" s="1" t="s">
        <v>56</v>
      </c>
      <c r="H538" s="2">
        <v>44127</v>
      </c>
      <c r="I538" s="1" t="s">
        <v>561</v>
      </c>
      <c r="J538" s="1" t="s">
        <v>37</v>
      </c>
      <c r="K538" s="1" t="s">
        <v>38</v>
      </c>
      <c r="L538" s="2">
        <v>44105</v>
      </c>
      <c r="M538" s="6">
        <f>T_SALES[[#This Row],[Profit]]/T_SALES[[#This Row],[Amount]]</f>
        <v>0.23010577705451588</v>
      </c>
    </row>
    <row r="539" spans="1:13" x14ac:dyDescent="0.25">
      <c r="A539" s="1" t="s">
        <v>560</v>
      </c>
      <c r="B539" s="7">
        <v>2504</v>
      </c>
      <c r="C539" s="8">
        <v>440</v>
      </c>
      <c r="D539">
        <v>18</v>
      </c>
      <c r="E539" s="1" t="s">
        <v>13</v>
      </c>
      <c r="F539" s="1" t="s">
        <v>25</v>
      </c>
      <c r="G539" s="1" t="s">
        <v>15</v>
      </c>
      <c r="H539" s="2">
        <v>44127</v>
      </c>
      <c r="I539" s="1" t="s">
        <v>561</v>
      </c>
      <c r="J539" s="1" t="s">
        <v>37</v>
      </c>
      <c r="K539" s="1" t="s">
        <v>38</v>
      </c>
      <c r="L539" s="2">
        <v>44105</v>
      </c>
      <c r="M539" s="6">
        <f>T_SALES[[#This Row],[Profit]]/T_SALES[[#This Row],[Amount]]</f>
        <v>0.1757188498402556</v>
      </c>
    </row>
    <row r="540" spans="1:13" x14ac:dyDescent="0.25">
      <c r="A540" s="1" t="s">
        <v>560</v>
      </c>
      <c r="B540" s="7">
        <v>3124</v>
      </c>
      <c r="C540" s="8">
        <v>138</v>
      </c>
      <c r="D540">
        <v>16</v>
      </c>
      <c r="E540" s="1" t="s">
        <v>13</v>
      </c>
      <c r="F540" s="1" t="s">
        <v>70</v>
      </c>
      <c r="G540" s="1" t="s">
        <v>29</v>
      </c>
      <c r="H540" s="2">
        <v>44127</v>
      </c>
      <c r="I540" s="1" t="s">
        <v>561</v>
      </c>
      <c r="J540" s="1" t="s">
        <v>37</v>
      </c>
      <c r="K540" s="1" t="s">
        <v>38</v>
      </c>
      <c r="L540" s="2">
        <v>44105</v>
      </c>
      <c r="M540" s="6">
        <f>T_SALES[[#This Row],[Profit]]/T_SALES[[#This Row],[Amount]]</f>
        <v>4.4174135723431499E-2</v>
      </c>
    </row>
    <row r="541" spans="1:13" x14ac:dyDescent="0.25">
      <c r="A541" s="1" t="s">
        <v>562</v>
      </c>
      <c r="B541" s="7">
        <v>6934</v>
      </c>
      <c r="C541" s="8">
        <v>1226</v>
      </c>
      <c r="D541">
        <v>1</v>
      </c>
      <c r="E541" s="1" t="s">
        <v>13</v>
      </c>
      <c r="F541" s="1" t="s">
        <v>14</v>
      </c>
      <c r="G541" s="1" t="s">
        <v>29</v>
      </c>
      <c r="H541" s="2">
        <v>44358</v>
      </c>
      <c r="I541" s="1" t="s">
        <v>563</v>
      </c>
      <c r="J541" s="1" t="s">
        <v>82</v>
      </c>
      <c r="K541" s="1" t="s">
        <v>89</v>
      </c>
      <c r="L541" s="2">
        <v>44348</v>
      </c>
      <c r="M541" s="6">
        <f>T_SALES[[#This Row],[Profit]]/T_SALES[[#This Row],[Amount]]</f>
        <v>0.1768099221228728</v>
      </c>
    </row>
    <row r="542" spans="1:13" x14ac:dyDescent="0.25">
      <c r="A542" s="1" t="s">
        <v>562</v>
      </c>
      <c r="B542" s="7">
        <v>6934</v>
      </c>
      <c r="C542" s="8">
        <v>1226</v>
      </c>
      <c r="D542">
        <v>1</v>
      </c>
      <c r="E542" s="1" t="s">
        <v>13</v>
      </c>
      <c r="F542" s="1" t="s">
        <v>14</v>
      </c>
      <c r="G542" s="1" t="s">
        <v>29</v>
      </c>
      <c r="H542" s="2">
        <v>44447</v>
      </c>
      <c r="I542" s="1" t="s">
        <v>534</v>
      </c>
      <c r="J542" s="1" t="s">
        <v>23</v>
      </c>
      <c r="K542" s="1" t="s">
        <v>59</v>
      </c>
      <c r="L542" s="2">
        <v>44440</v>
      </c>
      <c r="M542" s="6">
        <f>T_SALES[[#This Row],[Profit]]/T_SALES[[#This Row],[Amount]]</f>
        <v>0.1768099221228728</v>
      </c>
    </row>
    <row r="543" spans="1:13" x14ac:dyDescent="0.25">
      <c r="A543" s="1" t="s">
        <v>564</v>
      </c>
      <c r="B543" s="7">
        <v>4202</v>
      </c>
      <c r="C543" s="8">
        <v>1171</v>
      </c>
      <c r="D543">
        <v>3</v>
      </c>
      <c r="E543" s="1" t="s">
        <v>27</v>
      </c>
      <c r="F543" s="1" t="s">
        <v>49</v>
      </c>
      <c r="G543" s="1" t="s">
        <v>56</v>
      </c>
      <c r="H543" s="2">
        <v>44888</v>
      </c>
      <c r="I543" s="1" t="s">
        <v>565</v>
      </c>
      <c r="J543" s="1" t="s">
        <v>20</v>
      </c>
      <c r="K543" s="1" t="s">
        <v>137</v>
      </c>
      <c r="L543" s="2">
        <v>44866</v>
      </c>
      <c r="M543" s="6">
        <f>T_SALES[[#This Row],[Profit]]/T_SALES[[#This Row],[Amount]]</f>
        <v>0.27867682056163734</v>
      </c>
    </row>
    <row r="544" spans="1:13" x14ac:dyDescent="0.25">
      <c r="A544" s="1" t="s">
        <v>564</v>
      </c>
      <c r="B544" s="7">
        <v>4202</v>
      </c>
      <c r="C544" s="8">
        <v>1171</v>
      </c>
      <c r="D544">
        <v>3</v>
      </c>
      <c r="E544" s="1" t="s">
        <v>27</v>
      </c>
      <c r="F544" s="1" t="s">
        <v>49</v>
      </c>
      <c r="G544" s="1" t="s">
        <v>56</v>
      </c>
      <c r="H544" s="2">
        <v>44865</v>
      </c>
      <c r="I544" s="1" t="s">
        <v>566</v>
      </c>
      <c r="J544" s="1" t="s">
        <v>23</v>
      </c>
      <c r="K544" s="1" t="s">
        <v>59</v>
      </c>
      <c r="L544" s="2">
        <v>44835</v>
      </c>
      <c r="M544" s="6">
        <f>T_SALES[[#This Row],[Profit]]/T_SALES[[#This Row],[Amount]]</f>
        <v>0.27867682056163734</v>
      </c>
    </row>
    <row r="545" spans="1:13" x14ac:dyDescent="0.25">
      <c r="A545" s="1" t="s">
        <v>564</v>
      </c>
      <c r="B545" s="7">
        <v>4202</v>
      </c>
      <c r="C545" s="8">
        <v>1171</v>
      </c>
      <c r="D545">
        <v>3</v>
      </c>
      <c r="E545" s="1" t="s">
        <v>27</v>
      </c>
      <c r="F545" s="1" t="s">
        <v>49</v>
      </c>
      <c r="G545" s="1" t="s">
        <v>56</v>
      </c>
      <c r="H545" s="2">
        <v>45236</v>
      </c>
      <c r="I545" s="1" t="s">
        <v>567</v>
      </c>
      <c r="J545" s="1" t="s">
        <v>17</v>
      </c>
      <c r="K545" s="1" t="s">
        <v>121</v>
      </c>
      <c r="L545" s="2">
        <v>45231</v>
      </c>
      <c r="M545" s="6">
        <f>T_SALES[[#This Row],[Profit]]/T_SALES[[#This Row],[Amount]]</f>
        <v>0.27867682056163734</v>
      </c>
    </row>
    <row r="546" spans="1:13" x14ac:dyDescent="0.25">
      <c r="A546" s="1" t="s">
        <v>564</v>
      </c>
      <c r="B546" s="7">
        <v>4202</v>
      </c>
      <c r="C546" s="8">
        <v>1171</v>
      </c>
      <c r="D546">
        <v>3</v>
      </c>
      <c r="E546" s="1" t="s">
        <v>27</v>
      </c>
      <c r="F546" s="1" t="s">
        <v>49</v>
      </c>
      <c r="G546" s="1" t="s">
        <v>56</v>
      </c>
      <c r="H546" s="2">
        <v>45242</v>
      </c>
      <c r="I546" s="1" t="s">
        <v>568</v>
      </c>
      <c r="J546" s="1" t="s">
        <v>62</v>
      </c>
      <c r="K546" s="1" t="s">
        <v>111</v>
      </c>
      <c r="L546" s="2">
        <v>45231</v>
      </c>
      <c r="M546" s="6">
        <f>T_SALES[[#This Row],[Profit]]/T_SALES[[#This Row],[Amount]]</f>
        <v>0.27867682056163734</v>
      </c>
    </row>
    <row r="547" spans="1:13" x14ac:dyDescent="0.25">
      <c r="A547" s="1" t="s">
        <v>569</v>
      </c>
      <c r="B547" s="7">
        <v>2239</v>
      </c>
      <c r="C547" s="8">
        <v>828</v>
      </c>
      <c r="D547">
        <v>1</v>
      </c>
      <c r="E547" s="1" t="s">
        <v>13</v>
      </c>
      <c r="F547" s="1" t="s">
        <v>25</v>
      </c>
      <c r="G547" s="1" t="s">
        <v>15</v>
      </c>
      <c r="H547" s="2">
        <v>45103</v>
      </c>
      <c r="I547" s="1" t="s">
        <v>570</v>
      </c>
      <c r="J547" s="1" t="s">
        <v>37</v>
      </c>
      <c r="K547" s="1" t="s">
        <v>38</v>
      </c>
      <c r="L547" s="2">
        <v>45078</v>
      </c>
      <c r="M547" s="6">
        <f>T_SALES[[#This Row],[Profit]]/T_SALES[[#This Row],[Amount]]</f>
        <v>0.36980794997766858</v>
      </c>
    </row>
    <row r="548" spans="1:13" x14ac:dyDescent="0.25">
      <c r="A548" s="1" t="s">
        <v>569</v>
      </c>
      <c r="B548" s="7">
        <v>2239</v>
      </c>
      <c r="C548" s="8">
        <v>828</v>
      </c>
      <c r="D548">
        <v>1</v>
      </c>
      <c r="E548" s="1" t="s">
        <v>13</v>
      </c>
      <c r="F548" s="1" t="s">
        <v>25</v>
      </c>
      <c r="G548" s="1" t="s">
        <v>15</v>
      </c>
      <c r="H548" s="2">
        <v>45199</v>
      </c>
      <c r="I548" s="1" t="s">
        <v>571</v>
      </c>
      <c r="J548" s="1" t="s">
        <v>20</v>
      </c>
      <c r="K548" s="1" t="s">
        <v>21</v>
      </c>
      <c r="L548" s="2">
        <v>45170</v>
      </c>
      <c r="M548" s="6">
        <f>T_SALES[[#This Row],[Profit]]/T_SALES[[#This Row],[Amount]]</f>
        <v>0.36980794997766858</v>
      </c>
    </row>
    <row r="549" spans="1:13" x14ac:dyDescent="0.25">
      <c r="A549" s="1" t="s">
        <v>569</v>
      </c>
      <c r="B549" s="7">
        <v>2450</v>
      </c>
      <c r="C549" s="8">
        <v>1002</v>
      </c>
      <c r="D549">
        <v>4</v>
      </c>
      <c r="E549" s="1" t="s">
        <v>13</v>
      </c>
      <c r="F549" s="1" t="s">
        <v>70</v>
      </c>
      <c r="G549" s="1" t="s">
        <v>29</v>
      </c>
      <c r="H549" s="2">
        <v>45103</v>
      </c>
      <c r="I549" s="1" t="s">
        <v>570</v>
      </c>
      <c r="J549" s="1" t="s">
        <v>37</v>
      </c>
      <c r="K549" s="1" t="s">
        <v>38</v>
      </c>
      <c r="L549" s="2">
        <v>45078</v>
      </c>
      <c r="M549" s="6">
        <f>T_SALES[[#This Row],[Profit]]/T_SALES[[#This Row],[Amount]]</f>
        <v>0.40897959183673471</v>
      </c>
    </row>
    <row r="550" spans="1:13" x14ac:dyDescent="0.25">
      <c r="A550" s="1" t="s">
        <v>569</v>
      </c>
      <c r="B550" s="7">
        <v>2450</v>
      </c>
      <c r="C550" s="8">
        <v>1002</v>
      </c>
      <c r="D550">
        <v>4</v>
      </c>
      <c r="E550" s="1" t="s">
        <v>13</v>
      </c>
      <c r="F550" s="1" t="s">
        <v>70</v>
      </c>
      <c r="G550" s="1" t="s">
        <v>29</v>
      </c>
      <c r="H550" s="2">
        <v>45199</v>
      </c>
      <c r="I550" s="1" t="s">
        <v>571</v>
      </c>
      <c r="J550" s="1" t="s">
        <v>20</v>
      </c>
      <c r="K550" s="1" t="s">
        <v>21</v>
      </c>
      <c r="L550" s="2">
        <v>45170</v>
      </c>
      <c r="M550" s="6">
        <f>T_SALES[[#This Row],[Profit]]/T_SALES[[#This Row],[Amount]]</f>
        <v>0.40897959183673471</v>
      </c>
    </row>
    <row r="551" spans="1:13" x14ac:dyDescent="0.25">
      <c r="A551" s="1" t="s">
        <v>572</v>
      </c>
      <c r="B551" s="7">
        <v>9827</v>
      </c>
      <c r="C551" s="8">
        <v>4208</v>
      </c>
      <c r="D551">
        <v>13</v>
      </c>
      <c r="E551" s="1" t="s">
        <v>39</v>
      </c>
      <c r="F551" s="1" t="s">
        <v>43</v>
      </c>
      <c r="G551" s="1" t="s">
        <v>29</v>
      </c>
      <c r="H551" s="2">
        <v>44086</v>
      </c>
      <c r="I551" s="1" t="s">
        <v>573</v>
      </c>
      <c r="J551" s="1" t="s">
        <v>23</v>
      </c>
      <c r="K551" s="1" t="s">
        <v>45</v>
      </c>
      <c r="L551" s="2">
        <v>44075</v>
      </c>
      <c r="M551" s="6">
        <f>T_SALES[[#This Row],[Profit]]/T_SALES[[#This Row],[Amount]]</f>
        <v>0.42820799837183271</v>
      </c>
    </row>
    <row r="552" spans="1:13" x14ac:dyDescent="0.25">
      <c r="A552" s="1" t="s">
        <v>572</v>
      </c>
      <c r="B552" s="7">
        <v>8077</v>
      </c>
      <c r="C552" s="8">
        <v>240</v>
      </c>
      <c r="D552">
        <v>15</v>
      </c>
      <c r="E552" s="1" t="s">
        <v>39</v>
      </c>
      <c r="F552" s="1" t="s">
        <v>51</v>
      </c>
      <c r="G552" s="1" t="s">
        <v>41</v>
      </c>
      <c r="H552" s="2">
        <v>44086</v>
      </c>
      <c r="I552" s="1" t="s">
        <v>573</v>
      </c>
      <c r="J552" s="1" t="s">
        <v>23</v>
      </c>
      <c r="K552" s="1" t="s">
        <v>45</v>
      </c>
      <c r="L552" s="2">
        <v>44075</v>
      </c>
      <c r="M552" s="6">
        <f>T_SALES[[#This Row],[Profit]]/T_SALES[[#This Row],[Amount]]</f>
        <v>2.9714002723783581E-2</v>
      </c>
    </row>
    <row r="553" spans="1:13" x14ac:dyDescent="0.25">
      <c r="A553" s="1" t="s">
        <v>574</v>
      </c>
      <c r="B553" s="7">
        <v>5152</v>
      </c>
      <c r="C553" s="8">
        <v>2045</v>
      </c>
      <c r="D553">
        <v>14</v>
      </c>
      <c r="E553" s="1" t="s">
        <v>13</v>
      </c>
      <c r="F553" s="1" t="s">
        <v>70</v>
      </c>
      <c r="G553" s="1" t="s">
        <v>15</v>
      </c>
      <c r="H553" s="2">
        <v>44162</v>
      </c>
      <c r="I553" s="1" t="s">
        <v>575</v>
      </c>
      <c r="J553" s="1" t="s">
        <v>20</v>
      </c>
      <c r="K553" s="1" t="s">
        <v>54</v>
      </c>
      <c r="L553" s="2">
        <v>44136</v>
      </c>
      <c r="M553" s="6">
        <f>T_SALES[[#This Row],[Profit]]/T_SALES[[#This Row],[Amount]]</f>
        <v>0.39693322981366458</v>
      </c>
    </row>
    <row r="554" spans="1:13" x14ac:dyDescent="0.25">
      <c r="A554" s="1" t="s">
        <v>574</v>
      </c>
      <c r="B554" s="7">
        <v>5152</v>
      </c>
      <c r="C554" s="8">
        <v>2045</v>
      </c>
      <c r="D554">
        <v>14</v>
      </c>
      <c r="E554" s="1" t="s">
        <v>13</v>
      </c>
      <c r="F554" s="1" t="s">
        <v>70</v>
      </c>
      <c r="G554" s="1" t="s">
        <v>15</v>
      </c>
      <c r="H554" s="2">
        <v>44798</v>
      </c>
      <c r="I554" s="1" t="s">
        <v>576</v>
      </c>
      <c r="J554" s="1" t="s">
        <v>37</v>
      </c>
      <c r="K554" s="1" t="s">
        <v>38</v>
      </c>
      <c r="L554" s="2">
        <v>44774</v>
      </c>
      <c r="M554" s="6">
        <f>T_SALES[[#This Row],[Profit]]/T_SALES[[#This Row],[Amount]]</f>
        <v>0.39693322981366458</v>
      </c>
    </row>
    <row r="555" spans="1:13" x14ac:dyDescent="0.25">
      <c r="A555" s="1" t="s">
        <v>574</v>
      </c>
      <c r="B555" s="7">
        <v>5152</v>
      </c>
      <c r="C555" s="8">
        <v>2045</v>
      </c>
      <c r="D555">
        <v>14</v>
      </c>
      <c r="E555" s="1" t="s">
        <v>13</v>
      </c>
      <c r="F555" s="1" t="s">
        <v>70</v>
      </c>
      <c r="G555" s="1" t="s">
        <v>15</v>
      </c>
      <c r="H555" s="2">
        <v>45161</v>
      </c>
      <c r="I555" s="1" t="s">
        <v>577</v>
      </c>
      <c r="J555" s="1" t="s">
        <v>20</v>
      </c>
      <c r="K555" s="1" t="s">
        <v>21</v>
      </c>
      <c r="L555" s="2">
        <v>45139</v>
      </c>
      <c r="M555" s="6">
        <f>T_SALES[[#This Row],[Profit]]/T_SALES[[#This Row],[Amount]]</f>
        <v>0.39693322981366458</v>
      </c>
    </row>
    <row r="556" spans="1:13" x14ac:dyDescent="0.25">
      <c r="A556" s="1" t="s">
        <v>574</v>
      </c>
      <c r="B556" s="7">
        <v>5152</v>
      </c>
      <c r="C556" s="8">
        <v>2045</v>
      </c>
      <c r="D556">
        <v>14</v>
      </c>
      <c r="E556" s="1" t="s">
        <v>13</v>
      </c>
      <c r="F556" s="1" t="s">
        <v>70</v>
      </c>
      <c r="G556" s="1" t="s">
        <v>15</v>
      </c>
      <c r="H556" s="2">
        <v>45210</v>
      </c>
      <c r="I556" s="1" t="s">
        <v>578</v>
      </c>
      <c r="J556" s="1" t="s">
        <v>23</v>
      </c>
      <c r="K556" s="1" t="s">
        <v>59</v>
      </c>
      <c r="L556" s="2">
        <v>45200</v>
      </c>
      <c r="M556" s="6">
        <f>T_SALES[[#This Row],[Profit]]/T_SALES[[#This Row],[Amount]]</f>
        <v>0.39693322981366458</v>
      </c>
    </row>
    <row r="557" spans="1:13" x14ac:dyDescent="0.25">
      <c r="A557" s="1" t="s">
        <v>579</v>
      </c>
      <c r="B557" s="7">
        <v>2542</v>
      </c>
      <c r="C557" s="8">
        <v>190</v>
      </c>
      <c r="D557">
        <v>1</v>
      </c>
      <c r="E557" s="1" t="s">
        <v>27</v>
      </c>
      <c r="F557" s="1" t="s">
        <v>49</v>
      </c>
      <c r="G557" s="1" t="s">
        <v>41</v>
      </c>
      <c r="H557" s="2">
        <v>44672</v>
      </c>
      <c r="I557" s="1" t="s">
        <v>580</v>
      </c>
      <c r="J557" s="1" t="s">
        <v>62</v>
      </c>
      <c r="K557" s="1" t="s">
        <v>111</v>
      </c>
      <c r="L557" s="2">
        <v>44652</v>
      </c>
      <c r="M557" s="6">
        <f>T_SALES[[#This Row],[Profit]]/T_SALES[[#This Row],[Amount]]</f>
        <v>7.4744295830055069E-2</v>
      </c>
    </row>
    <row r="558" spans="1:13" x14ac:dyDescent="0.25">
      <c r="A558" s="1" t="s">
        <v>581</v>
      </c>
      <c r="B558" s="7">
        <v>8102</v>
      </c>
      <c r="C558" s="8">
        <v>1800</v>
      </c>
      <c r="D558">
        <v>5</v>
      </c>
      <c r="E558" s="1" t="s">
        <v>27</v>
      </c>
      <c r="F558" s="1" t="s">
        <v>49</v>
      </c>
      <c r="G558" s="1" t="s">
        <v>15</v>
      </c>
      <c r="H558" s="2">
        <v>45183</v>
      </c>
      <c r="I558" s="1" t="s">
        <v>582</v>
      </c>
      <c r="J558" s="1" t="s">
        <v>37</v>
      </c>
      <c r="K558" s="1" t="s">
        <v>78</v>
      </c>
      <c r="L558" s="2">
        <v>45170</v>
      </c>
      <c r="M558" s="6">
        <f>T_SALES[[#This Row],[Profit]]/T_SALES[[#This Row],[Amount]]</f>
        <v>0.22216736608244878</v>
      </c>
    </row>
    <row r="559" spans="1:13" x14ac:dyDescent="0.25">
      <c r="A559" s="1" t="s">
        <v>581</v>
      </c>
      <c r="B559" s="7">
        <v>8102</v>
      </c>
      <c r="C559" s="8">
        <v>1800</v>
      </c>
      <c r="D559">
        <v>5</v>
      </c>
      <c r="E559" s="1" t="s">
        <v>27</v>
      </c>
      <c r="F559" s="1" t="s">
        <v>49</v>
      </c>
      <c r="G559" s="1" t="s">
        <v>15</v>
      </c>
      <c r="H559" s="2">
        <v>43950</v>
      </c>
      <c r="I559" s="1" t="s">
        <v>583</v>
      </c>
      <c r="J559" s="1" t="s">
        <v>23</v>
      </c>
      <c r="K559" s="1" t="s">
        <v>24</v>
      </c>
      <c r="L559" s="2">
        <v>43922</v>
      </c>
      <c r="M559" s="6">
        <f>T_SALES[[#This Row],[Profit]]/T_SALES[[#This Row],[Amount]]</f>
        <v>0.22216736608244878</v>
      </c>
    </row>
    <row r="560" spans="1:13" x14ac:dyDescent="0.25">
      <c r="A560" s="1" t="s">
        <v>581</v>
      </c>
      <c r="B560" s="7">
        <v>8102</v>
      </c>
      <c r="C560" s="8">
        <v>1800</v>
      </c>
      <c r="D560">
        <v>5</v>
      </c>
      <c r="E560" s="1" t="s">
        <v>27</v>
      </c>
      <c r="F560" s="1" t="s">
        <v>49</v>
      </c>
      <c r="G560" s="1" t="s">
        <v>15</v>
      </c>
      <c r="H560" s="2">
        <v>44180</v>
      </c>
      <c r="I560" s="1" t="s">
        <v>584</v>
      </c>
      <c r="J560" s="1" t="s">
        <v>82</v>
      </c>
      <c r="K560" s="1" t="s">
        <v>97</v>
      </c>
      <c r="L560" s="2">
        <v>44166</v>
      </c>
      <c r="M560" s="6">
        <f>T_SALES[[#This Row],[Profit]]/T_SALES[[#This Row],[Amount]]</f>
        <v>0.22216736608244878</v>
      </c>
    </row>
    <row r="561" spans="1:13" x14ac:dyDescent="0.25">
      <c r="A561" s="1" t="s">
        <v>581</v>
      </c>
      <c r="B561" s="7">
        <v>3234</v>
      </c>
      <c r="C561" s="8">
        <v>1274</v>
      </c>
      <c r="D561">
        <v>10</v>
      </c>
      <c r="E561" s="1" t="s">
        <v>39</v>
      </c>
      <c r="F561" s="1" t="s">
        <v>40</v>
      </c>
      <c r="G561" s="1" t="s">
        <v>35</v>
      </c>
      <c r="H561" s="2">
        <v>45183</v>
      </c>
      <c r="I561" s="1" t="s">
        <v>582</v>
      </c>
      <c r="J561" s="1" t="s">
        <v>37</v>
      </c>
      <c r="K561" s="1" t="s">
        <v>78</v>
      </c>
      <c r="L561" s="2">
        <v>45170</v>
      </c>
      <c r="M561" s="6">
        <f>T_SALES[[#This Row],[Profit]]/T_SALES[[#This Row],[Amount]]</f>
        <v>0.39393939393939392</v>
      </c>
    </row>
    <row r="562" spans="1:13" x14ac:dyDescent="0.25">
      <c r="A562" s="1" t="s">
        <v>581</v>
      </c>
      <c r="B562" s="7">
        <v>3234</v>
      </c>
      <c r="C562" s="8">
        <v>1274</v>
      </c>
      <c r="D562">
        <v>10</v>
      </c>
      <c r="E562" s="1" t="s">
        <v>39</v>
      </c>
      <c r="F562" s="1" t="s">
        <v>40</v>
      </c>
      <c r="G562" s="1" t="s">
        <v>35</v>
      </c>
      <c r="H562" s="2">
        <v>43950</v>
      </c>
      <c r="I562" s="1" t="s">
        <v>583</v>
      </c>
      <c r="J562" s="1" t="s">
        <v>23</v>
      </c>
      <c r="K562" s="1" t="s">
        <v>24</v>
      </c>
      <c r="L562" s="2">
        <v>43922</v>
      </c>
      <c r="M562" s="6">
        <f>T_SALES[[#This Row],[Profit]]/T_SALES[[#This Row],[Amount]]</f>
        <v>0.39393939393939392</v>
      </c>
    </row>
    <row r="563" spans="1:13" x14ac:dyDescent="0.25">
      <c r="A563" s="1" t="s">
        <v>581</v>
      </c>
      <c r="B563" s="7">
        <v>3234</v>
      </c>
      <c r="C563" s="8">
        <v>1274</v>
      </c>
      <c r="D563">
        <v>10</v>
      </c>
      <c r="E563" s="1" t="s">
        <v>39</v>
      </c>
      <c r="F563" s="1" t="s">
        <v>40</v>
      </c>
      <c r="G563" s="1" t="s">
        <v>35</v>
      </c>
      <c r="H563" s="2">
        <v>44180</v>
      </c>
      <c r="I563" s="1" t="s">
        <v>584</v>
      </c>
      <c r="J563" s="1" t="s">
        <v>82</v>
      </c>
      <c r="K563" s="1" t="s">
        <v>97</v>
      </c>
      <c r="L563" s="2">
        <v>44166</v>
      </c>
      <c r="M563" s="6">
        <f>T_SALES[[#This Row],[Profit]]/T_SALES[[#This Row],[Amount]]</f>
        <v>0.39393939393939392</v>
      </c>
    </row>
    <row r="564" spans="1:13" x14ac:dyDescent="0.25">
      <c r="A564" s="1" t="s">
        <v>585</v>
      </c>
      <c r="B564" s="7">
        <v>6200</v>
      </c>
      <c r="C564" s="8">
        <v>2321</v>
      </c>
      <c r="D564">
        <v>18</v>
      </c>
      <c r="E564" s="1" t="s">
        <v>39</v>
      </c>
      <c r="F564" s="1" t="s">
        <v>40</v>
      </c>
      <c r="G564" s="1" t="s">
        <v>41</v>
      </c>
      <c r="H564" s="2">
        <v>45484</v>
      </c>
      <c r="I564" s="1" t="s">
        <v>586</v>
      </c>
      <c r="J564" s="1" t="s">
        <v>37</v>
      </c>
      <c r="K564" s="1" t="s">
        <v>38</v>
      </c>
      <c r="L564" s="2">
        <v>45474</v>
      </c>
      <c r="M564" s="6">
        <f>T_SALES[[#This Row],[Profit]]/T_SALES[[#This Row],[Amount]]</f>
        <v>0.3743548387096774</v>
      </c>
    </row>
    <row r="565" spans="1:13" x14ac:dyDescent="0.25">
      <c r="A565" s="1" t="s">
        <v>585</v>
      </c>
      <c r="B565" s="7">
        <v>6200</v>
      </c>
      <c r="C565" s="8">
        <v>2321</v>
      </c>
      <c r="D565">
        <v>18</v>
      </c>
      <c r="E565" s="1" t="s">
        <v>39</v>
      </c>
      <c r="F565" s="1" t="s">
        <v>40</v>
      </c>
      <c r="G565" s="1" t="s">
        <v>41</v>
      </c>
      <c r="H565" s="2">
        <v>45556</v>
      </c>
      <c r="I565" s="1" t="s">
        <v>587</v>
      </c>
      <c r="J565" s="1" t="s">
        <v>17</v>
      </c>
      <c r="K565" s="1" t="s">
        <v>18</v>
      </c>
      <c r="L565" s="2">
        <v>45536</v>
      </c>
      <c r="M565" s="6">
        <f>T_SALES[[#This Row],[Profit]]/T_SALES[[#This Row],[Amount]]</f>
        <v>0.3743548387096774</v>
      </c>
    </row>
    <row r="566" spans="1:13" x14ac:dyDescent="0.25">
      <c r="A566" s="1" t="s">
        <v>588</v>
      </c>
      <c r="B566" s="7">
        <v>4470</v>
      </c>
      <c r="C566" s="8">
        <v>413</v>
      </c>
      <c r="D566">
        <v>13</v>
      </c>
      <c r="E566" s="1" t="s">
        <v>13</v>
      </c>
      <c r="F566" s="1" t="s">
        <v>34</v>
      </c>
      <c r="G566" s="1" t="s">
        <v>15</v>
      </c>
      <c r="H566" s="2">
        <v>45690</v>
      </c>
      <c r="I566" s="1" t="s">
        <v>589</v>
      </c>
      <c r="J566" s="1" t="s">
        <v>37</v>
      </c>
      <c r="K566" s="1" t="s">
        <v>38</v>
      </c>
      <c r="L566" s="2">
        <v>45689</v>
      </c>
      <c r="M566" s="6">
        <f>T_SALES[[#This Row],[Profit]]/T_SALES[[#This Row],[Amount]]</f>
        <v>9.2393736017897091E-2</v>
      </c>
    </row>
    <row r="567" spans="1:13" x14ac:dyDescent="0.25">
      <c r="A567" s="1" t="s">
        <v>590</v>
      </c>
      <c r="B567" s="7">
        <v>916</v>
      </c>
      <c r="C567" s="8">
        <v>362</v>
      </c>
      <c r="D567">
        <v>7</v>
      </c>
      <c r="E567" s="1" t="s">
        <v>27</v>
      </c>
      <c r="F567" s="1" t="s">
        <v>28</v>
      </c>
      <c r="G567" s="1" t="s">
        <v>15</v>
      </c>
      <c r="H567" s="2">
        <v>44855</v>
      </c>
      <c r="I567" s="1" t="s">
        <v>591</v>
      </c>
      <c r="J567" s="1" t="s">
        <v>20</v>
      </c>
      <c r="K567" s="1" t="s">
        <v>54</v>
      </c>
      <c r="L567" s="2">
        <v>44835</v>
      </c>
      <c r="M567" s="6">
        <f>T_SALES[[#This Row],[Profit]]/T_SALES[[#This Row],[Amount]]</f>
        <v>0.39519650655021832</v>
      </c>
    </row>
    <row r="568" spans="1:13" x14ac:dyDescent="0.25">
      <c r="A568" s="1" t="s">
        <v>590</v>
      </c>
      <c r="B568" s="7">
        <v>916</v>
      </c>
      <c r="C568" s="8">
        <v>362</v>
      </c>
      <c r="D568">
        <v>7</v>
      </c>
      <c r="E568" s="1" t="s">
        <v>27</v>
      </c>
      <c r="F568" s="1" t="s">
        <v>28</v>
      </c>
      <c r="G568" s="1" t="s">
        <v>15</v>
      </c>
      <c r="H568" s="2">
        <v>44125</v>
      </c>
      <c r="I568" s="1" t="s">
        <v>592</v>
      </c>
      <c r="J568" s="1" t="s">
        <v>37</v>
      </c>
      <c r="K568" s="1" t="s">
        <v>78</v>
      </c>
      <c r="L568" s="2">
        <v>44105</v>
      </c>
      <c r="M568" s="6">
        <f>T_SALES[[#This Row],[Profit]]/T_SALES[[#This Row],[Amount]]</f>
        <v>0.39519650655021832</v>
      </c>
    </row>
    <row r="569" spans="1:13" x14ac:dyDescent="0.25">
      <c r="A569" s="1" t="s">
        <v>590</v>
      </c>
      <c r="B569" s="7">
        <v>1165</v>
      </c>
      <c r="C569" s="8">
        <v>302</v>
      </c>
      <c r="D569">
        <v>20</v>
      </c>
      <c r="E569" s="1" t="s">
        <v>39</v>
      </c>
      <c r="F569" s="1" t="s">
        <v>51</v>
      </c>
      <c r="G569" s="1" t="s">
        <v>15</v>
      </c>
      <c r="H569" s="2">
        <v>44855</v>
      </c>
      <c r="I569" s="1" t="s">
        <v>591</v>
      </c>
      <c r="J569" s="1" t="s">
        <v>20</v>
      </c>
      <c r="K569" s="1" t="s">
        <v>54</v>
      </c>
      <c r="L569" s="2">
        <v>44835</v>
      </c>
      <c r="M569" s="6">
        <f>T_SALES[[#This Row],[Profit]]/T_SALES[[#This Row],[Amount]]</f>
        <v>0.2592274678111588</v>
      </c>
    </row>
    <row r="570" spans="1:13" x14ac:dyDescent="0.25">
      <c r="A570" s="1" t="s">
        <v>590</v>
      </c>
      <c r="B570" s="7">
        <v>1165</v>
      </c>
      <c r="C570" s="8">
        <v>302</v>
      </c>
      <c r="D570">
        <v>20</v>
      </c>
      <c r="E570" s="1" t="s">
        <v>39</v>
      </c>
      <c r="F570" s="1" t="s">
        <v>51</v>
      </c>
      <c r="G570" s="1" t="s">
        <v>15</v>
      </c>
      <c r="H570" s="2">
        <v>44125</v>
      </c>
      <c r="I570" s="1" t="s">
        <v>592</v>
      </c>
      <c r="J570" s="1" t="s">
        <v>37</v>
      </c>
      <c r="K570" s="1" t="s">
        <v>78</v>
      </c>
      <c r="L570" s="2">
        <v>44105</v>
      </c>
      <c r="M570" s="6">
        <f>T_SALES[[#This Row],[Profit]]/T_SALES[[#This Row],[Amount]]</f>
        <v>0.2592274678111588</v>
      </c>
    </row>
    <row r="571" spans="1:13" x14ac:dyDescent="0.25">
      <c r="A571" s="1" t="s">
        <v>590</v>
      </c>
      <c r="B571" s="7">
        <v>7846</v>
      </c>
      <c r="C571" s="8">
        <v>677</v>
      </c>
      <c r="D571">
        <v>12</v>
      </c>
      <c r="E571" s="1" t="s">
        <v>39</v>
      </c>
      <c r="F571" s="1" t="s">
        <v>43</v>
      </c>
      <c r="G571" s="1" t="s">
        <v>15</v>
      </c>
      <c r="H571" s="2">
        <v>44855</v>
      </c>
      <c r="I571" s="1" t="s">
        <v>591</v>
      </c>
      <c r="J571" s="1" t="s">
        <v>20</v>
      </c>
      <c r="K571" s="1" t="s">
        <v>54</v>
      </c>
      <c r="L571" s="2">
        <v>44835</v>
      </c>
      <c r="M571" s="6">
        <f>T_SALES[[#This Row],[Profit]]/T_SALES[[#This Row],[Amount]]</f>
        <v>8.6286005607953103E-2</v>
      </c>
    </row>
    <row r="572" spans="1:13" x14ac:dyDescent="0.25">
      <c r="A572" s="1" t="s">
        <v>590</v>
      </c>
      <c r="B572" s="7">
        <v>7846</v>
      </c>
      <c r="C572" s="8">
        <v>677</v>
      </c>
      <c r="D572">
        <v>12</v>
      </c>
      <c r="E572" s="1" t="s">
        <v>39</v>
      </c>
      <c r="F572" s="1" t="s">
        <v>43</v>
      </c>
      <c r="G572" s="1" t="s">
        <v>15</v>
      </c>
      <c r="H572" s="2">
        <v>44125</v>
      </c>
      <c r="I572" s="1" t="s">
        <v>592</v>
      </c>
      <c r="J572" s="1" t="s">
        <v>37</v>
      </c>
      <c r="K572" s="1" t="s">
        <v>78</v>
      </c>
      <c r="L572" s="2">
        <v>44105</v>
      </c>
      <c r="M572" s="6">
        <f>T_SALES[[#This Row],[Profit]]/T_SALES[[#This Row],[Amount]]</f>
        <v>8.6286005607953103E-2</v>
      </c>
    </row>
    <row r="573" spans="1:13" x14ac:dyDescent="0.25">
      <c r="A573" s="1" t="s">
        <v>593</v>
      </c>
      <c r="B573" s="7">
        <v>3022</v>
      </c>
      <c r="C573" s="8">
        <v>384</v>
      </c>
      <c r="D573">
        <v>1</v>
      </c>
      <c r="E573" s="1" t="s">
        <v>27</v>
      </c>
      <c r="F573" s="1" t="s">
        <v>28</v>
      </c>
      <c r="G573" s="1" t="s">
        <v>41</v>
      </c>
      <c r="H573" s="2">
        <v>44572</v>
      </c>
      <c r="I573" s="1" t="s">
        <v>594</v>
      </c>
      <c r="J573" s="1" t="s">
        <v>62</v>
      </c>
      <c r="K573" s="1" t="s">
        <v>74</v>
      </c>
      <c r="L573" s="2">
        <v>44562</v>
      </c>
      <c r="M573" s="6">
        <f>T_SALES[[#This Row],[Profit]]/T_SALES[[#This Row],[Amount]]</f>
        <v>0.12706816677696889</v>
      </c>
    </row>
    <row r="574" spans="1:13" x14ac:dyDescent="0.25">
      <c r="A574" s="1" t="s">
        <v>593</v>
      </c>
      <c r="B574" s="7">
        <v>3022</v>
      </c>
      <c r="C574" s="8">
        <v>384</v>
      </c>
      <c r="D574">
        <v>1</v>
      </c>
      <c r="E574" s="1" t="s">
        <v>27</v>
      </c>
      <c r="F574" s="1" t="s">
        <v>28</v>
      </c>
      <c r="G574" s="1" t="s">
        <v>41</v>
      </c>
      <c r="H574" s="2">
        <v>44244</v>
      </c>
      <c r="I574" s="1" t="s">
        <v>595</v>
      </c>
      <c r="J574" s="1" t="s">
        <v>20</v>
      </c>
      <c r="K574" s="1" t="s">
        <v>21</v>
      </c>
      <c r="L574" s="2">
        <v>44228</v>
      </c>
      <c r="M574" s="6">
        <f>T_SALES[[#This Row],[Profit]]/T_SALES[[#This Row],[Amount]]</f>
        <v>0.12706816677696889</v>
      </c>
    </row>
    <row r="575" spans="1:13" x14ac:dyDescent="0.25">
      <c r="A575" s="1" t="s">
        <v>593</v>
      </c>
      <c r="B575" s="7">
        <v>5266</v>
      </c>
      <c r="C575" s="8">
        <v>1111</v>
      </c>
      <c r="D575">
        <v>13</v>
      </c>
      <c r="E575" s="1" t="s">
        <v>13</v>
      </c>
      <c r="F575" s="1" t="s">
        <v>14</v>
      </c>
      <c r="G575" s="1" t="s">
        <v>29</v>
      </c>
      <c r="H575" s="2">
        <v>44572</v>
      </c>
      <c r="I575" s="1" t="s">
        <v>594</v>
      </c>
      <c r="J575" s="1" t="s">
        <v>62</v>
      </c>
      <c r="K575" s="1" t="s">
        <v>74</v>
      </c>
      <c r="L575" s="2">
        <v>44562</v>
      </c>
      <c r="M575" s="6">
        <f>T_SALES[[#This Row],[Profit]]/T_SALES[[#This Row],[Amount]]</f>
        <v>0.21097607292062287</v>
      </c>
    </row>
    <row r="576" spans="1:13" x14ac:dyDescent="0.25">
      <c r="A576" s="1" t="s">
        <v>593</v>
      </c>
      <c r="B576" s="7">
        <v>5266</v>
      </c>
      <c r="C576" s="8">
        <v>1111</v>
      </c>
      <c r="D576">
        <v>13</v>
      </c>
      <c r="E576" s="1" t="s">
        <v>13</v>
      </c>
      <c r="F576" s="1" t="s">
        <v>14</v>
      </c>
      <c r="G576" s="1" t="s">
        <v>29</v>
      </c>
      <c r="H576" s="2">
        <v>44244</v>
      </c>
      <c r="I576" s="1" t="s">
        <v>595</v>
      </c>
      <c r="J576" s="1" t="s">
        <v>20</v>
      </c>
      <c r="K576" s="1" t="s">
        <v>21</v>
      </c>
      <c r="L576" s="2">
        <v>44228</v>
      </c>
      <c r="M576" s="6">
        <f>T_SALES[[#This Row],[Profit]]/T_SALES[[#This Row],[Amount]]</f>
        <v>0.21097607292062287</v>
      </c>
    </row>
    <row r="577" spans="1:13" x14ac:dyDescent="0.25">
      <c r="A577" s="1" t="s">
        <v>596</v>
      </c>
      <c r="B577" s="7">
        <v>4853</v>
      </c>
      <c r="C577" s="8">
        <v>1764</v>
      </c>
      <c r="D577">
        <v>9</v>
      </c>
      <c r="E577" s="1" t="s">
        <v>27</v>
      </c>
      <c r="F577" s="1" t="s">
        <v>28</v>
      </c>
      <c r="G577" s="1" t="s">
        <v>29</v>
      </c>
      <c r="H577" s="2">
        <v>44506</v>
      </c>
      <c r="I577" s="1" t="s">
        <v>597</v>
      </c>
      <c r="J577" s="1" t="s">
        <v>17</v>
      </c>
      <c r="K577" s="1" t="s">
        <v>31</v>
      </c>
      <c r="L577" s="2">
        <v>44501</v>
      </c>
      <c r="M577" s="6">
        <f>T_SALES[[#This Row],[Profit]]/T_SALES[[#This Row],[Amount]]</f>
        <v>0.36348650319390069</v>
      </c>
    </row>
    <row r="578" spans="1:13" x14ac:dyDescent="0.25">
      <c r="A578" s="1" t="s">
        <v>596</v>
      </c>
      <c r="B578" s="7">
        <v>4853</v>
      </c>
      <c r="C578" s="8">
        <v>1764</v>
      </c>
      <c r="D578">
        <v>9</v>
      </c>
      <c r="E578" s="1" t="s">
        <v>27</v>
      </c>
      <c r="F578" s="1" t="s">
        <v>28</v>
      </c>
      <c r="G578" s="1" t="s">
        <v>29</v>
      </c>
      <c r="H578" s="2">
        <v>44803</v>
      </c>
      <c r="I578" s="1" t="s">
        <v>598</v>
      </c>
      <c r="J578" s="1" t="s">
        <v>62</v>
      </c>
      <c r="K578" s="1" t="s">
        <v>111</v>
      </c>
      <c r="L578" s="2">
        <v>44774</v>
      </c>
      <c r="M578" s="6">
        <f>T_SALES[[#This Row],[Profit]]/T_SALES[[#This Row],[Amount]]</f>
        <v>0.36348650319390069</v>
      </c>
    </row>
    <row r="579" spans="1:13" x14ac:dyDescent="0.25">
      <c r="A579" s="1" t="s">
        <v>599</v>
      </c>
      <c r="B579" s="7">
        <v>9832</v>
      </c>
      <c r="C579" s="8">
        <v>1270</v>
      </c>
      <c r="D579">
        <v>1</v>
      </c>
      <c r="E579" s="1" t="s">
        <v>27</v>
      </c>
      <c r="F579" s="1" t="s">
        <v>28</v>
      </c>
      <c r="G579" s="1" t="s">
        <v>56</v>
      </c>
      <c r="H579" s="2">
        <v>44841</v>
      </c>
      <c r="I579" s="1" t="s">
        <v>600</v>
      </c>
      <c r="J579" s="1" t="s">
        <v>37</v>
      </c>
      <c r="K579" s="1" t="s">
        <v>78</v>
      </c>
      <c r="L579" s="2">
        <v>44835</v>
      </c>
      <c r="M579" s="6">
        <f>T_SALES[[#This Row],[Profit]]/T_SALES[[#This Row],[Amount]]</f>
        <v>0.1291700569568755</v>
      </c>
    </row>
    <row r="580" spans="1:13" x14ac:dyDescent="0.25">
      <c r="A580" s="1" t="s">
        <v>599</v>
      </c>
      <c r="B580" s="7">
        <v>796</v>
      </c>
      <c r="C580" s="8">
        <v>153</v>
      </c>
      <c r="D580">
        <v>15</v>
      </c>
      <c r="E580" s="1" t="s">
        <v>27</v>
      </c>
      <c r="F580" s="1" t="s">
        <v>28</v>
      </c>
      <c r="G580" s="1" t="s">
        <v>41</v>
      </c>
      <c r="H580" s="2">
        <v>44841</v>
      </c>
      <c r="I580" s="1" t="s">
        <v>600</v>
      </c>
      <c r="J580" s="1" t="s">
        <v>37</v>
      </c>
      <c r="K580" s="1" t="s">
        <v>78</v>
      </c>
      <c r="L580" s="2">
        <v>44835</v>
      </c>
      <c r="M580" s="6">
        <f>T_SALES[[#This Row],[Profit]]/T_SALES[[#This Row],[Amount]]</f>
        <v>0.19221105527638191</v>
      </c>
    </row>
    <row r="581" spans="1:13" x14ac:dyDescent="0.25">
      <c r="A581" s="1" t="s">
        <v>601</v>
      </c>
      <c r="B581" s="7">
        <v>883</v>
      </c>
      <c r="C581" s="8">
        <v>127</v>
      </c>
      <c r="D581">
        <v>7</v>
      </c>
      <c r="E581" s="1" t="s">
        <v>39</v>
      </c>
      <c r="F581" s="1" t="s">
        <v>43</v>
      </c>
      <c r="G581" s="1" t="s">
        <v>56</v>
      </c>
      <c r="H581" s="2">
        <v>45081</v>
      </c>
      <c r="I581" s="1" t="s">
        <v>602</v>
      </c>
      <c r="J581" s="1" t="s">
        <v>37</v>
      </c>
      <c r="K581" s="1" t="s">
        <v>78</v>
      </c>
      <c r="L581" s="2">
        <v>45078</v>
      </c>
      <c r="M581" s="6">
        <f>T_SALES[[#This Row],[Profit]]/T_SALES[[#This Row],[Amount]]</f>
        <v>0.14382785956964891</v>
      </c>
    </row>
    <row r="582" spans="1:13" x14ac:dyDescent="0.25">
      <c r="A582" s="1" t="s">
        <v>601</v>
      </c>
      <c r="B582" s="7">
        <v>4539</v>
      </c>
      <c r="C582" s="8">
        <v>1155</v>
      </c>
      <c r="D582">
        <v>8</v>
      </c>
      <c r="E582" s="1" t="s">
        <v>39</v>
      </c>
      <c r="F582" s="1" t="s">
        <v>90</v>
      </c>
      <c r="G582" s="1" t="s">
        <v>29</v>
      </c>
      <c r="H582" s="2">
        <v>45081</v>
      </c>
      <c r="I582" s="1" t="s">
        <v>602</v>
      </c>
      <c r="J582" s="1" t="s">
        <v>37</v>
      </c>
      <c r="K582" s="1" t="s">
        <v>78</v>
      </c>
      <c r="L582" s="2">
        <v>45078</v>
      </c>
      <c r="M582" s="6">
        <f>T_SALES[[#This Row],[Profit]]/T_SALES[[#This Row],[Amount]]</f>
        <v>0.25446133509583607</v>
      </c>
    </row>
    <row r="583" spans="1:13" x14ac:dyDescent="0.25">
      <c r="A583" s="1" t="s">
        <v>601</v>
      </c>
      <c r="B583" s="7">
        <v>9659</v>
      </c>
      <c r="C583" s="8">
        <v>2226</v>
      </c>
      <c r="D583">
        <v>16</v>
      </c>
      <c r="E583" s="1" t="s">
        <v>27</v>
      </c>
      <c r="F583" s="1" t="s">
        <v>67</v>
      </c>
      <c r="G583" s="1" t="s">
        <v>29</v>
      </c>
      <c r="H583" s="2">
        <v>45081</v>
      </c>
      <c r="I583" s="1" t="s">
        <v>602</v>
      </c>
      <c r="J583" s="1" t="s">
        <v>37</v>
      </c>
      <c r="K583" s="1" t="s">
        <v>78</v>
      </c>
      <c r="L583" s="2">
        <v>45078</v>
      </c>
      <c r="M583" s="6">
        <f>T_SALES[[#This Row],[Profit]]/T_SALES[[#This Row],[Amount]]</f>
        <v>0.23045863961072574</v>
      </c>
    </row>
    <row r="584" spans="1:13" x14ac:dyDescent="0.25">
      <c r="A584" s="1" t="s">
        <v>603</v>
      </c>
      <c r="B584" s="7">
        <v>9562</v>
      </c>
      <c r="C584" s="8">
        <v>325</v>
      </c>
      <c r="D584">
        <v>2</v>
      </c>
      <c r="E584" s="1" t="s">
        <v>13</v>
      </c>
      <c r="F584" s="1" t="s">
        <v>25</v>
      </c>
      <c r="G584" s="1" t="s">
        <v>29</v>
      </c>
      <c r="H584" s="2">
        <v>44694</v>
      </c>
      <c r="I584" s="1" t="s">
        <v>604</v>
      </c>
      <c r="J584" s="1" t="s">
        <v>37</v>
      </c>
      <c r="K584" s="1" t="s">
        <v>65</v>
      </c>
      <c r="L584" s="2">
        <v>44682</v>
      </c>
      <c r="M584" s="6">
        <f>T_SALES[[#This Row],[Profit]]/T_SALES[[#This Row],[Amount]]</f>
        <v>3.3988705291779962E-2</v>
      </c>
    </row>
    <row r="585" spans="1:13" x14ac:dyDescent="0.25">
      <c r="A585" s="1" t="s">
        <v>605</v>
      </c>
      <c r="B585" s="7">
        <v>4688</v>
      </c>
      <c r="C585" s="8">
        <v>1841</v>
      </c>
      <c r="D585">
        <v>3</v>
      </c>
      <c r="E585" s="1" t="s">
        <v>13</v>
      </c>
      <c r="F585" s="1" t="s">
        <v>34</v>
      </c>
      <c r="G585" s="1" t="s">
        <v>41</v>
      </c>
      <c r="H585" s="2">
        <v>44949</v>
      </c>
      <c r="I585" s="1" t="s">
        <v>606</v>
      </c>
      <c r="J585" s="1" t="s">
        <v>37</v>
      </c>
      <c r="K585" s="1" t="s">
        <v>78</v>
      </c>
      <c r="L585" s="2">
        <v>44927</v>
      </c>
      <c r="M585" s="6">
        <f>T_SALES[[#This Row],[Profit]]/T_SALES[[#This Row],[Amount]]</f>
        <v>0.39270477815699661</v>
      </c>
    </row>
    <row r="586" spans="1:13" x14ac:dyDescent="0.25">
      <c r="A586" s="1" t="s">
        <v>605</v>
      </c>
      <c r="B586" s="7">
        <v>4688</v>
      </c>
      <c r="C586" s="8">
        <v>1841</v>
      </c>
      <c r="D586">
        <v>3</v>
      </c>
      <c r="E586" s="1" t="s">
        <v>13</v>
      </c>
      <c r="F586" s="1" t="s">
        <v>34</v>
      </c>
      <c r="G586" s="1" t="s">
        <v>41</v>
      </c>
      <c r="H586" s="2">
        <v>44402</v>
      </c>
      <c r="I586" s="1" t="s">
        <v>607</v>
      </c>
      <c r="J586" s="1" t="s">
        <v>37</v>
      </c>
      <c r="K586" s="1" t="s">
        <v>65</v>
      </c>
      <c r="L586" s="2">
        <v>44378</v>
      </c>
      <c r="M586" s="6">
        <f>T_SALES[[#This Row],[Profit]]/T_SALES[[#This Row],[Amount]]</f>
        <v>0.39270477815699661</v>
      </c>
    </row>
    <row r="587" spans="1:13" x14ac:dyDescent="0.25">
      <c r="A587" s="1" t="s">
        <v>608</v>
      </c>
      <c r="B587" s="7">
        <v>7900</v>
      </c>
      <c r="C587" s="8">
        <v>482</v>
      </c>
      <c r="D587">
        <v>4</v>
      </c>
      <c r="E587" s="1" t="s">
        <v>13</v>
      </c>
      <c r="F587" s="1" t="s">
        <v>70</v>
      </c>
      <c r="G587" s="1" t="s">
        <v>56</v>
      </c>
      <c r="H587" s="2">
        <v>45724</v>
      </c>
      <c r="I587" s="1" t="s">
        <v>609</v>
      </c>
      <c r="J587" s="1" t="s">
        <v>82</v>
      </c>
      <c r="K587" s="1" t="s">
        <v>83</v>
      </c>
      <c r="L587" s="2">
        <v>45717</v>
      </c>
      <c r="M587" s="6">
        <f>T_SALES[[#This Row],[Profit]]/T_SALES[[#This Row],[Amount]]</f>
        <v>6.1012658227848099E-2</v>
      </c>
    </row>
    <row r="588" spans="1:13" x14ac:dyDescent="0.25">
      <c r="A588" s="1" t="s">
        <v>610</v>
      </c>
      <c r="B588" s="7">
        <v>6967</v>
      </c>
      <c r="C588" s="8">
        <v>3257</v>
      </c>
      <c r="D588">
        <v>17</v>
      </c>
      <c r="E588" s="1" t="s">
        <v>39</v>
      </c>
      <c r="F588" s="1" t="s">
        <v>90</v>
      </c>
      <c r="G588" s="1" t="s">
        <v>56</v>
      </c>
      <c r="H588" s="2">
        <v>44920</v>
      </c>
      <c r="I588" s="1" t="s">
        <v>611</v>
      </c>
      <c r="J588" s="1" t="s">
        <v>82</v>
      </c>
      <c r="K588" s="1" t="s">
        <v>89</v>
      </c>
      <c r="L588" s="2">
        <v>44896</v>
      </c>
      <c r="M588" s="6">
        <f>T_SALES[[#This Row],[Profit]]/T_SALES[[#This Row],[Amount]]</f>
        <v>0.46748959379933974</v>
      </c>
    </row>
    <row r="589" spans="1:13" x14ac:dyDescent="0.25">
      <c r="A589" s="1" t="s">
        <v>610</v>
      </c>
      <c r="B589" s="7">
        <v>1091</v>
      </c>
      <c r="C589" s="8">
        <v>277</v>
      </c>
      <c r="D589">
        <v>6</v>
      </c>
      <c r="E589" s="1" t="s">
        <v>27</v>
      </c>
      <c r="F589" s="1" t="s">
        <v>55</v>
      </c>
      <c r="G589" s="1" t="s">
        <v>56</v>
      </c>
      <c r="H589" s="2">
        <v>44920</v>
      </c>
      <c r="I589" s="1" t="s">
        <v>611</v>
      </c>
      <c r="J589" s="1" t="s">
        <v>82</v>
      </c>
      <c r="K589" s="1" t="s">
        <v>89</v>
      </c>
      <c r="L589" s="2">
        <v>44896</v>
      </c>
      <c r="M589" s="6">
        <f>T_SALES[[#This Row],[Profit]]/T_SALES[[#This Row],[Amount]]</f>
        <v>0.25389550870760769</v>
      </c>
    </row>
    <row r="590" spans="1:13" x14ac:dyDescent="0.25">
      <c r="A590" s="1" t="s">
        <v>610</v>
      </c>
      <c r="B590" s="7">
        <v>6027</v>
      </c>
      <c r="C590" s="8">
        <v>1530</v>
      </c>
      <c r="D590">
        <v>2</v>
      </c>
      <c r="E590" s="1" t="s">
        <v>27</v>
      </c>
      <c r="F590" s="1" t="s">
        <v>67</v>
      </c>
      <c r="G590" s="1" t="s">
        <v>41</v>
      </c>
      <c r="H590" s="2">
        <v>44920</v>
      </c>
      <c r="I590" s="1" t="s">
        <v>611</v>
      </c>
      <c r="J590" s="1" t="s">
        <v>82</v>
      </c>
      <c r="K590" s="1" t="s">
        <v>89</v>
      </c>
      <c r="L590" s="2">
        <v>44896</v>
      </c>
      <c r="M590" s="6">
        <f>T_SALES[[#This Row],[Profit]]/T_SALES[[#This Row],[Amount]]</f>
        <v>0.25385764061722249</v>
      </c>
    </row>
    <row r="591" spans="1:13" x14ac:dyDescent="0.25">
      <c r="A591" s="1" t="s">
        <v>612</v>
      </c>
      <c r="B591" s="7">
        <v>4852</v>
      </c>
      <c r="C591" s="8">
        <v>218</v>
      </c>
      <c r="D591">
        <v>2</v>
      </c>
      <c r="E591" s="1" t="s">
        <v>39</v>
      </c>
      <c r="F591" s="1" t="s">
        <v>40</v>
      </c>
      <c r="G591" s="1" t="s">
        <v>35</v>
      </c>
      <c r="H591" s="2">
        <v>45406</v>
      </c>
      <c r="I591" s="1" t="s">
        <v>613</v>
      </c>
      <c r="J591" s="1" t="s">
        <v>62</v>
      </c>
      <c r="K591" s="1" t="s">
        <v>63</v>
      </c>
      <c r="L591" s="2">
        <v>45383</v>
      </c>
      <c r="M591" s="6">
        <f>T_SALES[[#This Row],[Profit]]/T_SALES[[#This Row],[Amount]]</f>
        <v>4.4929925803792251E-2</v>
      </c>
    </row>
    <row r="592" spans="1:13" x14ac:dyDescent="0.25">
      <c r="A592" s="1" t="s">
        <v>612</v>
      </c>
      <c r="B592" s="7">
        <v>4852</v>
      </c>
      <c r="C592" s="8">
        <v>218</v>
      </c>
      <c r="D592">
        <v>2</v>
      </c>
      <c r="E592" s="1" t="s">
        <v>39</v>
      </c>
      <c r="F592" s="1" t="s">
        <v>40</v>
      </c>
      <c r="G592" s="1" t="s">
        <v>35</v>
      </c>
      <c r="H592" s="2">
        <v>44554</v>
      </c>
      <c r="I592" s="1" t="s">
        <v>614</v>
      </c>
      <c r="J592" s="1" t="s">
        <v>17</v>
      </c>
      <c r="K592" s="1" t="s">
        <v>121</v>
      </c>
      <c r="L592" s="2">
        <v>44531</v>
      </c>
      <c r="M592" s="6">
        <f>T_SALES[[#This Row],[Profit]]/T_SALES[[#This Row],[Amount]]</f>
        <v>4.4929925803792251E-2</v>
      </c>
    </row>
    <row r="593" spans="1:13" x14ac:dyDescent="0.25">
      <c r="A593" s="1" t="s">
        <v>612</v>
      </c>
      <c r="B593" s="7">
        <v>4852</v>
      </c>
      <c r="C593" s="8">
        <v>218</v>
      </c>
      <c r="D593">
        <v>2</v>
      </c>
      <c r="E593" s="1" t="s">
        <v>39</v>
      </c>
      <c r="F593" s="1" t="s">
        <v>40</v>
      </c>
      <c r="G593" s="1" t="s">
        <v>35</v>
      </c>
      <c r="H593" s="2">
        <v>45176</v>
      </c>
      <c r="I593" s="1" t="s">
        <v>615</v>
      </c>
      <c r="J593" s="1" t="s">
        <v>20</v>
      </c>
      <c r="K593" s="1" t="s">
        <v>54</v>
      </c>
      <c r="L593" s="2">
        <v>45170</v>
      </c>
      <c r="M593" s="6">
        <f>T_SALES[[#This Row],[Profit]]/T_SALES[[#This Row],[Amount]]</f>
        <v>4.4929925803792251E-2</v>
      </c>
    </row>
    <row r="594" spans="1:13" x14ac:dyDescent="0.25">
      <c r="A594" s="1" t="s">
        <v>616</v>
      </c>
      <c r="B594" s="7">
        <v>4314</v>
      </c>
      <c r="C594" s="8">
        <v>1453</v>
      </c>
      <c r="D594">
        <v>6</v>
      </c>
      <c r="E594" s="1" t="s">
        <v>39</v>
      </c>
      <c r="F594" s="1" t="s">
        <v>51</v>
      </c>
      <c r="G594" s="1" t="s">
        <v>56</v>
      </c>
      <c r="H594" s="2">
        <v>44418</v>
      </c>
      <c r="I594" s="1" t="s">
        <v>617</v>
      </c>
      <c r="J594" s="1" t="s">
        <v>17</v>
      </c>
      <c r="K594" s="1" t="s">
        <v>121</v>
      </c>
      <c r="L594" s="2">
        <v>44409</v>
      </c>
      <c r="M594" s="6">
        <f>T_SALES[[#This Row],[Profit]]/T_SALES[[#This Row],[Amount]]</f>
        <v>0.33681038479369496</v>
      </c>
    </row>
    <row r="595" spans="1:13" x14ac:dyDescent="0.25">
      <c r="A595" s="1" t="s">
        <v>618</v>
      </c>
      <c r="B595" s="7">
        <v>3288</v>
      </c>
      <c r="C595" s="8">
        <v>1477</v>
      </c>
      <c r="D595">
        <v>3</v>
      </c>
      <c r="E595" s="1" t="s">
        <v>27</v>
      </c>
      <c r="F595" s="1" t="s">
        <v>28</v>
      </c>
      <c r="G595" s="1" t="s">
        <v>35</v>
      </c>
      <c r="H595" s="2">
        <v>45438</v>
      </c>
      <c r="I595" s="1" t="s">
        <v>619</v>
      </c>
      <c r="J595" s="1" t="s">
        <v>62</v>
      </c>
      <c r="K595" s="1" t="s">
        <v>74</v>
      </c>
      <c r="L595" s="2">
        <v>45413</v>
      </c>
      <c r="M595" s="6">
        <f>T_SALES[[#This Row],[Profit]]/T_SALES[[#This Row],[Amount]]</f>
        <v>0.44920924574209248</v>
      </c>
    </row>
    <row r="596" spans="1:13" x14ac:dyDescent="0.25">
      <c r="A596" s="1" t="s">
        <v>618</v>
      </c>
      <c r="B596" s="7">
        <v>3288</v>
      </c>
      <c r="C596" s="8">
        <v>1477</v>
      </c>
      <c r="D596">
        <v>3</v>
      </c>
      <c r="E596" s="1" t="s">
        <v>27</v>
      </c>
      <c r="F596" s="1" t="s">
        <v>28</v>
      </c>
      <c r="G596" s="1" t="s">
        <v>35</v>
      </c>
      <c r="H596" s="2">
        <v>44611</v>
      </c>
      <c r="I596" s="1" t="s">
        <v>620</v>
      </c>
      <c r="J596" s="1" t="s">
        <v>20</v>
      </c>
      <c r="K596" s="1" t="s">
        <v>54</v>
      </c>
      <c r="L596" s="2">
        <v>44593</v>
      </c>
      <c r="M596" s="6">
        <f>T_SALES[[#This Row],[Profit]]/T_SALES[[#This Row],[Amount]]</f>
        <v>0.44920924574209248</v>
      </c>
    </row>
    <row r="597" spans="1:13" x14ac:dyDescent="0.25">
      <c r="A597" s="1" t="s">
        <v>621</v>
      </c>
      <c r="B597" s="7">
        <v>3977</v>
      </c>
      <c r="C597" s="8">
        <v>813</v>
      </c>
      <c r="D597">
        <v>5</v>
      </c>
      <c r="E597" s="1" t="s">
        <v>27</v>
      </c>
      <c r="F597" s="1" t="s">
        <v>67</v>
      </c>
      <c r="G597" s="1" t="s">
        <v>41</v>
      </c>
      <c r="H597" s="2">
        <v>45635</v>
      </c>
      <c r="I597" s="1" t="s">
        <v>622</v>
      </c>
      <c r="J597" s="1" t="s">
        <v>23</v>
      </c>
      <c r="K597" s="1" t="s">
        <v>45</v>
      </c>
      <c r="L597" s="2">
        <v>45627</v>
      </c>
      <c r="M597" s="6">
        <f>T_SALES[[#This Row],[Profit]]/T_SALES[[#This Row],[Amount]]</f>
        <v>0.20442544631631884</v>
      </c>
    </row>
    <row r="598" spans="1:13" x14ac:dyDescent="0.25">
      <c r="A598" s="1" t="s">
        <v>623</v>
      </c>
      <c r="B598" s="7">
        <v>6252</v>
      </c>
      <c r="C598" s="8">
        <v>1377</v>
      </c>
      <c r="D598">
        <v>2</v>
      </c>
      <c r="E598" s="1" t="s">
        <v>13</v>
      </c>
      <c r="F598" s="1" t="s">
        <v>25</v>
      </c>
      <c r="G598" s="1" t="s">
        <v>35</v>
      </c>
      <c r="H598" s="2">
        <v>45078</v>
      </c>
      <c r="I598" s="1" t="s">
        <v>624</v>
      </c>
      <c r="J598" s="1" t="s">
        <v>20</v>
      </c>
      <c r="K598" s="1" t="s">
        <v>21</v>
      </c>
      <c r="L598" s="2">
        <v>45078</v>
      </c>
      <c r="M598" s="6">
        <f>T_SALES[[#This Row],[Profit]]/T_SALES[[#This Row],[Amount]]</f>
        <v>0.22024952015355087</v>
      </c>
    </row>
    <row r="599" spans="1:13" x14ac:dyDescent="0.25">
      <c r="A599" s="1" t="s">
        <v>625</v>
      </c>
      <c r="B599" s="7">
        <v>9084</v>
      </c>
      <c r="C599" s="8">
        <v>3253</v>
      </c>
      <c r="D599">
        <v>12</v>
      </c>
      <c r="E599" s="1" t="s">
        <v>27</v>
      </c>
      <c r="F599" s="1" t="s">
        <v>28</v>
      </c>
      <c r="G599" s="1" t="s">
        <v>29</v>
      </c>
      <c r="H599" s="2">
        <v>45235</v>
      </c>
      <c r="I599" s="1" t="s">
        <v>626</v>
      </c>
      <c r="J599" s="1" t="s">
        <v>23</v>
      </c>
      <c r="K599" s="1" t="s">
        <v>24</v>
      </c>
      <c r="L599" s="2">
        <v>45231</v>
      </c>
      <c r="M599" s="6">
        <f>T_SALES[[#This Row],[Profit]]/T_SALES[[#This Row],[Amount]]</f>
        <v>0.35810215763980624</v>
      </c>
    </row>
    <row r="600" spans="1:13" x14ac:dyDescent="0.25">
      <c r="A600" s="1" t="s">
        <v>627</v>
      </c>
      <c r="B600" s="7">
        <v>8994</v>
      </c>
      <c r="C600" s="8">
        <v>1481</v>
      </c>
      <c r="D600">
        <v>15</v>
      </c>
      <c r="E600" s="1" t="s">
        <v>13</v>
      </c>
      <c r="F600" s="1" t="s">
        <v>70</v>
      </c>
      <c r="G600" s="1" t="s">
        <v>41</v>
      </c>
      <c r="H600" s="2">
        <v>44003</v>
      </c>
      <c r="I600" s="1" t="s">
        <v>628</v>
      </c>
      <c r="J600" s="1" t="s">
        <v>37</v>
      </c>
      <c r="K600" s="1" t="s">
        <v>65</v>
      </c>
      <c r="L600" s="2">
        <v>43983</v>
      </c>
      <c r="M600" s="6">
        <f>T_SALES[[#This Row],[Profit]]/T_SALES[[#This Row],[Amount]]</f>
        <v>0.16466533244385145</v>
      </c>
    </row>
    <row r="601" spans="1:13" x14ac:dyDescent="0.25">
      <c r="A601" s="1" t="s">
        <v>629</v>
      </c>
      <c r="B601" s="7">
        <v>1089</v>
      </c>
      <c r="C601" s="8">
        <v>176</v>
      </c>
      <c r="D601">
        <v>16</v>
      </c>
      <c r="E601" s="1" t="s">
        <v>27</v>
      </c>
      <c r="F601" s="1" t="s">
        <v>49</v>
      </c>
      <c r="G601" s="1" t="s">
        <v>35</v>
      </c>
      <c r="H601" s="2">
        <v>44130</v>
      </c>
      <c r="I601" s="1" t="s">
        <v>630</v>
      </c>
      <c r="J601" s="1" t="s">
        <v>62</v>
      </c>
      <c r="K601" s="1" t="s">
        <v>63</v>
      </c>
      <c r="L601" s="2">
        <v>44105</v>
      </c>
      <c r="M601" s="6">
        <f>T_SALES[[#This Row],[Profit]]/T_SALES[[#This Row],[Amount]]</f>
        <v>0.16161616161616163</v>
      </c>
    </row>
    <row r="602" spans="1:13" x14ac:dyDescent="0.25">
      <c r="A602" s="1" t="s">
        <v>631</v>
      </c>
      <c r="B602" s="7">
        <v>6690</v>
      </c>
      <c r="C602" s="8">
        <v>1001</v>
      </c>
      <c r="D602">
        <v>19</v>
      </c>
      <c r="E602" s="1" t="s">
        <v>27</v>
      </c>
      <c r="F602" s="1" t="s">
        <v>67</v>
      </c>
      <c r="G602" s="1" t="s">
        <v>15</v>
      </c>
      <c r="H602" s="2">
        <v>44718</v>
      </c>
      <c r="I602" s="1" t="s">
        <v>632</v>
      </c>
      <c r="J602" s="1" t="s">
        <v>20</v>
      </c>
      <c r="K602" s="1" t="s">
        <v>54</v>
      </c>
      <c r="L602" s="2">
        <v>44713</v>
      </c>
      <c r="M602" s="6">
        <f>T_SALES[[#This Row],[Profit]]/T_SALES[[#This Row],[Amount]]</f>
        <v>0.14962630792227205</v>
      </c>
    </row>
    <row r="603" spans="1:13" x14ac:dyDescent="0.25">
      <c r="A603" s="1" t="s">
        <v>631</v>
      </c>
      <c r="B603" s="7">
        <v>6690</v>
      </c>
      <c r="C603" s="8">
        <v>1001</v>
      </c>
      <c r="D603">
        <v>19</v>
      </c>
      <c r="E603" s="1" t="s">
        <v>27</v>
      </c>
      <c r="F603" s="1" t="s">
        <v>67</v>
      </c>
      <c r="G603" s="1" t="s">
        <v>15</v>
      </c>
      <c r="H603" s="2">
        <v>44513</v>
      </c>
      <c r="I603" s="1" t="s">
        <v>633</v>
      </c>
      <c r="J603" s="1" t="s">
        <v>20</v>
      </c>
      <c r="K603" s="1" t="s">
        <v>21</v>
      </c>
      <c r="L603" s="2">
        <v>44501</v>
      </c>
      <c r="M603" s="6">
        <f>T_SALES[[#This Row],[Profit]]/T_SALES[[#This Row],[Amount]]</f>
        <v>0.14962630792227205</v>
      </c>
    </row>
    <row r="604" spans="1:13" x14ac:dyDescent="0.25">
      <c r="A604" s="1" t="s">
        <v>631</v>
      </c>
      <c r="B604" s="7">
        <v>4985</v>
      </c>
      <c r="C604" s="8">
        <v>1920</v>
      </c>
      <c r="D604">
        <v>10</v>
      </c>
      <c r="E604" s="1" t="s">
        <v>39</v>
      </c>
      <c r="F604" s="1" t="s">
        <v>90</v>
      </c>
      <c r="G604" s="1" t="s">
        <v>41</v>
      </c>
      <c r="H604" s="2">
        <v>44718</v>
      </c>
      <c r="I604" s="1" t="s">
        <v>632</v>
      </c>
      <c r="J604" s="1" t="s">
        <v>20</v>
      </c>
      <c r="K604" s="1" t="s">
        <v>54</v>
      </c>
      <c r="L604" s="2">
        <v>44713</v>
      </c>
      <c r="M604" s="6">
        <f>T_SALES[[#This Row],[Profit]]/T_SALES[[#This Row],[Amount]]</f>
        <v>0.38515546639919757</v>
      </c>
    </row>
    <row r="605" spans="1:13" x14ac:dyDescent="0.25">
      <c r="A605" s="1" t="s">
        <v>631</v>
      </c>
      <c r="B605" s="7">
        <v>4985</v>
      </c>
      <c r="C605" s="8">
        <v>1920</v>
      </c>
      <c r="D605">
        <v>10</v>
      </c>
      <c r="E605" s="1" t="s">
        <v>39</v>
      </c>
      <c r="F605" s="1" t="s">
        <v>90</v>
      </c>
      <c r="G605" s="1" t="s">
        <v>41</v>
      </c>
      <c r="H605" s="2">
        <v>44513</v>
      </c>
      <c r="I605" s="1" t="s">
        <v>633</v>
      </c>
      <c r="J605" s="1" t="s">
        <v>20</v>
      </c>
      <c r="K605" s="1" t="s">
        <v>21</v>
      </c>
      <c r="L605" s="2">
        <v>44501</v>
      </c>
      <c r="M605" s="6">
        <f>T_SALES[[#This Row],[Profit]]/T_SALES[[#This Row],[Amount]]</f>
        <v>0.38515546639919757</v>
      </c>
    </row>
    <row r="606" spans="1:13" x14ac:dyDescent="0.25">
      <c r="A606" s="1" t="s">
        <v>634</v>
      </c>
      <c r="B606" s="7">
        <v>8590</v>
      </c>
      <c r="C606" s="8">
        <v>3565</v>
      </c>
      <c r="D606">
        <v>15</v>
      </c>
      <c r="E606" s="1" t="s">
        <v>13</v>
      </c>
      <c r="F606" s="1" t="s">
        <v>14</v>
      </c>
      <c r="G606" s="1" t="s">
        <v>35</v>
      </c>
      <c r="H606" s="2">
        <v>44511</v>
      </c>
      <c r="I606" s="1" t="s">
        <v>635</v>
      </c>
      <c r="J606" s="1" t="s">
        <v>17</v>
      </c>
      <c r="K606" s="1" t="s">
        <v>18</v>
      </c>
      <c r="L606" s="2">
        <v>44501</v>
      </c>
      <c r="M606" s="6">
        <f>T_SALES[[#This Row],[Profit]]/T_SALES[[#This Row],[Amount]]</f>
        <v>0.41501746216530849</v>
      </c>
    </row>
    <row r="607" spans="1:13" x14ac:dyDescent="0.25">
      <c r="A607" s="1" t="s">
        <v>634</v>
      </c>
      <c r="B607" s="7">
        <v>6973</v>
      </c>
      <c r="C607" s="8">
        <v>3038</v>
      </c>
      <c r="D607">
        <v>10</v>
      </c>
      <c r="E607" s="1" t="s">
        <v>39</v>
      </c>
      <c r="F607" s="1" t="s">
        <v>40</v>
      </c>
      <c r="G607" s="1" t="s">
        <v>56</v>
      </c>
      <c r="H607" s="2">
        <v>44511</v>
      </c>
      <c r="I607" s="1" t="s">
        <v>635</v>
      </c>
      <c r="J607" s="1" t="s">
        <v>17</v>
      </c>
      <c r="K607" s="1" t="s">
        <v>18</v>
      </c>
      <c r="L607" s="2">
        <v>44501</v>
      </c>
      <c r="M607" s="6">
        <f>T_SALES[[#This Row],[Profit]]/T_SALES[[#This Row],[Amount]]</f>
        <v>0.43568048185859742</v>
      </c>
    </row>
    <row r="608" spans="1:13" x14ac:dyDescent="0.25">
      <c r="A608" s="1" t="s">
        <v>636</v>
      </c>
      <c r="B608" s="7">
        <v>4591</v>
      </c>
      <c r="C608" s="8">
        <v>1941</v>
      </c>
      <c r="D608">
        <v>19</v>
      </c>
      <c r="E608" s="1" t="s">
        <v>13</v>
      </c>
      <c r="F608" s="1" t="s">
        <v>25</v>
      </c>
      <c r="G608" s="1" t="s">
        <v>35</v>
      </c>
      <c r="H608" s="2">
        <v>44408</v>
      </c>
      <c r="I608" s="1" t="s">
        <v>415</v>
      </c>
      <c r="J608" s="1" t="s">
        <v>62</v>
      </c>
      <c r="K608" s="1" t="s">
        <v>63</v>
      </c>
      <c r="L608" s="2">
        <v>44378</v>
      </c>
      <c r="M608" s="6">
        <f>T_SALES[[#This Row],[Profit]]/T_SALES[[#This Row],[Amount]]</f>
        <v>0.42278370725332171</v>
      </c>
    </row>
    <row r="609" spans="1:13" x14ac:dyDescent="0.25">
      <c r="A609" s="1" t="s">
        <v>636</v>
      </c>
      <c r="B609" s="7">
        <v>9612</v>
      </c>
      <c r="C609" s="8">
        <v>2572</v>
      </c>
      <c r="D609">
        <v>17</v>
      </c>
      <c r="E609" s="1" t="s">
        <v>27</v>
      </c>
      <c r="F609" s="1" t="s">
        <v>28</v>
      </c>
      <c r="G609" s="1" t="s">
        <v>41</v>
      </c>
      <c r="H609" s="2">
        <v>44408</v>
      </c>
      <c r="I609" s="1" t="s">
        <v>415</v>
      </c>
      <c r="J609" s="1" t="s">
        <v>62</v>
      </c>
      <c r="K609" s="1" t="s">
        <v>63</v>
      </c>
      <c r="L609" s="2">
        <v>44378</v>
      </c>
      <c r="M609" s="6">
        <f>T_SALES[[#This Row],[Profit]]/T_SALES[[#This Row],[Amount]]</f>
        <v>0.26758218893050356</v>
      </c>
    </row>
    <row r="610" spans="1:13" x14ac:dyDescent="0.25">
      <c r="A610" s="1" t="s">
        <v>637</v>
      </c>
      <c r="B610" s="7">
        <v>5343</v>
      </c>
      <c r="C610" s="8">
        <v>655</v>
      </c>
      <c r="D610">
        <v>1</v>
      </c>
      <c r="E610" s="1" t="s">
        <v>39</v>
      </c>
      <c r="F610" s="1" t="s">
        <v>43</v>
      </c>
      <c r="G610" s="1" t="s">
        <v>35</v>
      </c>
      <c r="H610" s="2">
        <v>45395</v>
      </c>
      <c r="I610" s="1" t="s">
        <v>638</v>
      </c>
      <c r="J610" s="1" t="s">
        <v>37</v>
      </c>
      <c r="K610" s="1" t="s">
        <v>65</v>
      </c>
      <c r="L610" s="2">
        <v>45383</v>
      </c>
      <c r="M610" s="6">
        <f>T_SALES[[#This Row],[Profit]]/T_SALES[[#This Row],[Amount]]</f>
        <v>0.1225903050720569</v>
      </c>
    </row>
    <row r="611" spans="1:13" x14ac:dyDescent="0.25">
      <c r="A611" s="1" t="s">
        <v>639</v>
      </c>
      <c r="B611" s="7">
        <v>6956</v>
      </c>
      <c r="C611" s="8">
        <v>318</v>
      </c>
      <c r="D611">
        <v>20</v>
      </c>
      <c r="E611" s="1" t="s">
        <v>27</v>
      </c>
      <c r="F611" s="1" t="s">
        <v>49</v>
      </c>
      <c r="G611" s="1" t="s">
        <v>29</v>
      </c>
      <c r="H611" s="2">
        <v>44670</v>
      </c>
      <c r="I611" s="1" t="s">
        <v>640</v>
      </c>
      <c r="J611" s="1" t="s">
        <v>20</v>
      </c>
      <c r="K611" s="1" t="s">
        <v>54</v>
      </c>
      <c r="L611" s="2">
        <v>44652</v>
      </c>
      <c r="M611" s="6">
        <f>T_SALES[[#This Row],[Profit]]/T_SALES[[#This Row],[Amount]]</f>
        <v>4.5715928694652096E-2</v>
      </c>
    </row>
    <row r="612" spans="1:13" x14ac:dyDescent="0.25">
      <c r="A612" s="1" t="s">
        <v>641</v>
      </c>
      <c r="B612" s="7">
        <v>5306</v>
      </c>
      <c r="C612" s="8">
        <v>2405</v>
      </c>
      <c r="D612">
        <v>17</v>
      </c>
      <c r="E612" s="1" t="s">
        <v>39</v>
      </c>
      <c r="F612" s="1" t="s">
        <v>40</v>
      </c>
      <c r="G612" s="1" t="s">
        <v>35</v>
      </c>
      <c r="H612" s="2">
        <v>45374</v>
      </c>
      <c r="I612" s="1" t="s">
        <v>642</v>
      </c>
      <c r="J612" s="1" t="s">
        <v>23</v>
      </c>
      <c r="K612" s="1" t="s">
        <v>24</v>
      </c>
      <c r="L612" s="2">
        <v>45352</v>
      </c>
      <c r="M612" s="6">
        <f>T_SALES[[#This Row],[Profit]]/T_SALES[[#This Row],[Amount]]</f>
        <v>0.45326045985676594</v>
      </c>
    </row>
    <row r="613" spans="1:13" x14ac:dyDescent="0.25">
      <c r="A613" s="1" t="s">
        <v>643</v>
      </c>
      <c r="B613" s="7">
        <v>8982</v>
      </c>
      <c r="C613" s="8">
        <v>448</v>
      </c>
      <c r="D613">
        <v>17</v>
      </c>
      <c r="E613" s="1" t="s">
        <v>39</v>
      </c>
      <c r="F613" s="1" t="s">
        <v>51</v>
      </c>
      <c r="G613" s="1" t="s">
        <v>15</v>
      </c>
      <c r="H613" s="2">
        <v>44323</v>
      </c>
      <c r="I613" s="1" t="s">
        <v>644</v>
      </c>
      <c r="J613" s="1" t="s">
        <v>23</v>
      </c>
      <c r="K613" s="1" t="s">
        <v>45</v>
      </c>
      <c r="L613" s="2">
        <v>44317</v>
      </c>
      <c r="M613" s="6">
        <f>T_SALES[[#This Row],[Profit]]/T_SALES[[#This Row],[Amount]]</f>
        <v>4.987753284346471E-2</v>
      </c>
    </row>
    <row r="614" spans="1:13" x14ac:dyDescent="0.25">
      <c r="A614" s="1" t="s">
        <v>643</v>
      </c>
      <c r="B614" s="7">
        <v>4826</v>
      </c>
      <c r="C614" s="8">
        <v>562</v>
      </c>
      <c r="D614">
        <v>5</v>
      </c>
      <c r="E614" s="1" t="s">
        <v>27</v>
      </c>
      <c r="F614" s="1" t="s">
        <v>55</v>
      </c>
      <c r="G614" s="1" t="s">
        <v>29</v>
      </c>
      <c r="H614" s="2">
        <v>44323</v>
      </c>
      <c r="I614" s="1" t="s">
        <v>644</v>
      </c>
      <c r="J614" s="1" t="s">
        <v>23</v>
      </c>
      <c r="K614" s="1" t="s">
        <v>45</v>
      </c>
      <c r="L614" s="2">
        <v>44317</v>
      </c>
      <c r="M614" s="6">
        <f>T_SALES[[#This Row],[Profit]]/T_SALES[[#This Row],[Amount]]</f>
        <v>0.11645254869457107</v>
      </c>
    </row>
    <row r="615" spans="1:13" x14ac:dyDescent="0.25">
      <c r="A615" s="1" t="s">
        <v>645</v>
      </c>
      <c r="B615" s="7">
        <v>972</v>
      </c>
      <c r="C615" s="8">
        <v>106</v>
      </c>
      <c r="D615">
        <v>15</v>
      </c>
      <c r="E615" s="1" t="s">
        <v>27</v>
      </c>
      <c r="F615" s="1" t="s">
        <v>28</v>
      </c>
      <c r="G615" s="1" t="s">
        <v>35</v>
      </c>
      <c r="H615" s="2">
        <v>44687</v>
      </c>
      <c r="I615" s="1" t="s">
        <v>646</v>
      </c>
      <c r="J615" s="1" t="s">
        <v>82</v>
      </c>
      <c r="K615" s="1" t="s">
        <v>89</v>
      </c>
      <c r="L615" s="2">
        <v>44682</v>
      </c>
      <c r="M615" s="6">
        <f>T_SALES[[#This Row],[Profit]]/T_SALES[[#This Row],[Amount]]</f>
        <v>0.10905349794238683</v>
      </c>
    </row>
    <row r="616" spans="1:13" x14ac:dyDescent="0.25">
      <c r="A616" s="1" t="s">
        <v>647</v>
      </c>
      <c r="B616" s="7">
        <v>3665</v>
      </c>
      <c r="C616" s="8">
        <v>802</v>
      </c>
      <c r="D616">
        <v>4</v>
      </c>
      <c r="E616" s="1" t="s">
        <v>27</v>
      </c>
      <c r="F616" s="1" t="s">
        <v>49</v>
      </c>
      <c r="G616" s="1" t="s">
        <v>41</v>
      </c>
      <c r="H616" s="2">
        <v>44417</v>
      </c>
      <c r="I616" s="1" t="s">
        <v>648</v>
      </c>
      <c r="J616" s="1" t="s">
        <v>17</v>
      </c>
      <c r="K616" s="1" t="s">
        <v>18</v>
      </c>
      <c r="L616" s="2">
        <v>44409</v>
      </c>
      <c r="M616" s="6">
        <f>T_SALES[[#This Row],[Profit]]/T_SALES[[#This Row],[Amount]]</f>
        <v>0.21882673942701228</v>
      </c>
    </row>
    <row r="617" spans="1:13" x14ac:dyDescent="0.25">
      <c r="A617" s="1" t="s">
        <v>647</v>
      </c>
      <c r="B617" s="7">
        <v>3665</v>
      </c>
      <c r="C617" s="8">
        <v>802</v>
      </c>
      <c r="D617">
        <v>4</v>
      </c>
      <c r="E617" s="1" t="s">
        <v>27</v>
      </c>
      <c r="F617" s="1" t="s">
        <v>49</v>
      </c>
      <c r="G617" s="1" t="s">
        <v>41</v>
      </c>
      <c r="H617" s="2">
        <v>45697</v>
      </c>
      <c r="I617" s="1" t="s">
        <v>649</v>
      </c>
      <c r="J617" s="1" t="s">
        <v>17</v>
      </c>
      <c r="K617" s="1" t="s">
        <v>121</v>
      </c>
      <c r="L617" s="2">
        <v>45689</v>
      </c>
      <c r="M617" s="6">
        <f>T_SALES[[#This Row],[Profit]]/T_SALES[[#This Row],[Amount]]</f>
        <v>0.21882673942701228</v>
      </c>
    </row>
    <row r="618" spans="1:13" x14ac:dyDescent="0.25">
      <c r="A618" s="1" t="s">
        <v>650</v>
      </c>
      <c r="B618" s="7">
        <v>9808</v>
      </c>
      <c r="C618" s="8">
        <v>2117</v>
      </c>
      <c r="D618">
        <v>2</v>
      </c>
      <c r="E618" s="1" t="s">
        <v>27</v>
      </c>
      <c r="F618" s="1" t="s">
        <v>28</v>
      </c>
      <c r="G618" s="1" t="s">
        <v>15</v>
      </c>
      <c r="H618" s="2">
        <v>45405</v>
      </c>
      <c r="I618" s="1" t="s">
        <v>651</v>
      </c>
      <c r="J618" s="1" t="s">
        <v>37</v>
      </c>
      <c r="K618" s="1" t="s">
        <v>38</v>
      </c>
      <c r="L618" s="2">
        <v>45383</v>
      </c>
      <c r="M618" s="6">
        <f>T_SALES[[#This Row],[Profit]]/T_SALES[[#This Row],[Amount]]</f>
        <v>0.21584420880913541</v>
      </c>
    </row>
    <row r="619" spans="1:13" x14ac:dyDescent="0.25">
      <c r="A619" s="1" t="s">
        <v>652</v>
      </c>
      <c r="B619" s="7">
        <v>1133</v>
      </c>
      <c r="C619" s="8">
        <v>73</v>
      </c>
      <c r="D619">
        <v>17</v>
      </c>
      <c r="E619" s="1" t="s">
        <v>39</v>
      </c>
      <c r="F619" s="1" t="s">
        <v>43</v>
      </c>
      <c r="G619" s="1" t="s">
        <v>15</v>
      </c>
      <c r="H619" s="2">
        <v>44980</v>
      </c>
      <c r="I619" s="1" t="s">
        <v>653</v>
      </c>
      <c r="J619" s="1" t="s">
        <v>82</v>
      </c>
      <c r="K619" s="1" t="s">
        <v>97</v>
      </c>
      <c r="L619" s="2">
        <v>44958</v>
      </c>
      <c r="M619" s="6">
        <f>T_SALES[[#This Row],[Profit]]/T_SALES[[#This Row],[Amount]]</f>
        <v>6.4430714916151807E-2</v>
      </c>
    </row>
    <row r="620" spans="1:13" x14ac:dyDescent="0.25">
      <c r="A620" s="1" t="s">
        <v>652</v>
      </c>
      <c r="B620" s="7">
        <v>1133</v>
      </c>
      <c r="C620" s="8">
        <v>73</v>
      </c>
      <c r="D620">
        <v>17</v>
      </c>
      <c r="E620" s="1" t="s">
        <v>39</v>
      </c>
      <c r="F620" s="1" t="s">
        <v>43</v>
      </c>
      <c r="G620" s="1" t="s">
        <v>15</v>
      </c>
      <c r="H620" s="2">
        <v>45449</v>
      </c>
      <c r="I620" s="1" t="s">
        <v>654</v>
      </c>
      <c r="J620" s="1" t="s">
        <v>37</v>
      </c>
      <c r="K620" s="1" t="s">
        <v>65</v>
      </c>
      <c r="L620" s="2">
        <v>45444</v>
      </c>
      <c r="M620" s="6">
        <f>T_SALES[[#This Row],[Profit]]/T_SALES[[#This Row],[Amount]]</f>
        <v>6.4430714916151807E-2</v>
      </c>
    </row>
    <row r="621" spans="1:13" x14ac:dyDescent="0.25">
      <c r="A621" s="1" t="s">
        <v>652</v>
      </c>
      <c r="B621" s="7">
        <v>6248</v>
      </c>
      <c r="C621" s="8">
        <v>1168</v>
      </c>
      <c r="D621">
        <v>19</v>
      </c>
      <c r="E621" s="1" t="s">
        <v>39</v>
      </c>
      <c r="F621" s="1" t="s">
        <v>90</v>
      </c>
      <c r="G621" s="1" t="s">
        <v>56</v>
      </c>
      <c r="H621" s="2">
        <v>44980</v>
      </c>
      <c r="I621" s="1" t="s">
        <v>653</v>
      </c>
      <c r="J621" s="1" t="s">
        <v>82</v>
      </c>
      <c r="K621" s="1" t="s">
        <v>97</v>
      </c>
      <c r="L621" s="2">
        <v>44958</v>
      </c>
      <c r="M621" s="6">
        <f>T_SALES[[#This Row],[Profit]]/T_SALES[[#This Row],[Amount]]</f>
        <v>0.18693982074263765</v>
      </c>
    </row>
    <row r="622" spans="1:13" x14ac:dyDescent="0.25">
      <c r="A622" s="1" t="s">
        <v>652</v>
      </c>
      <c r="B622" s="7">
        <v>6248</v>
      </c>
      <c r="C622" s="8">
        <v>1168</v>
      </c>
      <c r="D622">
        <v>19</v>
      </c>
      <c r="E622" s="1" t="s">
        <v>39</v>
      </c>
      <c r="F622" s="1" t="s">
        <v>90</v>
      </c>
      <c r="G622" s="1" t="s">
        <v>56</v>
      </c>
      <c r="H622" s="2">
        <v>45449</v>
      </c>
      <c r="I622" s="1" t="s">
        <v>654</v>
      </c>
      <c r="J622" s="1" t="s">
        <v>37</v>
      </c>
      <c r="K622" s="1" t="s">
        <v>65</v>
      </c>
      <c r="L622" s="2">
        <v>45444</v>
      </c>
      <c r="M622" s="6">
        <f>T_SALES[[#This Row],[Profit]]/T_SALES[[#This Row],[Amount]]</f>
        <v>0.18693982074263765</v>
      </c>
    </row>
    <row r="623" spans="1:13" x14ac:dyDescent="0.25">
      <c r="A623" s="1" t="s">
        <v>655</v>
      </c>
      <c r="B623" s="7">
        <v>5666</v>
      </c>
      <c r="C623" s="8">
        <v>2733</v>
      </c>
      <c r="D623">
        <v>17</v>
      </c>
      <c r="E623" s="1" t="s">
        <v>13</v>
      </c>
      <c r="F623" s="1" t="s">
        <v>14</v>
      </c>
      <c r="G623" s="1" t="s">
        <v>41</v>
      </c>
      <c r="H623" s="2">
        <v>45684</v>
      </c>
      <c r="I623" s="1" t="s">
        <v>656</v>
      </c>
      <c r="J623" s="1" t="s">
        <v>17</v>
      </c>
      <c r="K623" s="1" t="s">
        <v>121</v>
      </c>
      <c r="L623" s="2">
        <v>45658</v>
      </c>
      <c r="M623" s="6">
        <f>T_SALES[[#This Row],[Profit]]/T_SALES[[#This Row],[Amount]]</f>
        <v>0.4823508648076244</v>
      </c>
    </row>
    <row r="624" spans="1:13" x14ac:dyDescent="0.25">
      <c r="A624" s="1" t="s">
        <v>657</v>
      </c>
      <c r="B624" s="7">
        <v>4171</v>
      </c>
      <c r="C624" s="8">
        <v>1450</v>
      </c>
      <c r="D624">
        <v>18</v>
      </c>
      <c r="E624" s="1" t="s">
        <v>27</v>
      </c>
      <c r="F624" s="1" t="s">
        <v>49</v>
      </c>
      <c r="G624" s="1" t="s">
        <v>56</v>
      </c>
      <c r="H624" s="2">
        <v>45023</v>
      </c>
      <c r="I624" s="1" t="s">
        <v>658</v>
      </c>
      <c r="J624" s="1" t="s">
        <v>62</v>
      </c>
      <c r="K624" s="1" t="s">
        <v>63</v>
      </c>
      <c r="L624" s="2">
        <v>45017</v>
      </c>
      <c r="M624" s="6">
        <f>T_SALES[[#This Row],[Profit]]/T_SALES[[#This Row],[Amount]]</f>
        <v>0.34763845600575399</v>
      </c>
    </row>
    <row r="625" spans="1:13" x14ac:dyDescent="0.25">
      <c r="A625" s="1" t="s">
        <v>659</v>
      </c>
      <c r="B625" s="7">
        <v>6236</v>
      </c>
      <c r="C625" s="8">
        <v>2839</v>
      </c>
      <c r="D625">
        <v>7</v>
      </c>
      <c r="E625" s="1" t="s">
        <v>13</v>
      </c>
      <c r="F625" s="1" t="s">
        <v>25</v>
      </c>
      <c r="G625" s="1" t="s">
        <v>41</v>
      </c>
      <c r="H625" s="2">
        <v>44581</v>
      </c>
      <c r="I625" s="1" t="s">
        <v>660</v>
      </c>
      <c r="J625" s="1" t="s">
        <v>20</v>
      </c>
      <c r="K625" s="1" t="s">
        <v>54</v>
      </c>
      <c r="L625" s="2">
        <v>44562</v>
      </c>
      <c r="M625" s="6">
        <f>T_SALES[[#This Row],[Profit]]/T_SALES[[#This Row],[Amount]]</f>
        <v>0.4552597819114817</v>
      </c>
    </row>
    <row r="626" spans="1:13" x14ac:dyDescent="0.25">
      <c r="A626" s="1" t="s">
        <v>659</v>
      </c>
      <c r="B626" s="7">
        <v>6236</v>
      </c>
      <c r="C626" s="8">
        <v>2839</v>
      </c>
      <c r="D626">
        <v>7</v>
      </c>
      <c r="E626" s="1" t="s">
        <v>13</v>
      </c>
      <c r="F626" s="1" t="s">
        <v>25</v>
      </c>
      <c r="G626" s="1" t="s">
        <v>41</v>
      </c>
      <c r="H626" s="2">
        <v>44691</v>
      </c>
      <c r="I626" s="1" t="s">
        <v>661</v>
      </c>
      <c r="J626" s="1" t="s">
        <v>17</v>
      </c>
      <c r="K626" s="1" t="s">
        <v>31</v>
      </c>
      <c r="L626" s="2">
        <v>44682</v>
      </c>
      <c r="M626" s="6">
        <f>T_SALES[[#This Row],[Profit]]/T_SALES[[#This Row],[Amount]]</f>
        <v>0.4552597819114817</v>
      </c>
    </row>
    <row r="627" spans="1:13" x14ac:dyDescent="0.25">
      <c r="A627" s="1" t="s">
        <v>662</v>
      </c>
      <c r="B627" s="7">
        <v>5410</v>
      </c>
      <c r="C627" s="8">
        <v>2456</v>
      </c>
      <c r="D627">
        <v>8</v>
      </c>
      <c r="E627" s="1" t="s">
        <v>39</v>
      </c>
      <c r="F627" s="1" t="s">
        <v>43</v>
      </c>
      <c r="G627" s="1" t="s">
        <v>41</v>
      </c>
      <c r="H627" s="2">
        <v>45441</v>
      </c>
      <c r="I627" s="1" t="s">
        <v>663</v>
      </c>
      <c r="J627" s="1" t="s">
        <v>37</v>
      </c>
      <c r="K627" s="1" t="s">
        <v>38</v>
      </c>
      <c r="L627" s="2">
        <v>45413</v>
      </c>
      <c r="M627" s="6">
        <f>T_SALES[[#This Row],[Profit]]/T_SALES[[#This Row],[Amount]]</f>
        <v>0.45397412199630316</v>
      </c>
    </row>
    <row r="628" spans="1:13" x14ac:dyDescent="0.25">
      <c r="A628" s="1" t="s">
        <v>662</v>
      </c>
      <c r="B628" s="7">
        <v>5410</v>
      </c>
      <c r="C628" s="8">
        <v>2456</v>
      </c>
      <c r="D628">
        <v>8</v>
      </c>
      <c r="E628" s="1" t="s">
        <v>39</v>
      </c>
      <c r="F628" s="1" t="s">
        <v>43</v>
      </c>
      <c r="G628" s="1" t="s">
        <v>41</v>
      </c>
      <c r="H628" s="2">
        <v>44565</v>
      </c>
      <c r="I628" s="1" t="s">
        <v>664</v>
      </c>
      <c r="J628" s="1" t="s">
        <v>17</v>
      </c>
      <c r="K628" s="1" t="s">
        <v>121</v>
      </c>
      <c r="L628" s="2">
        <v>44562</v>
      </c>
      <c r="M628" s="6">
        <f>T_SALES[[#This Row],[Profit]]/T_SALES[[#This Row],[Amount]]</f>
        <v>0.45397412199630316</v>
      </c>
    </row>
    <row r="629" spans="1:13" x14ac:dyDescent="0.25">
      <c r="A629" s="1" t="s">
        <v>665</v>
      </c>
      <c r="B629" s="7">
        <v>3024</v>
      </c>
      <c r="C629" s="8">
        <v>1353</v>
      </c>
      <c r="D629">
        <v>1</v>
      </c>
      <c r="E629" s="1" t="s">
        <v>39</v>
      </c>
      <c r="F629" s="1" t="s">
        <v>51</v>
      </c>
      <c r="G629" s="1" t="s">
        <v>41</v>
      </c>
      <c r="H629" s="2">
        <v>45414</v>
      </c>
      <c r="I629" s="1" t="s">
        <v>666</v>
      </c>
      <c r="J629" s="1" t="s">
        <v>37</v>
      </c>
      <c r="K629" s="1" t="s">
        <v>38</v>
      </c>
      <c r="L629" s="2">
        <v>45413</v>
      </c>
      <c r="M629" s="6">
        <f>T_SALES[[#This Row],[Profit]]/T_SALES[[#This Row],[Amount]]</f>
        <v>0.44742063492063494</v>
      </c>
    </row>
    <row r="630" spans="1:13" x14ac:dyDescent="0.25">
      <c r="A630" s="1" t="s">
        <v>665</v>
      </c>
      <c r="B630" s="7">
        <v>3024</v>
      </c>
      <c r="C630" s="8">
        <v>1353</v>
      </c>
      <c r="D630">
        <v>1</v>
      </c>
      <c r="E630" s="1" t="s">
        <v>39</v>
      </c>
      <c r="F630" s="1" t="s">
        <v>51</v>
      </c>
      <c r="G630" s="1" t="s">
        <v>41</v>
      </c>
      <c r="H630" s="2">
        <v>44558</v>
      </c>
      <c r="I630" s="1" t="s">
        <v>667</v>
      </c>
      <c r="J630" s="1" t="s">
        <v>82</v>
      </c>
      <c r="K630" s="1" t="s">
        <v>83</v>
      </c>
      <c r="L630" s="2">
        <v>44531</v>
      </c>
      <c r="M630" s="6">
        <f>T_SALES[[#This Row],[Profit]]/T_SALES[[#This Row],[Amount]]</f>
        <v>0.44742063492063494</v>
      </c>
    </row>
    <row r="631" spans="1:13" x14ac:dyDescent="0.25">
      <c r="A631" s="1" t="s">
        <v>668</v>
      </c>
      <c r="B631" s="7">
        <v>7434</v>
      </c>
      <c r="C631" s="8">
        <v>2851</v>
      </c>
      <c r="D631">
        <v>5</v>
      </c>
      <c r="E631" s="1" t="s">
        <v>27</v>
      </c>
      <c r="F631" s="1" t="s">
        <v>49</v>
      </c>
      <c r="G631" s="1" t="s">
        <v>15</v>
      </c>
      <c r="H631" s="2">
        <v>44907</v>
      </c>
      <c r="I631" s="1" t="s">
        <v>669</v>
      </c>
      <c r="J631" s="1" t="s">
        <v>20</v>
      </c>
      <c r="K631" s="1" t="s">
        <v>54</v>
      </c>
      <c r="L631" s="2">
        <v>44896</v>
      </c>
      <c r="M631" s="6">
        <f>T_SALES[[#This Row],[Profit]]/T_SALES[[#This Row],[Amount]]</f>
        <v>0.38350820554210385</v>
      </c>
    </row>
    <row r="632" spans="1:13" x14ac:dyDescent="0.25">
      <c r="A632" s="1" t="s">
        <v>670</v>
      </c>
      <c r="B632" s="7">
        <v>7213</v>
      </c>
      <c r="C632" s="8">
        <v>508</v>
      </c>
      <c r="D632">
        <v>19</v>
      </c>
      <c r="E632" s="1" t="s">
        <v>13</v>
      </c>
      <c r="F632" s="1" t="s">
        <v>14</v>
      </c>
      <c r="G632" s="1" t="s">
        <v>29</v>
      </c>
      <c r="H632" s="2">
        <v>45155</v>
      </c>
      <c r="I632" s="1" t="s">
        <v>671</v>
      </c>
      <c r="J632" s="1" t="s">
        <v>62</v>
      </c>
      <c r="K632" s="1" t="s">
        <v>63</v>
      </c>
      <c r="L632" s="2">
        <v>45139</v>
      </c>
      <c r="M632" s="6">
        <f>T_SALES[[#This Row],[Profit]]/T_SALES[[#This Row],[Amount]]</f>
        <v>7.042839317898239E-2</v>
      </c>
    </row>
    <row r="633" spans="1:13" x14ac:dyDescent="0.25">
      <c r="A633" s="1" t="s">
        <v>670</v>
      </c>
      <c r="B633" s="7">
        <v>7213</v>
      </c>
      <c r="C633" s="8">
        <v>508</v>
      </c>
      <c r="D633">
        <v>19</v>
      </c>
      <c r="E633" s="1" t="s">
        <v>13</v>
      </c>
      <c r="F633" s="1" t="s">
        <v>14</v>
      </c>
      <c r="G633" s="1" t="s">
        <v>29</v>
      </c>
      <c r="H633" s="2">
        <v>44529</v>
      </c>
      <c r="I633" s="1" t="s">
        <v>672</v>
      </c>
      <c r="J633" s="1" t="s">
        <v>82</v>
      </c>
      <c r="K633" s="1" t="s">
        <v>89</v>
      </c>
      <c r="L633" s="2">
        <v>44501</v>
      </c>
      <c r="M633" s="6">
        <f>T_SALES[[#This Row],[Profit]]/T_SALES[[#This Row],[Amount]]</f>
        <v>7.042839317898239E-2</v>
      </c>
    </row>
    <row r="634" spans="1:13" x14ac:dyDescent="0.25">
      <c r="A634" s="1" t="s">
        <v>670</v>
      </c>
      <c r="B634" s="7">
        <v>3176</v>
      </c>
      <c r="C634" s="8">
        <v>586</v>
      </c>
      <c r="D634">
        <v>9</v>
      </c>
      <c r="E634" s="1" t="s">
        <v>39</v>
      </c>
      <c r="F634" s="1" t="s">
        <v>40</v>
      </c>
      <c r="G634" s="1" t="s">
        <v>35</v>
      </c>
      <c r="H634" s="2">
        <v>45155</v>
      </c>
      <c r="I634" s="1" t="s">
        <v>671</v>
      </c>
      <c r="J634" s="1" t="s">
        <v>62</v>
      </c>
      <c r="K634" s="1" t="s">
        <v>63</v>
      </c>
      <c r="L634" s="2">
        <v>45139</v>
      </c>
      <c r="M634" s="6">
        <f>T_SALES[[#This Row],[Profit]]/T_SALES[[#This Row],[Amount]]</f>
        <v>0.1845088161209068</v>
      </c>
    </row>
    <row r="635" spans="1:13" x14ac:dyDescent="0.25">
      <c r="A635" s="1" t="s">
        <v>670</v>
      </c>
      <c r="B635" s="7">
        <v>3176</v>
      </c>
      <c r="C635" s="8">
        <v>586</v>
      </c>
      <c r="D635">
        <v>9</v>
      </c>
      <c r="E635" s="1" t="s">
        <v>39</v>
      </c>
      <c r="F635" s="1" t="s">
        <v>40</v>
      </c>
      <c r="G635" s="1" t="s">
        <v>35</v>
      </c>
      <c r="H635" s="2">
        <v>44529</v>
      </c>
      <c r="I635" s="1" t="s">
        <v>672</v>
      </c>
      <c r="J635" s="1" t="s">
        <v>82</v>
      </c>
      <c r="K635" s="1" t="s">
        <v>89</v>
      </c>
      <c r="L635" s="2">
        <v>44501</v>
      </c>
      <c r="M635" s="6">
        <f>T_SALES[[#This Row],[Profit]]/T_SALES[[#This Row],[Amount]]</f>
        <v>0.1845088161209068</v>
      </c>
    </row>
    <row r="636" spans="1:13" x14ac:dyDescent="0.25">
      <c r="A636" s="1" t="s">
        <v>673</v>
      </c>
      <c r="B636" s="7">
        <v>9144</v>
      </c>
      <c r="C636" s="8">
        <v>2220</v>
      </c>
      <c r="D636">
        <v>18</v>
      </c>
      <c r="E636" s="1" t="s">
        <v>27</v>
      </c>
      <c r="F636" s="1" t="s">
        <v>67</v>
      </c>
      <c r="G636" s="1" t="s">
        <v>41</v>
      </c>
      <c r="H636" s="2">
        <v>44360</v>
      </c>
      <c r="I636" s="1" t="s">
        <v>674</v>
      </c>
      <c r="J636" s="1" t="s">
        <v>17</v>
      </c>
      <c r="K636" s="1" t="s">
        <v>18</v>
      </c>
      <c r="L636" s="2">
        <v>44348</v>
      </c>
      <c r="M636" s="6">
        <f>T_SALES[[#This Row],[Profit]]/T_SALES[[#This Row],[Amount]]</f>
        <v>0.24278215223097113</v>
      </c>
    </row>
    <row r="637" spans="1:13" x14ac:dyDescent="0.25">
      <c r="A637" s="1" t="s">
        <v>675</v>
      </c>
      <c r="B637" s="7">
        <v>4146</v>
      </c>
      <c r="C637" s="8">
        <v>865</v>
      </c>
      <c r="D637">
        <v>19</v>
      </c>
      <c r="E637" s="1" t="s">
        <v>39</v>
      </c>
      <c r="F637" s="1" t="s">
        <v>40</v>
      </c>
      <c r="G637" s="1" t="s">
        <v>35</v>
      </c>
      <c r="H637" s="2">
        <v>44746</v>
      </c>
      <c r="I637" s="1" t="s">
        <v>676</v>
      </c>
      <c r="J637" s="1" t="s">
        <v>62</v>
      </c>
      <c r="K637" s="1" t="s">
        <v>111</v>
      </c>
      <c r="L637" s="2">
        <v>44743</v>
      </c>
      <c r="M637" s="6">
        <f>T_SALES[[#This Row],[Profit]]/T_SALES[[#This Row],[Amount]]</f>
        <v>0.20863482875060299</v>
      </c>
    </row>
    <row r="638" spans="1:13" x14ac:dyDescent="0.25">
      <c r="A638" s="1" t="s">
        <v>675</v>
      </c>
      <c r="B638" s="7">
        <v>3793</v>
      </c>
      <c r="C638" s="8">
        <v>875</v>
      </c>
      <c r="D638">
        <v>7</v>
      </c>
      <c r="E638" s="1" t="s">
        <v>39</v>
      </c>
      <c r="F638" s="1" t="s">
        <v>40</v>
      </c>
      <c r="G638" s="1" t="s">
        <v>35</v>
      </c>
      <c r="H638" s="2">
        <v>44746</v>
      </c>
      <c r="I638" s="1" t="s">
        <v>676</v>
      </c>
      <c r="J638" s="1" t="s">
        <v>62</v>
      </c>
      <c r="K638" s="1" t="s">
        <v>111</v>
      </c>
      <c r="L638" s="2">
        <v>44743</v>
      </c>
      <c r="M638" s="6">
        <f>T_SALES[[#This Row],[Profit]]/T_SALES[[#This Row],[Amount]]</f>
        <v>0.23068810967571843</v>
      </c>
    </row>
    <row r="639" spans="1:13" x14ac:dyDescent="0.25">
      <c r="A639" s="1" t="s">
        <v>677</v>
      </c>
      <c r="B639" s="7">
        <v>7169</v>
      </c>
      <c r="C639" s="8">
        <v>2385</v>
      </c>
      <c r="D639">
        <v>11</v>
      </c>
      <c r="E639" s="1" t="s">
        <v>39</v>
      </c>
      <c r="F639" s="1" t="s">
        <v>51</v>
      </c>
      <c r="G639" s="1" t="s">
        <v>56</v>
      </c>
      <c r="H639" s="2">
        <v>44374</v>
      </c>
      <c r="I639" s="1" t="s">
        <v>678</v>
      </c>
      <c r="J639" s="1" t="s">
        <v>37</v>
      </c>
      <c r="K639" s="1" t="s">
        <v>38</v>
      </c>
      <c r="L639" s="2">
        <v>44348</v>
      </c>
      <c r="M639" s="6">
        <f>T_SALES[[#This Row],[Profit]]/T_SALES[[#This Row],[Amount]]</f>
        <v>0.33268238248012277</v>
      </c>
    </row>
    <row r="640" spans="1:13" x14ac:dyDescent="0.25">
      <c r="A640" s="1" t="s">
        <v>677</v>
      </c>
      <c r="B640" s="7">
        <v>4046</v>
      </c>
      <c r="C640" s="8">
        <v>417</v>
      </c>
      <c r="D640">
        <v>18</v>
      </c>
      <c r="E640" s="1" t="s">
        <v>39</v>
      </c>
      <c r="F640" s="1" t="s">
        <v>43</v>
      </c>
      <c r="G640" s="1" t="s">
        <v>41</v>
      </c>
      <c r="H640" s="2">
        <v>44374</v>
      </c>
      <c r="I640" s="1" t="s">
        <v>678</v>
      </c>
      <c r="J640" s="1" t="s">
        <v>37</v>
      </c>
      <c r="K640" s="1" t="s">
        <v>38</v>
      </c>
      <c r="L640" s="2">
        <v>44348</v>
      </c>
      <c r="M640" s="6">
        <f>T_SALES[[#This Row],[Profit]]/T_SALES[[#This Row],[Amount]]</f>
        <v>0.10306475531389027</v>
      </c>
    </row>
    <row r="641" spans="1:13" x14ac:dyDescent="0.25">
      <c r="A641" s="1" t="s">
        <v>679</v>
      </c>
      <c r="B641" s="7">
        <v>4164</v>
      </c>
      <c r="C641" s="8">
        <v>905</v>
      </c>
      <c r="D641">
        <v>11</v>
      </c>
      <c r="E641" s="1" t="s">
        <v>13</v>
      </c>
      <c r="F641" s="1" t="s">
        <v>70</v>
      </c>
      <c r="G641" s="1" t="s">
        <v>56</v>
      </c>
      <c r="H641" s="2">
        <v>45264</v>
      </c>
      <c r="I641" s="1" t="s">
        <v>680</v>
      </c>
      <c r="J641" s="1" t="s">
        <v>37</v>
      </c>
      <c r="K641" s="1" t="s">
        <v>65</v>
      </c>
      <c r="L641" s="2">
        <v>45261</v>
      </c>
      <c r="M641" s="6">
        <f>T_SALES[[#This Row],[Profit]]/T_SALES[[#This Row],[Amount]]</f>
        <v>0.21733909702209414</v>
      </c>
    </row>
    <row r="642" spans="1:13" x14ac:dyDescent="0.25">
      <c r="A642" s="1" t="s">
        <v>679</v>
      </c>
      <c r="B642" s="7">
        <v>5389</v>
      </c>
      <c r="C642" s="8">
        <v>2196</v>
      </c>
      <c r="D642">
        <v>5</v>
      </c>
      <c r="E642" s="1" t="s">
        <v>39</v>
      </c>
      <c r="F642" s="1" t="s">
        <v>40</v>
      </c>
      <c r="G642" s="1" t="s">
        <v>15</v>
      </c>
      <c r="H642" s="2">
        <v>45264</v>
      </c>
      <c r="I642" s="1" t="s">
        <v>680</v>
      </c>
      <c r="J642" s="1" t="s">
        <v>37</v>
      </c>
      <c r="K642" s="1" t="s">
        <v>65</v>
      </c>
      <c r="L642" s="2">
        <v>45261</v>
      </c>
      <c r="M642" s="6">
        <f>T_SALES[[#This Row],[Profit]]/T_SALES[[#This Row],[Amount]]</f>
        <v>0.40749675264427537</v>
      </c>
    </row>
    <row r="643" spans="1:13" x14ac:dyDescent="0.25">
      <c r="A643" s="1" t="s">
        <v>681</v>
      </c>
      <c r="B643" s="7">
        <v>5448</v>
      </c>
      <c r="C643" s="8">
        <v>2204</v>
      </c>
      <c r="D643">
        <v>5</v>
      </c>
      <c r="E643" s="1" t="s">
        <v>39</v>
      </c>
      <c r="F643" s="1" t="s">
        <v>51</v>
      </c>
      <c r="G643" s="1" t="s">
        <v>56</v>
      </c>
      <c r="H643" s="2">
        <v>44782</v>
      </c>
      <c r="I643" s="1" t="s">
        <v>682</v>
      </c>
      <c r="J643" s="1" t="s">
        <v>23</v>
      </c>
      <c r="K643" s="1" t="s">
        <v>45</v>
      </c>
      <c r="L643" s="2">
        <v>44774</v>
      </c>
      <c r="M643" s="6">
        <f>T_SALES[[#This Row],[Profit]]/T_SALES[[#This Row],[Amount]]</f>
        <v>0.40455212922173273</v>
      </c>
    </row>
    <row r="644" spans="1:13" x14ac:dyDescent="0.25">
      <c r="A644" s="1" t="s">
        <v>683</v>
      </c>
      <c r="B644" s="7">
        <v>4115</v>
      </c>
      <c r="C644" s="8">
        <v>1285</v>
      </c>
      <c r="D644">
        <v>1</v>
      </c>
      <c r="E644" s="1" t="s">
        <v>39</v>
      </c>
      <c r="F644" s="1" t="s">
        <v>51</v>
      </c>
      <c r="G644" s="1" t="s">
        <v>15</v>
      </c>
      <c r="H644" s="2">
        <v>43929</v>
      </c>
      <c r="I644" s="1" t="s">
        <v>684</v>
      </c>
      <c r="J644" s="1" t="s">
        <v>17</v>
      </c>
      <c r="K644" s="1" t="s">
        <v>31</v>
      </c>
      <c r="L644" s="2">
        <v>43922</v>
      </c>
      <c r="M644" s="6">
        <f>T_SALES[[#This Row],[Profit]]/T_SALES[[#This Row],[Amount]]</f>
        <v>0.31227217496962334</v>
      </c>
    </row>
    <row r="645" spans="1:13" x14ac:dyDescent="0.25">
      <c r="A645" s="1" t="s">
        <v>683</v>
      </c>
      <c r="B645" s="7">
        <v>4761</v>
      </c>
      <c r="C645" s="8">
        <v>2231</v>
      </c>
      <c r="D645">
        <v>12</v>
      </c>
      <c r="E645" s="1" t="s">
        <v>39</v>
      </c>
      <c r="F645" s="1" t="s">
        <v>40</v>
      </c>
      <c r="G645" s="1" t="s">
        <v>15</v>
      </c>
      <c r="H645" s="2">
        <v>43929</v>
      </c>
      <c r="I645" s="1" t="s">
        <v>684</v>
      </c>
      <c r="J645" s="1" t="s">
        <v>17</v>
      </c>
      <c r="K645" s="1" t="s">
        <v>31</v>
      </c>
      <c r="L645" s="2">
        <v>43922</v>
      </c>
      <c r="M645" s="6">
        <f>T_SALES[[#This Row],[Profit]]/T_SALES[[#This Row],[Amount]]</f>
        <v>0.46859903381642515</v>
      </c>
    </row>
    <row r="646" spans="1:13" x14ac:dyDescent="0.25">
      <c r="A646" s="1" t="s">
        <v>685</v>
      </c>
      <c r="B646" s="7">
        <v>5899</v>
      </c>
      <c r="C646" s="8">
        <v>2264</v>
      </c>
      <c r="D646">
        <v>6</v>
      </c>
      <c r="E646" s="1" t="s">
        <v>27</v>
      </c>
      <c r="F646" s="1" t="s">
        <v>67</v>
      </c>
      <c r="G646" s="1" t="s">
        <v>35</v>
      </c>
      <c r="H646" s="2">
        <v>45219</v>
      </c>
      <c r="I646" s="1" t="s">
        <v>686</v>
      </c>
      <c r="J646" s="1" t="s">
        <v>23</v>
      </c>
      <c r="K646" s="1" t="s">
        <v>24</v>
      </c>
      <c r="L646" s="2">
        <v>45200</v>
      </c>
      <c r="M646" s="6">
        <f>T_SALES[[#This Row],[Profit]]/T_SALES[[#This Row],[Amount]]</f>
        <v>0.38379386336667232</v>
      </c>
    </row>
    <row r="647" spans="1:13" x14ac:dyDescent="0.25">
      <c r="A647" s="1" t="s">
        <v>687</v>
      </c>
      <c r="B647" s="7">
        <v>6109</v>
      </c>
      <c r="C647" s="8">
        <v>3040</v>
      </c>
      <c r="D647">
        <v>9</v>
      </c>
      <c r="E647" s="1" t="s">
        <v>39</v>
      </c>
      <c r="F647" s="1" t="s">
        <v>43</v>
      </c>
      <c r="G647" s="1" t="s">
        <v>35</v>
      </c>
      <c r="H647" s="2">
        <v>44602</v>
      </c>
      <c r="I647" s="1" t="s">
        <v>688</v>
      </c>
      <c r="J647" s="1" t="s">
        <v>23</v>
      </c>
      <c r="K647" s="1" t="s">
        <v>24</v>
      </c>
      <c r="L647" s="2">
        <v>44593</v>
      </c>
      <c r="M647" s="6">
        <f>T_SALES[[#This Row],[Profit]]/T_SALES[[#This Row],[Amount]]</f>
        <v>0.49762645277459489</v>
      </c>
    </row>
    <row r="648" spans="1:13" x14ac:dyDescent="0.25">
      <c r="A648" s="1" t="s">
        <v>687</v>
      </c>
      <c r="B648" s="7">
        <v>6109</v>
      </c>
      <c r="C648" s="8">
        <v>3040</v>
      </c>
      <c r="D648">
        <v>9</v>
      </c>
      <c r="E648" s="1" t="s">
        <v>39</v>
      </c>
      <c r="F648" s="1" t="s">
        <v>43</v>
      </c>
      <c r="G648" s="1" t="s">
        <v>35</v>
      </c>
      <c r="H648" s="2">
        <v>45204</v>
      </c>
      <c r="I648" s="1" t="s">
        <v>689</v>
      </c>
      <c r="J648" s="1" t="s">
        <v>23</v>
      </c>
      <c r="K648" s="1" t="s">
        <v>59</v>
      </c>
      <c r="L648" s="2">
        <v>45200</v>
      </c>
      <c r="M648" s="6">
        <f>T_SALES[[#This Row],[Profit]]/T_SALES[[#This Row],[Amount]]</f>
        <v>0.49762645277459489</v>
      </c>
    </row>
    <row r="649" spans="1:13" x14ac:dyDescent="0.25">
      <c r="A649" s="1" t="s">
        <v>687</v>
      </c>
      <c r="B649" s="7">
        <v>4628</v>
      </c>
      <c r="C649" s="8">
        <v>1491</v>
      </c>
      <c r="D649">
        <v>17</v>
      </c>
      <c r="E649" s="1" t="s">
        <v>13</v>
      </c>
      <c r="F649" s="1" t="s">
        <v>14</v>
      </c>
      <c r="G649" s="1" t="s">
        <v>15</v>
      </c>
      <c r="H649" s="2">
        <v>44602</v>
      </c>
      <c r="I649" s="1" t="s">
        <v>688</v>
      </c>
      <c r="J649" s="1" t="s">
        <v>23</v>
      </c>
      <c r="K649" s="1" t="s">
        <v>24</v>
      </c>
      <c r="L649" s="2">
        <v>44593</v>
      </c>
      <c r="M649" s="6">
        <f>T_SALES[[#This Row],[Profit]]/T_SALES[[#This Row],[Amount]]</f>
        <v>0.32216940363007779</v>
      </c>
    </row>
    <row r="650" spans="1:13" x14ac:dyDescent="0.25">
      <c r="A650" s="1" t="s">
        <v>687</v>
      </c>
      <c r="B650" s="7">
        <v>4628</v>
      </c>
      <c r="C650" s="8">
        <v>1491</v>
      </c>
      <c r="D650">
        <v>17</v>
      </c>
      <c r="E650" s="1" t="s">
        <v>13</v>
      </c>
      <c r="F650" s="1" t="s">
        <v>14</v>
      </c>
      <c r="G650" s="1" t="s">
        <v>15</v>
      </c>
      <c r="H650" s="2">
        <v>45204</v>
      </c>
      <c r="I650" s="1" t="s">
        <v>689</v>
      </c>
      <c r="J650" s="1" t="s">
        <v>23</v>
      </c>
      <c r="K650" s="1" t="s">
        <v>59</v>
      </c>
      <c r="L650" s="2">
        <v>45200</v>
      </c>
      <c r="M650" s="6">
        <f>T_SALES[[#This Row],[Profit]]/T_SALES[[#This Row],[Amount]]</f>
        <v>0.32216940363007779</v>
      </c>
    </row>
    <row r="651" spans="1:13" x14ac:dyDescent="0.25">
      <c r="A651" s="1" t="s">
        <v>690</v>
      </c>
      <c r="B651" s="7">
        <v>4369</v>
      </c>
      <c r="C651" s="8">
        <v>584</v>
      </c>
      <c r="D651">
        <v>13</v>
      </c>
      <c r="E651" s="1" t="s">
        <v>27</v>
      </c>
      <c r="F651" s="1" t="s">
        <v>28</v>
      </c>
      <c r="G651" s="1" t="s">
        <v>41</v>
      </c>
      <c r="H651" s="2">
        <v>44826</v>
      </c>
      <c r="I651" s="1" t="s">
        <v>691</v>
      </c>
      <c r="J651" s="1" t="s">
        <v>20</v>
      </c>
      <c r="K651" s="1" t="s">
        <v>137</v>
      </c>
      <c r="L651" s="2">
        <v>44805</v>
      </c>
      <c r="M651" s="6">
        <f>T_SALES[[#This Row],[Profit]]/T_SALES[[#This Row],[Amount]]</f>
        <v>0.13366903181506065</v>
      </c>
    </row>
    <row r="652" spans="1:13" x14ac:dyDescent="0.25">
      <c r="A652" s="1" t="s">
        <v>690</v>
      </c>
      <c r="B652" s="7">
        <v>4369</v>
      </c>
      <c r="C652" s="8">
        <v>584</v>
      </c>
      <c r="D652">
        <v>13</v>
      </c>
      <c r="E652" s="1" t="s">
        <v>27</v>
      </c>
      <c r="F652" s="1" t="s">
        <v>28</v>
      </c>
      <c r="G652" s="1" t="s">
        <v>41</v>
      </c>
      <c r="H652" s="2">
        <v>44289</v>
      </c>
      <c r="I652" s="1" t="s">
        <v>692</v>
      </c>
      <c r="J652" s="1" t="s">
        <v>62</v>
      </c>
      <c r="K652" s="1" t="s">
        <v>74</v>
      </c>
      <c r="L652" s="2">
        <v>44287</v>
      </c>
      <c r="M652" s="6">
        <f>T_SALES[[#This Row],[Profit]]/T_SALES[[#This Row],[Amount]]</f>
        <v>0.13366903181506065</v>
      </c>
    </row>
    <row r="653" spans="1:13" x14ac:dyDescent="0.25">
      <c r="A653" s="1" t="s">
        <v>693</v>
      </c>
      <c r="B653" s="7">
        <v>5632</v>
      </c>
      <c r="C653" s="8">
        <v>2358</v>
      </c>
      <c r="D653">
        <v>20</v>
      </c>
      <c r="E653" s="1" t="s">
        <v>39</v>
      </c>
      <c r="F653" s="1" t="s">
        <v>51</v>
      </c>
      <c r="G653" s="1" t="s">
        <v>41</v>
      </c>
      <c r="H653" s="2">
        <v>44319</v>
      </c>
      <c r="I653" s="1" t="s">
        <v>694</v>
      </c>
      <c r="J653" s="1" t="s">
        <v>37</v>
      </c>
      <c r="K653" s="1" t="s">
        <v>38</v>
      </c>
      <c r="L653" s="2">
        <v>44317</v>
      </c>
      <c r="M653" s="6">
        <f>T_SALES[[#This Row],[Profit]]/T_SALES[[#This Row],[Amount]]</f>
        <v>0.41867897727272729</v>
      </c>
    </row>
    <row r="654" spans="1:13" x14ac:dyDescent="0.25">
      <c r="A654" s="1" t="s">
        <v>693</v>
      </c>
      <c r="B654" s="7">
        <v>5632</v>
      </c>
      <c r="C654" s="8">
        <v>2358</v>
      </c>
      <c r="D654">
        <v>20</v>
      </c>
      <c r="E654" s="1" t="s">
        <v>39</v>
      </c>
      <c r="F654" s="1" t="s">
        <v>51</v>
      </c>
      <c r="G654" s="1" t="s">
        <v>41</v>
      </c>
      <c r="H654" s="2">
        <v>45333</v>
      </c>
      <c r="I654" s="1" t="s">
        <v>695</v>
      </c>
      <c r="J654" s="1" t="s">
        <v>17</v>
      </c>
      <c r="K654" s="1" t="s">
        <v>18</v>
      </c>
      <c r="L654" s="2">
        <v>45323</v>
      </c>
      <c r="M654" s="6">
        <f>T_SALES[[#This Row],[Profit]]/T_SALES[[#This Row],[Amount]]</f>
        <v>0.41867897727272729</v>
      </c>
    </row>
    <row r="655" spans="1:13" x14ac:dyDescent="0.25">
      <c r="A655" s="1" t="s">
        <v>693</v>
      </c>
      <c r="B655" s="7">
        <v>5632</v>
      </c>
      <c r="C655" s="8">
        <v>2358</v>
      </c>
      <c r="D655">
        <v>20</v>
      </c>
      <c r="E655" s="1" t="s">
        <v>39</v>
      </c>
      <c r="F655" s="1" t="s">
        <v>51</v>
      </c>
      <c r="G655" s="1" t="s">
        <v>41</v>
      </c>
      <c r="H655" s="2">
        <v>45692</v>
      </c>
      <c r="I655" s="1" t="s">
        <v>696</v>
      </c>
      <c r="J655" s="1" t="s">
        <v>82</v>
      </c>
      <c r="K655" s="1" t="s">
        <v>97</v>
      </c>
      <c r="L655" s="2">
        <v>45689</v>
      </c>
      <c r="M655" s="6">
        <f>T_SALES[[#This Row],[Profit]]/T_SALES[[#This Row],[Amount]]</f>
        <v>0.41867897727272729</v>
      </c>
    </row>
    <row r="656" spans="1:13" x14ac:dyDescent="0.25">
      <c r="A656" s="1" t="s">
        <v>697</v>
      </c>
      <c r="B656" s="7">
        <v>7519</v>
      </c>
      <c r="C656" s="8">
        <v>402</v>
      </c>
      <c r="D656">
        <v>14</v>
      </c>
      <c r="E656" s="1" t="s">
        <v>27</v>
      </c>
      <c r="F656" s="1" t="s">
        <v>55</v>
      </c>
      <c r="G656" s="1" t="s">
        <v>15</v>
      </c>
      <c r="H656" s="2">
        <v>44846</v>
      </c>
      <c r="I656" s="1" t="s">
        <v>698</v>
      </c>
      <c r="J656" s="1" t="s">
        <v>37</v>
      </c>
      <c r="K656" s="1" t="s">
        <v>65</v>
      </c>
      <c r="L656" s="2">
        <v>44835</v>
      </c>
      <c r="M656" s="6">
        <f>T_SALES[[#This Row],[Profit]]/T_SALES[[#This Row],[Amount]]</f>
        <v>5.3464556456975662E-2</v>
      </c>
    </row>
    <row r="657" spans="1:13" x14ac:dyDescent="0.25">
      <c r="A657" s="1" t="s">
        <v>697</v>
      </c>
      <c r="B657" s="7">
        <v>1564</v>
      </c>
      <c r="C657" s="8">
        <v>674</v>
      </c>
      <c r="D657">
        <v>13</v>
      </c>
      <c r="E657" s="1" t="s">
        <v>13</v>
      </c>
      <c r="F657" s="1" t="s">
        <v>14</v>
      </c>
      <c r="G657" s="1" t="s">
        <v>29</v>
      </c>
      <c r="H657" s="2">
        <v>44846</v>
      </c>
      <c r="I657" s="1" t="s">
        <v>698</v>
      </c>
      <c r="J657" s="1" t="s">
        <v>37</v>
      </c>
      <c r="K657" s="1" t="s">
        <v>65</v>
      </c>
      <c r="L657" s="2">
        <v>44835</v>
      </c>
      <c r="M657" s="6">
        <f>T_SALES[[#This Row],[Profit]]/T_SALES[[#This Row],[Amount]]</f>
        <v>0.43094629156010228</v>
      </c>
    </row>
    <row r="658" spans="1:13" x14ac:dyDescent="0.25">
      <c r="A658" s="1" t="s">
        <v>699</v>
      </c>
      <c r="B658" s="7">
        <v>2804</v>
      </c>
      <c r="C658" s="8">
        <v>936</v>
      </c>
      <c r="D658">
        <v>10</v>
      </c>
      <c r="E658" s="1" t="s">
        <v>13</v>
      </c>
      <c r="F658" s="1" t="s">
        <v>14</v>
      </c>
      <c r="G658" s="1" t="s">
        <v>41</v>
      </c>
      <c r="H658" s="2">
        <v>44598</v>
      </c>
      <c r="I658" s="1" t="s">
        <v>700</v>
      </c>
      <c r="J658" s="1" t="s">
        <v>62</v>
      </c>
      <c r="K658" s="1" t="s">
        <v>74</v>
      </c>
      <c r="L658" s="2">
        <v>44593</v>
      </c>
      <c r="M658" s="6">
        <f>T_SALES[[#This Row],[Profit]]/T_SALES[[#This Row],[Amount]]</f>
        <v>0.33380884450784593</v>
      </c>
    </row>
    <row r="659" spans="1:13" x14ac:dyDescent="0.25">
      <c r="A659" s="1" t="s">
        <v>699</v>
      </c>
      <c r="B659" s="7">
        <v>2804</v>
      </c>
      <c r="C659" s="8">
        <v>936</v>
      </c>
      <c r="D659">
        <v>10</v>
      </c>
      <c r="E659" s="1" t="s">
        <v>13</v>
      </c>
      <c r="F659" s="1" t="s">
        <v>14</v>
      </c>
      <c r="G659" s="1" t="s">
        <v>41</v>
      </c>
      <c r="H659" s="2">
        <v>44144</v>
      </c>
      <c r="I659" s="1" t="s">
        <v>701</v>
      </c>
      <c r="J659" s="1" t="s">
        <v>17</v>
      </c>
      <c r="K659" s="1" t="s">
        <v>121</v>
      </c>
      <c r="L659" s="2">
        <v>44136</v>
      </c>
      <c r="M659" s="6">
        <f>T_SALES[[#This Row],[Profit]]/T_SALES[[#This Row],[Amount]]</f>
        <v>0.33380884450784593</v>
      </c>
    </row>
    <row r="660" spans="1:13" x14ac:dyDescent="0.25">
      <c r="A660" s="1" t="s">
        <v>699</v>
      </c>
      <c r="B660" s="7">
        <v>2804</v>
      </c>
      <c r="C660" s="8">
        <v>936</v>
      </c>
      <c r="D660">
        <v>10</v>
      </c>
      <c r="E660" s="1" t="s">
        <v>13</v>
      </c>
      <c r="F660" s="1" t="s">
        <v>14</v>
      </c>
      <c r="G660" s="1" t="s">
        <v>41</v>
      </c>
      <c r="H660" s="2">
        <v>45049</v>
      </c>
      <c r="I660" s="1" t="s">
        <v>702</v>
      </c>
      <c r="J660" s="1" t="s">
        <v>17</v>
      </c>
      <c r="K660" s="1" t="s">
        <v>121</v>
      </c>
      <c r="L660" s="2">
        <v>45047</v>
      </c>
      <c r="M660" s="6">
        <f>T_SALES[[#This Row],[Profit]]/T_SALES[[#This Row],[Amount]]</f>
        <v>0.33380884450784593</v>
      </c>
    </row>
    <row r="661" spans="1:13" x14ac:dyDescent="0.25">
      <c r="A661" s="1" t="s">
        <v>703</v>
      </c>
      <c r="B661" s="7">
        <v>2321</v>
      </c>
      <c r="C661" s="8">
        <v>505</v>
      </c>
      <c r="D661">
        <v>6</v>
      </c>
      <c r="E661" s="1" t="s">
        <v>39</v>
      </c>
      <c r="F661" s="1" t="s">
        <v>43</v>
      </c>
      <c r="G661" s="1" t="s">
        <v>35</v>
      </c>
      <c r="H661" s="2">
        <v>44838</v>
      </c>
      <c r="I661" s="1" t="s">
        <v>704</v>
      </c>
      <c r="J661" s="1" t="s">
        <v>20</v>
      </c>
      <c r="K661" s="1" t="s">
        <v>54</v>
      </c>
      <c r="L661" s="2">
        <v>44835</v>
      </c>
      <c r="M661" s="6">
        <f>T_SALES[[#This Row],[Profit]]/T_SALES[[#This Row],[Amount]]</f>
        <v>0.21757862990090479</v>
      </c>
    </row>
    <row r="662" spans="1:13" x14ac:dyDescent="0.25">
      <c r="A662" s="1" t="s">
        <v>705</v>
      </c>
      <c r="B662" s="7">
        <v>5730</v>
      </c>
      <c r="C662" s="8">
        <v>482</v>
      </c>
      <c r="D662">
        <v>6</v>
      </c>
      <c r="E662" s="1" t="s">
        <v>13</v>
      </c>
      <c r="F662" s="1" t="s">
        <v>34</v>
      </c>
      <c r="G662" s="1" t="s">
        <v>56</v>
      </c>
      <c r="H662" s="2">
        <v>45525</v>
      </c>
      <c r="I662" s="1" t="s">
        <v>706</v>
      </c>
      <c r="J662" s="1" t="s">
        <v>17</v>
      </c>
      <c r="K662" s="1" t="s">
        <v>121</v>
      </c>
      <c r="L662" s="2">
        <v>45505</v>
      </c>
      <c r="M662" s="6">
        <f>T_SALES[[#This Row],[Profit]]/T_SALES[[#This Row],[Amount]]</f>
        <v>8.4118673647469458E-2</v>
      </c>
    </row>
    <row r="663" spans="1:13" x14ac:dyDescent="0.25">
      <c r="A663" s="1" t="s">
        <v>707</v>
      </c>
      <c r="B663" s="7">
        <v>7441</v>
      </c>
      <c r="C663" s="8">
        <v>867</v>
      </c>
      <c r="D663">
        <v>12</v>
      </c>
      <c r="E663" s="1" t="s">
        <v>39</v>
      </c>
      <c r="F663" s="1" t="s">
        <v>51</v>
      </c>
      <c r="G663" s="1" t="s">
        <v>56</v>
      </c>
      <c r="H663" s="2">
        <v>44520</v>
      </c>
      <c r="I663" s="1" t="s">
        <v>708</v>
      </c>
      <c r="J663" s="1" t="s">
        <v>20</v>
      </c>
      <c r="K663" s="1" t="s">
        <v>21</v>
      </c>
      <c r="L663" s="2">
        <v>44501</v>
      </c>
      <c r="M663" s="6">
        <f>T_SALES[[#This Row],[Profit]]/T_SALES[[#This Row],[Amount]]</f>
        <v>0.1165165972315549</v>
      </c>
    </row>
    <row r="664" spans="1:13" x14ac:dyDescent="0.25">
      <c r="A664" s="1" t="s">
        <v>707</v>
      </c>
      <c r="B664" s="7">
        <v>7441</v>
      </c>
      <c r="C664" s="8">
        <v>867</v>
      </c>
      <c r="D664">
        <v>12</v>
      </c>
      <c r="E664" s="1" t="s">
        <v>39</v>
      </c>
      <c r="F664" s="1" t="s">
        <v>51</v>
      </c>
      <c r="G664" s="1" t="s">
        <v>56</v>
      </c>
      <c r="H664" s="2">
        <v>43964</v>
      </c>
      <c r="I664" s="1" t="s">
        <v>709</v>
      </c>
      <c r="J664" s="1" t="s">
        <v>62</v>
      </c>
      <c r="K664" s="1" t="s">
        <v>74</v>
      </c>
      <c r="L664" s="2">
        <v>43952</v>
      </c>
      <c r="M664" s="6">
        <f>T_SALES[[#This Row],[Profit]]/T_SALES[[#This Row],[Amount]]</f>
        <v>0.1165165972315549</v>
      </c>
    </row>
    <row r="665" spans="1:13" x14ac:dyDescent="0.25">
      <c r="A665" s="1" t="s">
        <v>710</v>
      </c>
      <c r="B665" s="7">
        <v>1732</v>
      </c>
      <c r="C665" s="8">
        <v>766</v>
      </c>
      <c r="D665">
        <v>7</v>
      </c>
      <c r="E665" s="1" t="s">
        <v>27</v>
      </c>
      <c r="F665" s="1" t="s">
        <v>67</v>
      </c>
      <c r="G665" s="1" t="s">
        <v>15</v>
      </c>
      <c r="H665" s="2">
        <v>44985</v>
      </c>
      <c r="I665" s="1" t="s">
        <v>711</v>
      </c>
      <c r="J665" s="1" t="s">
        <v>23</v>
      </c>
      <c r="K665" s="1" t="s">
        <v>45</v>
      </c>
      <c r="L665" s="2">
        <v>44958</v>
      </c>
      <c r="M665" s="6">
        <f>T_SALES[[#This Row],[Profit]]/T_SALES[[#This Row],[Amount]]</f>
        <v>0.44226327944572746</v>
      </c>
    </row>
    <row r="666" spans="1:13" x14ac:dyDescent="0.25">
      <c r="A666" s="1" t="s">
        <v>710</v>
      </c>
      <c r="B666" s="7">
        <v>8788</v>
      </c>
      <c r="C666" s="8">
        <v>3944</v>
      </c>
      <c r="D666">
        <v>19</v>
      </c>
      <c r="E666" s="1" t="s">
        <v>27</v>
      </c>
      <c r="F666" s="1" t="s">
        <v>55</v>
      </c>
      <c r="G666" s="1" t="s">
        <v>35</v>
      </c>
      <c r="H666" s="2">
        <v>44985</v>
      </c>
      <c r="I666" s="1" t="s">
        <v>711</v>
      </c>
      <c r="J666" s="1" t="s">
        <v>23</v>
      </c>
      <c r="K666" s="1" t="s">
        <v>45</v>
      </c>
      <c r="L666" s="2">
        <v>44958</v>
      </c>
      <c r="M666" s="6">
        <f>T_SALES[[#This Row],[Profit]]/T_SALES[[#This Row],[Amount]]</f>
        <v>0.44879380974055533</v>
      </c>
    </row>
    <row r="667" spans="1:13" x14ac:dyDescent="0.25">
      <c r="A667" s="1" t="s">
        <v>712</v>
      </c>
      <c r="B667" s="7">
        <v>838</v>
      </c>
      <c r="C667" s="8">
        <v>271</v>
      </c>
      <c r="D667">
        <v>11</v>
      </c>
      <c r="E667" s="1" t="s">
        <v>27</v>
      </c>
      <c r="F667" s="1" t="s">
        <v>49</v>
      </c>
      <c r="G667" s="1" t="s">
        <v>35</v>
      </c>
      <c r="H667" s="2">
        <v>44217</v>
      </c>
      <c r="I667" s="1" t="s">
        <v>713</v>
      </c>
      <c r="J667" s="1" t="s">
        <v>82</v>
      </c>
      <c r="K667" s="1" t="s">
        <v>83</v>
      </c>
      <c r="L667" s="2">
        <v>44197</v>
      </c>
      <c r="M667" s="6">
        <f>T_SALES[[#This Row],[Profit]]/T_SALES[[#This Row],[Amount]]</f>
        <v>0.3233890214797136</v>
      </c>
    </row>
    <row r="668" spans="1:13" x14ac:dyDescent="0.25">
      <c r="A668" s="1" t="s">
        <v>712</v>
      </c>
      <c r="B668" s="7">
        <v>838</v>
      </c>
      <c r="C668" s="8">
        <v>271</v>
      </c>
      <c r="D668">
        <v>11</v>
      </c>
      <c r="E668" s="1" t="s">
        <v>27</v>
      </c>
      <c r="F668" s="1" t="s">
        <v>49</v>
      </c>
      <c r="G668" s="1" t="s">
        <v>35</v>
      </c>
      <c r="H668" s="2">
        <v>44620</v>
      </c>
      <c r="I668" s="1" t="s">
        <v>714</v>
      </c>
      <c r="J668" s="1" t="s">
        <v>20</v>
      </c>
      <c r="K668" s="1" t="s">
        <v>137</v>
      </c>
      <c r="L668" s="2">
        <v>44593</v>
      </c>
      <c r="M668" s="6">
        <f>T_SALES[[#This Row],[Profit]]/T_SALES[[#This Row],[Amount]]</f>
        <v>0.3233890214797136</v>
      </c>
    </row>
    <row r="669" spans="1:13" x14ac:dyDescent="0.25">
      <c r="A669" s="1" t="s">
        <v>712</v>
      </c>
      <c r="B669" s="7">
        <v>3577</v>
      </c>
      <c r="C669" s="8">
        <v>699</v>
      </c>
      <c r="D669">
        <v>2</v>
      </c>
      <c r="E669" s="1" t="s">
        <v>39</v>
      </c>
      <c r="F669" s="1" t="s">
        <v>40</v>
      </c>
      <c r="G669" s="1" t="s">
        <v>15</v>
      </c>
      <c r="H669" s="2">
        <v>44217</v>
      </c>
      <c r="I669" s="1" t="s">
        <v>713</v>
      </c>
      <c r="J669" s="1" t="s">
        <v>82</v>
      </c>
      <c r="K669" s="1" t="s">
        <v>83</v>
      </c>
      <c r="L669" s="2">
        <v>44197</v>
      </c>
      <c r="M669" s="6">
        <f>T_SALES[[#This Row],[Profit]]/T_SALES[[#This Row],[Amount]]</f>
        <v>0.1954151523623148</v>
      </c>
    </row>
    <row r="670" spans="1:13" x14ac:dyDescent="0.25">
      <c r="A670" s="1" t="s">
        <v>712</v>
      </c>
      <c r="B670" s="7">
        <v>3577</v>
      </c>
      <c r="C670" s="8">
        <v>699</v>
      </c>
      <c r="D670">
        <v>2</v>
      </c>
      <c r="E670" s="1" t="s">
        <v>39</v>
      </c>
      <c r="F670" s="1" t="s">
        <v>40</v>
      </c>
      <c r="G670" s="1" t="s">
        <v>15</v>
      </c>
      <c r="H670" s="2">
        <v>44620</v>
      </c>
      <c r="I670" s="1" t="s">
        <v>714</v>
      </c>
      <c r="J670" s="1" t="s">
        <v>20</v>
      </c>
      <c r="K670" s="1" t="s">
        <v>137</v>
      </c>
      <c r="L670" s="2">
        <v>44593</v>
      </c>
      <c r="M670" s="6">
        <f>T_SALES[[#This Row],[Profit]]/T_SALES[[#This Row],[Amount]]</f>
        <v>0.1954151523623148</v>
      </c>
    </row>
    <row r="671" spans="1:13" x14ac:dyDescent="0.25">
      <c r="A671" s="1" t="s">
        <v>715</v>
      </c>
      <c r="B671" s="7">
        <v>7122</v>
      </c>
      <c r="C671" s="8">
        <v>1836</v>
      </c>
      <c r="D671">
        <v>6</v>
      </c>
      <c r="E671" s="1" t="s">
        <v>13</v>
      </c>
      <c r="F671" s="1" t="s">
        <v>70</v>
      </c>
      <c r="G671" s="1" t="s">
        <v>29</v>
      </c>
      <c r="H671" s="2">
        <v>45407</v>
      </c>
      <c r="I671" s="1" t="s">
        <v>716</v>
      </c>
      <c r="J671" s="1" t="s">
        <v>62</v>
      </c>
      <c r="K671" s="1" t="s">
        <v>63</v>
      </c>
      <c r="L671" s="2">
        <v>45383</v>
      </c>
      <c r="M671" s="6">
        <f>T_SALES[[#This Row],[Profit]]/T_SALES[[#This Row],[Amount]]</f>
        <v>0.25779275484414488</v>
      </c>
    </row>
    <row r="672" spans="1:13" x14ac:dyDescent="0.25">
      <c r="A672" s="1" t="s">
        <v>715</v>
      </c>
      <c r="B672" s="7">
        <v>7122</v>
      </c>
      <c r="C672" s="8">
        <v>1836</v>
      </c>
      <c r="D672">
        <v>6</v>
      </c>
      <c r="E672" s="1" t="s">
        <v>13</v>
      </c>
      <c r="F672" s="1" t="s">
        <v>70</v>
      </c>
      <c r="G672" s="1" t="s">
        <v>29</v>
      </c>
      <c r="H672" s="2">
        <v>44995</v>
      </c>
      <c r="I672" s="1" t="s">
        <v>717</v>
      </c>
      <c r="J672" s="1" t="s">
        <v>62</v>
      </c>
      <c r="K672" s="1" t="s">
        <v>111</v>
      </c>
      <c r="L672" s="2">
        <v>44986</v>
      </c>
      <c r="M672" s="6">
        <f>T_SALES[[#This Row],[Profit]]/T_SALES[[#This Row],[Amount]]</f>
        <v>0.25779275484414488</v>
      </c>
    </row>
    <row r="673" spans="1:13" x14ac:dyDescent="0.25">
      <c r="A673" s="1" t="s">
        <v>715</v>
      </c>
      <c r="B673" s="7">
        <v>7122</v>
      </c>
      <c r="C673" s="8">
        <v>1836</v>
      </c>
      <c r="D673">
        <v>6</v>
      </c>
      <c r="E673" s="1" t="s">
        <v>13</v>
      </c>
      <c r="F673" s="1" t="s">
        <v>70</v>
      </c>
      <c r="G673" s="1" t="s">
        <v>29</v>
      </c>
      <c r="H673" s="2">
        <v>45117</v>
      </c>
      <c r="I673" s="1" t="s">
        <v>718</v>
      </c>
      <c r="J673" s="1" t="s">
        <v>23</v>
      </c>
      <c r="K673" s="1" t="s">
        <v>45</v>
      </c>
      <c r="L673" s="2">
        <v>45108</v>
      </c>
      <c r="M673" s="6">
        <f>T_SALES[[#This Row],[Profit]]/T_SALES[[#This Row],[Amount]]</f>
        <v>0.25779275484414488</v>
      </c>
    </row>
    <row r="674" spans="1:13" x14ac:dyDescent="0.25">
      <c r="A674" s="1" t="s">
        <v>715</v>
      </c>
      <c r="B674" s="7">
        <v>7327</v>
      </c>
      <c r="C674" s="8">
        <v>2596</v>
      </c>
      <c r="D674">
        <v>15</v>
      </c>
      <c r="E674" s="1" t="s">
        <v>27</v>
      </c>
      <c r="F674" s="1" t="s">
        <v>49</v>
      </c>
      <c r="G674" s="1" t="s">
        <v>41</v>
      </c>
      <c r="H674" s="2">
        <v>45407</v>
      </c>
      <c r="I674" s="1" t="s">
        <v>716</v>
      </c>
      <c r="J674" s="1" t="s">
        <v>62</v>
      </c>
      <c r="K674" s="1" t="s">
        <v>63</v>
      </c>
      <c r="L674" s="2">
        <v>45383</v>
      </c>
      <c r="M674" s="6">
        <f>T_SALES[[#This Row],[Profit]]/T_SALES[[#This Row],[Amount]]</f>
        <v>0.35430599153814657</v>
      </c>
    </row>
    <row r="675" spans="1:13" x14ac:dyDescent="0.25">
      <c r="A675" s="1" t="s">
        <v>715</v>
      </c>
      <c r="B675" s="7">
        <v>7327</v>
      </c>
      <c r="C675" s="8">
        <v>2596</v>
      </c>
      <c r="D675">
        <v>15</v>
      </c>
      <c r="E675" s="1" t="s">
        <v>27</v>
      </c>
      <c r="F675" s="1" t="s">
        <v>49</v>
      </c>
      <c r="G675" s="1" t="s">
        <v>41</v>
      </c>
      <c r="H675" s="2">
        <v>44995</v>
      </c>
      <c r="I675" s="1" t="s">
        <v>717</v>
      </c>
      <c r="J675" s="1" t="s">
        <v>62</v>
      </c>
      <c r="K675" s="1" t="s">
        <v>111</v>
      </c>
      <c r="L675" s="2">
        <v>44986</v>
      </c>
      <c r="M675" s="6">
        <f>T_SALES[[#This Row],[Profit]]/T_SALES[[#This Row],[Amount]]</f>
        <v>0.35430599153814657</v>
      </c>
    </row>
    <row r="676" spans="1:13" x14ac:dyDescent="0.25">
      <c r="A676" s="1" t="s">
        <v>715</v>
      </c>
      <c r="B676" s="7">
        <v>7327</v>
      </c>
      <c r="C676" s="8">
        <v>2596</v>
      </c>
      <c r="D676">
        <v>15</v>
      </c>
      <c r="E676" s="1" t="s">
        <v>27</v>
      </c>
      <c r="F676" s="1" t="s">
        <v>49</v>
      </c>
      <c r="G676" s="1" t="s">
        <v>41</v>
      </c>
      <c r="H676" s="2">
        <v>45117</v>
      </c>
      <c r="I676" s="1" t="s">
        <v>718</v>
      </c>
      <c r="J676" s="1" t="s">
        <v>23</v>
      </c>
      <c r="K676" s="1" t="s">
        <v>45</v>
      </c>
      <c r="L676" s="2">
        <v>45108</v>
      </c>
      <c r="M676" s="6">
        <f>T_SALES[[#This Row],[Profit]]/T_SALES[[#This Row],[Amount]]</f>
        <v>0.35430599153814657</v>
      </c>
    </row>
    <row r="677" spans="1:13" x14ac:dyDescent="0.25">
      <c r="A677" s="1" t="s">
        <v>719</v>
      </c>
      <c r="B677" s="7">
        <v>2239</v>
      </c>
      <c r="C677" s="8">
        <v>1094</v>
      </c>
      <c r="D677">
        <v>18</v>
      </c>
      <c r="E677" s="1" t="s">
        <v>13</v>
      </c>
      <c r="F677" s="1" t="s">
        <v>25</v>
      </c>
      <c r="G677" s="1" t="s">
        <v>56</v>
      </c>
      <c r="H677" s="2">
        <v>45501</v>
      </c>
      <c r="I677" s="1" t="s">
        <v>720</v>
      </c>
      <c r="J677" s="1" t="s">
        <v>17</v>
      </c>
      <c r="K677" s="1" t="s">
        <v>121</v>
      </c>
      <c r="L677" s="2">
        <v>45474</v>
      </c>
      <c r="M677" s="6">
        <f>T_SALES[[#This Row],[Profit]]/T_SALES[[#This Row],[Amount]]</f>
        <v>0.48861098704778921</v>
      </c>
    </row>
    <row r="678" spans="1:13" x14ac:dyDescent="0.25">
      <c r="A678" s="1" t="s">
        <v>719</v>
      </c>
      <c r="B678" s="7">
        <v>4932</v>
      </c>
      <c r="C678" s="8">
        <v>1153</v>
      </c>
      <c r="D678">
        <v>1</v>
      </c>
      <c r="E678" s="1" t="s">
        <v>27</v>
      </c>
      <c r="F678" s="1" t="s">
        <v>49</v>
      </c>
      <c r="G678" s="1" t="s">
        <v>56</v>
      </c>
      <c r="H678" s="2">
        <v>45501</v>
      </c>
      <c r="I678" s="1" t="s">
        <v>720</v>
      </c>
      <c r="J678" s="1" t="s">
        <v>17</v>
      </c>
      <c r="K678" s="1" t="s">
        <v>121</v>
      </c>
      <c r="L678" s="2">
        <v>45474</v>
      </c>
      <c r="M678" s="6">
        <f>T_SALES[[#This Row],[Profit]]/T_SALES[[#This Row],[Amount]]</f>
        <v>0.233779399837794</v>
      </c>
    </row>
    <row r="679" spans="1:13" x14ac:dyDescent="0.25">
      <c r="A679" s="1" t="s">
        <v>721</v>
      </c>
      <c r="B679" s="7">
        <v>4609</v>
      </c>
      <c r="C679" s="8">
        <v>1084</v>
      </c>
      <c r="D679">
        <v>8</v>
      </c>
      <c r="E679" s="1" t="s">
        <v>13</v>
      </c>
      <c r="F679" s="1" t="s">
        <v>25</v>
      </c>
      <c r="G679" s="1" t="s">
        <v>15</v>
      </c>
      <c r="H679" s="2">
        <v>45137</v>
      </c>
      <c r="I679" s="1" t="s">
        <v>722</v>
      </c>
      <c r="J679" s="1" t="s">
        <v>17</v>
      </c>
      <c r="K679" s="1" t="s">
        <v>31</v>
      </c>
      <c r="L679" s="2">
        <v>45108</v>
      </c>
      <c r="M679" s="6">
        <f>T_SALES[[#This Row],[Profit]]/T_SALES[[#This Row],[Amount]]</f>
        <v>0.23519201562160991</v>
      </c>
    </row>
    <row r="680" spans="1:13" x14ac:dyDescent="0.25">
      <c r="A680" s="1" t="s">
        <v>721</v>
      </c>
      <c r="B680" s="7">
        <v>2328</v>
      </c>
      <c r="C680" s="8">
        <v>788</v>
      </c>
      <c r="D680">
        <v>4</v>
      </c>
      <c r="E680" s="1" t="s">
        <v>27</v>
      </c>
      <c r="F680" s="1" t="s">
        <v>55</v>
      </c>
      <c r="G680" s="1" t="s">
        <v>15</v>
      </c>
      <c r="H680" s="2">
        <v>45137</v>
      </c>
      <c r="I680" s="1" t="s">
        <v>722</v>
      </c>
      <c r="J680" s="1" t="s">
        <v>17</v>
      </c>
      <c r="K680" s="1" t="s">
        <v>31</v>
      </c>
      <c r="L680" s="2">
        <v>45108</v>
      </c>
      <c r="M680" s="6">
        <f>T_SALES[[#This Row],[Profit]]/T_SALES[[#This Row],[Amount]]</f>
        <v>0.33848797250859108</v>
      </c>
    </row>
    <row r="681" spans="1:13" x14ac:dyDescent="0.25">
      <c r="A681" s="1" t="s">
        <v>721</v>
      </c>
      <c r="B681" s="7">
        <v>4734</v>
      </c>
      <c r="C681" s="8">
        <v>958</v>
      </c>
      <c r="D681">
        <v>7</v>
      </c>
      <c r="E681" s="1" t="s">
        <v>13</v>
      </c>
      <c r="F681" s="1" t="s">
        <v>25</v>
      </c>
      <c r="G681" s="1" t="s">
        <v>29</v>
      </c>
      <c r="H681" s="2">
        <v>45137</v>
      </c>
      <c r="I681" s="1" t="s">
        <v>722</v>
      </c>
      <c r="J681" s="1" t="s">
        <v>17</v>
      </c>
      <c r="K681" s="1" t="s">
        <v>31</v>
      </c>
      <c r="L681" s="2">
        <v>45108</v>
      </c>
      <c r="M681" s="6">
        <f>T_SALES[[#This Row],[Profit]]/T_SALES[[#This Row],[Amount]]</f>
        <v>0.20236586396282213</v>
      </c>
    </row>
    <row r="682" spans="1:13" x14ac:dyDescent="0.25">
      <c r="A682" s="1" t="s">
        <v>723</v>
      </c>
      <c r="B682" s="7">
        <v>1388</v>
      </c>
      <c r="C682" s="8">
        <v>345</v>
      </c>
      <c r="D682">
        <v>5</v>
      </c>
      <c r="E682" s="1" t="s">
        <v>39</v>
      </c>
      <c r="F682" s="1" t="s">
        <v>51</v>
      </c>
      <c r="G682" s="1" t="s">
        <v>15</v>
      </c>
      <c r="H682" s="2">
        <v>45570</v>
      </c>
      <c r="I682" s="1" t="s">
        <v>724</v>
      </c>
      <c r="J682" s="1" t="s">
        <v>23</v>
      </c>
      <c r="K682" s="1" t="s">
        <v>45</v>
      </c>
      <c r="L682" s="2">
        <v>45566</v>
      </c>
      <c r="M682" s="6">
        <f>T_SALES[[#This Row],[Profit]]/T_SALES[[#This Row],[Amount]]</f>
        <v>0.24855907780979827</v>
      </c>
    </row>
    <row r="683" spans="1:13" x14ac:dyDescent="0.25">
      <c r="A683" s="1" t="s">
        <v>723</v>
      </c>
      <c r="B683" s="7">
        <v>8555</v>
      </c>
      <c r="C683" s="8">
        <v>1638</v>
      </c>
      <c r="D683">
        <v>8</v>
      </c>
      <c r="E683" s="1" t="s">
        <v>13</v>
      </c>
      <c r="F683" s="1" t="s">
        <v>34</v>
      </c>
      <c r="G683" s="1" t="s">
        <v>41</v>
      </c>
      <c r="H683" s="2">
        <v>45570</v>
      </c>
      <c r="I683" s="1" t="s">
        <v>724</v>
      </c>
      <c r="J683" s="1" t="s">
        <v>23</v>
      </c>
      <c r="K683" s="1" t="s">
        <v>45</v>
      </c>
      <c r="L683" s="2">
        <v>45566</v>
      </c>
      <c r="M683" s="6">
        <f>T_SALES[[#This Row],[Profit]]/T_SALES[[#This Row],[Amount]]</f>
        <v>0.19146697837521917</v>
      </c>
    </row>
    <row r="684" spans="1:13" x14ac:dyDescent="0.25">
      <c r="A684" s="1" t="s">
        <v>725</v>
      </c>
      <c r="B684" s="7">
        <v>9024</v>
      </c>
      <c r="C684" s="8">
        <v>730</v>
      </c>
      <c r="D684">
        <v>4</v>
      </c>
      <c r="E684" s="1" t="s">
        <v>39</v>
      </c>
      <c r="F684" s="1" t="s">
        <v>40</v>
      </c>
      <c r="G684" s="1" t="s">
        <v>41</v>
      </c>
      <c r="H684" s="2">
        <v>45342</v>
      </c>
      <c r="I684" s="1" t="s">
        <v>726</v>
      </c>
      <c r="J684" s="1" t="s">
        <v>62</v>
      </c>
      <c r="K684" s="1" t="s">
        <v>63</v>
      </c>
      <c r="L684" s="2">
        <v>45323</v>
      </c>
      <c r="M684" s="6">
        <f>T_SALES[[#This Row],[Profit]]/T_SALES[[#This Row],[Amount]]</f>
        <v>8.0895390070921988E-2</v>
      </c>
    </row>
    <row r="685" spans="1:13" x14ac:dyDescent="0.25">
      <c r="A685" s="1" t="s">
        <v>725</v>
      </c>
      <c r="B685" s="7">
        <v>2468</v>
      </c>
      <c r="C685" s="8">
        <v>418</v>
      </c>
      <c r="D685">
        <v>4</v>
      </c>
      <c r="E685" s="1" t="s">
        <v>13</v>
      </c>
      <c r="F685" s="1" t="s">
        <v>34</v>
      </c>
      <c r="G685" s="1" t="s">
        <v>41</v>
      </c>
      <c r="H685" s="2">
        <v>45342</v>
      </c>
      <c r="I685" s="1" t="s">
        <v>726</v>
      </c>
      <c r="J685" s="1" t="s">
        <v>62</v>
      </c>
      <c r="K685" s="1" t="s">
        <v>63</v>
      </c>
      <c r="L685" s="2">
        <v>45323</v>
      </c>
      <c r="M685" s="6">
        <f>T_SALES[[#This Row],[Profit]]/T_SALES[[#This Row],[Amount]]</f>
        <v>0.1693679092382496</v>
      </c>
    </row>
    <row r="686" spans="1:13" x14ac:dyDescent="0.25">
      <c r="A686" s="1" t="s">
        <v>727</v>
      </c>
      <c r="B686" s="7">
        <v>9438</v>
      </c>
      <c r="C686" s="8">
        <v>1801</v>
      </c>
      <c r="D686">
        <v>4</v>
      </c>
      <c r="E686" s="1" t="s">
        <v>13</v>
      </c>
      <c r="F686" s="1" t="s">
        <v>14</v>
      </c>
      <c r="G686" s="1" t="s">
        <v>56</v>
      </c>
      <c r="H686" s="2">
        <v>45035</v>
      </c>
      <c r="I686" s="1" t="s">
        <v>728</v>
      </c>
      <c r="J686" s="1" t="s">
        <v>17</v>
      </c>
      <c r="K686" s="1" t="s">
        <v>31</v>
      </c>
      <c r="L686" s="2">
        <v>45017</v>
      </c>
      <c r="M686" s="6">
        <f>T_SALES[[#This Row],[Profit]]/T_SALES[[#This Row],[Amount]]</f>
        <v>0.19082432718796355</v>
      </c>
    </row>
    <row r="687" spans="1:13" x14ac:dyDescent="0.25">
      <c r="A687" s="1" t="s">
        <v>727</v>
      </c>
      <c r="B687" s="7">
        <v>9438</v>
      </c>
      <c r="C687" s="8">
        <v>1801</v>
      </c>
      <c r="D687">
        <v>4</v>
      </c>
      <c r="E687" s="1" t="s">
        <v>13</v>
      </c>
      <c r="F687" s="1" t="s">
        <v>14</v>
      </c>
      <c r="G687" s="1" t="s">
        <v>56</v>
      </c>
      <c r="H687" s="2">
        <v>45228</v>
      </c>
      <c r="I687" s="1" t="s">
        <v>729</v>
      </c>
      <c r="J687" s="1" t="s">
        <v>62</v>
      </c>
      <c r="K687" s="1" t="s">
        <v>74</v>
      </c>
      <c r="L687" s="2">
        <v>45200</v>
      </c>
      <c r="M687" s="6">
        <f>T_SALES[[#This Row],[Profit]]/T_SALES[[#This Row],[Amount]]</f>
        <v>0.19082432718796355</v>
      </c>
    </row>
    <row r="688" spans="1:13" x14ac:dyDescent="0.25">
      <c r="A688" s="1" t="s">
        <v>730</v>
      </c>
      <c r="B688" s="7">
        <v>2685</v>
      </c>
      <c r="C688" s="8">
        <v>379</v>
      </c>
      <c r="D688">
        <v>18</v>
      </c>
      <c r="E688" s="1" t="s">
        <v>13</v>
      </c>
      <c r="F688" s="1" t="s">
        <v>70</v>
      </c>
      <c r="G688" s="1" t="s">
        <v>15</v>
      </c>
      <c r="H688" s="2">
        <v>44628</v>
      </c>
      <c r="I688" s="1" t="s">
        <v>731</v>
      </c>
      <c r="J688" s="1" t="s">
        <v>82</v>
      </c>
      <c r="K688" s="1" t="s">
        <v>97</v>
      </c>
      <c r="L688" s="2">
        <v>44621</v>
      </c>
      <c r="M688" s="6">
        <f>T_SALES[[#This Row],[Profit]]/T_SALES[[#This Row],[Amount]]</f>
        <v>0.14115456238361265</v>
      </c>
    </row>
    <row r="689" spans="1:13" x14ac:dyDescent="0.25">
      <c r="A689" s="1" t="s">
        <v>730</v>
      </c>
      <c r="B689" s="7">
        <v>2685</v>
      </c>
      <c r="C689" s="8">
        <v>379</v>
      </c>
      <c r="D689">
        <v>18</v>
      </c>
      <c r="E689" s="1" t="s">
        <v>13</v>
      </c>
      <c r="F689" s="1" t="s">
        <v>70</v>
      </c>
      <c r="G689" s="1" t="s">
        <v>15</v>
      </c>
      <c r="H689" s="2">
        <v>44903</v>
      </c>
      <c r="I689" s="1" t="s">
        <v>732</v>
      </c>
      <c r="J689" s="1" t="s">
        <v>17</v>
      </c>
      <c r="K689" s="1" t="s">
        <v>121</v>
      </c>
      <c r="L689" s="2">
        <v>44896</v>
      </c>
      <c r="M689" s="6">
        <f>T_SALES[[#This Row],[Profit]]/T_SALES[[#This Row],[Amount]]</f>
        <v>0.14115456238361265</v>
      </c>
    </row>
    <row r="690" spans="1:13" x14ac:dyDescent="0.25">
      <c r="A690" s="1" t="s">
        <v>730</v>
      </c>
      <c r="B690" s="7">
        <v>9916</v>
      </c>
      <c r="C690" s="8">
        <v>4602</v>
      </c>
      <c r="D690">
        <v>14</v>
      </c>
      <c r="E690" s="1" t="s">
        <v>39</v>
      </c>
      <c r="F690" s="1" t="s">
        <v>43</v>
      </c>
      <c r="G690" s="1" t="s">
        <v>15</v>
      </c>
      <c r="H690" s="2">
        <v>44628</v>
      </c>
      <c r="I690" s="1" t="s">
        <v>731</v>
      </c>
      <c r="J690" s="1" t="s">
        <v>82</v>
      </c>
      <c r="K690" s="1" t="s">
        <v>97</v>
      </c>
      <c r="L690" s="2">
        <v>44621</v>
      </c>
      <c r="M690" s="6">
        <f>T_SALES[[#This Row],[Profit]]/T_SALES[[#This Row],[Amount]]</f>
        <v>0.46409842678499397</v>
      </c>
    </row>
    <row r="691" spans="1:13" x14ac:dyDescent="0.25">
      <c r="A691" s="1" t="s">
        <v>730</v>
      </c>
      <c r="B691" s="7">
        <v>9916</v>
      </c>
      <c r="C691" s="8">
        <v>4602</v>
      </c>
      <c r="D691">
        <v>14</v>
      </c>
      <c r="E691" s="1" t="s">
        <v>39</v>
      </c>
      <c r="F691" s="1" t="s">
        <v>43</v>
      </c>
      <c r="G691" s="1" t="s">
        <v>15</v>
      </c>
      <c r="H691" s="2">
        <v>44903</v>
      </c>
      <c r="I691" s="1" t="s">
        <v>732</v>
      </c>
      <c r="J691" s="1" t="s">
        <v>17</v>
      </c>
      <c r="K691" s="1" t="s">
        <v>121</v>
      </c>
      <c r="L691" s="2">
        <v>44896</v>
      </c>
      <c r="M691" s="6">
        <f>T_SALES[[#This Row],[Profit]]/T_SALES[[#This Row],[Amount]]</f>
        <v>0.46409842678499397</v>
      </c>
    </row>
    <row r="692" spans="1:13" x14ac:dyDescent="0.25">
      <c r="A692" s="1" t="s">
        <v>730</v>
      </c>
      <c r="B692" s="7">
        <v>6184</v>
      </c>
      <c r="C692" s="8">
        <v>50</v>
      </c>
      <c r="D692">
        <v>14</v>
      </c>
      <c r="E692" s="1" t="s">
        <v>13</v>
      </c>
      <c r="F692" s="1" t="s">
        <v>14</v>
      </c>
      <c r="G692" s="1" t="s">
        <v>41</v>
      </c>
      <c r="H692" s="2">
        <v>44628</v>
      </c>
      <c r="I692" s="1" t="s">
        <v>731</v>
      </c>
      <c r="J692" s="1" t="s">
        <v>82</v>
      </c>
      <c r="K692" s="1" t="s">
        <v>97</v>
      </c>
      <c r="L692" s="2">
        <v>44621</v>
      </c>
      <c r="M692" s="6">
        <f>T_SALES[[#This Row],[Profit]]/T_SALES[[#This Row],[Amount]]</f>
        <v>8.0853816300129368E-3</v>
      </c>
    </row>
    <row r="693" spans="1:13" x14ac:dyDescent="0.25">
      <c r="A693" s="1" t="s">
        <v>730</v>
      </c>
      <c r="B693" s="7">
        <v>6184</v>
      </c>
      <c r="C693" s="8">
        <v>50</v>
      </c>
      <c r="D693">
        <v>14</v>
      </c>
      <c r="E693" s="1" t="s">
        <v>13</v>
      </c>
      <c r="F693" s="1" t="s">
        <v>14</v>
      </c>
      <c r="G693" s="1" t="s">
        <v>41</v>
      </c>
      <c r="H693" s="2">
        <v>44903</v>
      </c>
      <c r="I693" s="1" t="s">
        <v>732</v>
      </c>
      <c r="J693" s="1" t="s">
        <v>17</v>
      </c>
      <c r="K693" s="1" t="s">
        <v>121</v>
      </c>
      <c r="L693" s="2">
        <v>44896</v>
      </c>
      <c r="M693" s="6">
        <f>T_SALES[[#This Row],[Profit]]/T_SALES[[#This Row],[Amount]]</f>
        <v>8.0853816300129368E-3</v>
      </c>
    </row>
    <row r="694" spans="1:13" x14ac:dyDescent="0.25">
      <c r="A694" s="1" t="s">
        <v>730</v>
      </c>
      <c r="B694" s="7">
        <v>4548</v>
      </c>
      <c r="C694" s="8">
        <v>2135</v>
      </c>
      <c r="D694">
        <v>8</v>
      </c>
      <c r="E694" s="1" t="s">
        <v>27</v>
      </c>
      <c r="F694" s="1" t="s">
        <v>49</v>
      </c>
      <c r="G694" s="1" t="s">
        <v>29</v>
      </c>
      <c r="H694" s="2">
        <v>44628</v>
      </c>
      <c r="I694" s="1" t="s">
        <v>731</v>
      </c>
      <c r="J694" s="1" t="s">
        <v>82</v>
      </c>
      <c r="K694" s="1" t="s">
        <v>97</v>
      </c>
      <c r="L694" s="2">
        <v>44621</v>
      </c>
      <c r="M694" s="6">
        <f>T_SALES[[#This Row],[Profit]]/T_SALES[[#This Row],[Amount]]</f>
        <v>0.46943711521547932</v>
      </c>
    </row>
    <row r="695" spans="1:13" x14ac:dyDescent="0.25">
      <c r="A695" s="1" t="s">
        <v>730</v>
      </c>
      <c r="B695" s="7">
        <v>4548</v>
      </c>
      <c r="C695" s="8">
        <v>2135</v>
      </c>
      <c r="D695">
        <v>8</v>
      </c>
      <c r="E695" s="1" t="s">
        <v>27</v>
      </c>
      <c r="F695" s="1" t="s">
        <v>49</v>
      </c>
      <c r="G695" s="1" t="s">
        <v>29</v>
      </c>
      <c r="H695" s="2">
        <v>44903</v>
      </c>
      <c r="I695" s="1" t="s">
        <v>732</v>
      </c>
      <c r="J695" s="1" t="s">
        <v>17</v>
      </c>
      <c r="K695" s="1" t="s">
        <v>121</v>
      </c>
      <c r="L695" s="2">
        <v>44896</v>
      </c>
      <c r="M695" s="6">
        <f>T_SALES[[#This Row],[Profit]]/T_SALES[[#This Row],[Amount]]</f>
        <v>0.46943711521547932</v>
      </c>
    </row>
    <row r="696" spans="1:13" x14ac:dyDescent="0.25">
      <c r="A696" s="1" t="s">
        <v>733</v>
      </c>
      <c r="B696" s="7">
        <v>7195</v>
      </c>
      <c r="C696" s="8">
        <v>1665</v>
      </c>
      <c r="D696">
        <v>7</v>
      </c>
      <c r="E696" s="1" t="s">
        <v>27</v>
      </c>
      <c r="F696" s="1" t="s">
        <v>49</v>
      </c>
      <c r="G696" s="1" t="s">
        <v>56</v>
      </c>
      <c r="H696" s="2">
        <v>45500</v>
      </c>
      <c r="I696" s="1" t="s">
        <v>734</v>
      </c>
      <c r="J696" s="1" t="s">
        <v>23</v>
      </c>
      <c r="K696" s="1" t="s">
        <v>59</v>
      </c>
      <c r="L696" s="2">
        <v>45474</v>
      </c>
      <c r="M696" s="6">
        <f>T_SALES[[#This Row],[Profit]]/T_SALES[[#This Row],[Amount]]</f>
        <v>0.231410701876303</v>
      </c>
    </row>
    <row r="697" spans="1:13" x14ac:dyDescent="0.25">
      <c r="A697" s="1" t="s">
        <v>733</v>
      </c>
      <c r="B697" s="7">
        <v>7195</v>
      </c>
      <c r="C697" s="8">
        <v>1665</v>
      </c>
      <c r="D697">
        <v>7</v>
      </c>
      <c r="E697" s="1" t="s">
        <v>27</v>
      </c>
      <c r="F697" s="1" t="s">
        <v>49</v>
      </c>
      <c r="G697" s="1" t="s">
        <v>56</v>
      </c>
      <c r="H697" s="2">
        <v>44747</v>
      </c>
      <c r="I697" s="1" t="s">
        <v>735</v>
      </c>
      <c r="J697" s="1" t="s">
        <v>23</v>
      </c>
      <c r="K697" s="1" t="s">
        <v>24</v>
      </c>
      <c r="L697" s="2">
        <v>44743</v>
      </c>
      <c r="M697" s="6">
        <f>T_SALES[[#This Row],[Profit]]/T_SALES[[#This Row],[Amount]]</f>
        <v>0.231410701876303</v>
      </c>
    </row>
    <row r="698" spans="1:13" x14ac:dyDescent="0.25">
      <c r="A698" s="1" t="s">
        <v>736</v>
      </c>
      <c r="B698" s="7">
        <v>3098</v>
      </c>
      <c r="C698" s="8">
        <v>957</v>
      </c>
      <c r="D698">
        <v>18</v>
      </c>
      <c r="E698" s="1" t="s">
        <v>39</v>
      </c>
      <c r="F698" s="1" t="s">
        <v>90</v>
      </c>
      <c r="G698" s="1" t="s">
        <v>56</v>
      </c>
      <c r="H698" s="2">
        <v>45477</v>
      </c>
      <c r="I698" s="1" t="s">
        <v>737</v>
      </c>
      <c r="J698" s="1" t="s">
        <v>62</v>
      </c>
      <c r="K698" s="1" t="s">
        <v>74</v>
      </c>
      <c r="L698" s="2">
        <v>45474</v>
      </c>
      <c r="M698" s="6">
        <f>T_SALES[[#This Row],[Profit]]/T_SALES[[#This Row],[Amount]]</f>
        <v>0.30890897353131053</v>
      </c>
    </row>
    <row r="699" spans="1:13" x14ac:dyDescent="0.25">
      <c r="A699" s="1" t="s">
        <v>738</v>
      </c>
      <c r="B699" s="7">
        <v>5412</v>
      </c>
      <c r="C699" s="8">
        <v>1192</v>
      </c>
      <c r="D699">
        <v>18</v>
      </c>
      <c r="E699" s="1" t="s">
        <v>39</v>
      </c>
      <c r="F699" s="1" t="s">
        <v>40</v>
      </c>
      <c r="G699" s="1" t="s">
        <v>41</v>
      </c>
      <c r="H699" s="2">
        <v>45350</v>
      </c>
      <c r="I699" s="1" t="s">
        <v>739</v>
      </c>
      <c r="J699" s="1" t="s">
        <v>37</v>
      </c>
      <c r="K699" s="1" t="s">
        <v>65</v>
      </c>
      <c r="L699" s="2">
        <v>45323</v>
      </c>
      <c r="M699" s="6">
        <f>T_SALES[[#This Row],[Profit]]/T_SALES[[#This Row],[Amount]]</f>
        <v>0.22025129342202512</v>
      </c>
    </row>
    <row r="700" spans="1:13" x14ac:dyDescent="0.25">
      <c r="A700" s="1" t="s">
        <v>738</v>
      </c>
      <c r="B700" s="7">
        <v>5412</v>
      </c>
      <c r="C700" s="8">
        <v>1192</v>
      </c>
      <c r="D700">
        <v>18</v>
      </c>
      <c r="E700" s="1" t="s">
        <v>39</v>
      </c>
      <c r="F700" s="1" t="s">
        <v>40</v>
      </c>
      <c r="G700" s="1" t="s">
        <v>41</v>
      </c>
      <c r="H700" s="2">
        <v>45660</v>
      </c>
      <c r="I700" s="1" t="s">
        <v>740</v>
      </c>
      <c r="J700" s="1" t="s">
        <v>37</v>
      </c>
      <c r="K700" s="1" t="s">
        <v>38</v>
      </c>
      <c r="L700" s="2">
        <v>45658</v>
      </c>
      <c r="M700" s="6">
        <f>T_SALES[[#This Row],[Profit]]/T_SALES[[#This Row],[Amount]]</f>
        <v>0.22025129342202512</v>
      </c>
    </row>
    <row r="701" spans="1:13" x14ac:dyDescent="0.25">
      <c r="A701" s="1" t="s">
        <v>741</v>
      </c>
      <c r="B701" s="7">
        <v>1397</v>
      </c>
      <c r="C701" s="8">
        <v>686</v>
      </c>
      <c r="D701">
        <v>11</v>
      </c>
      <c r="E701" s="1" t="s">
        <v>39</v>
      </c>
      <c r="F701" s="1" t="s">
        <v>43</v>
      </c>
      <c r="G701" s="1" t="s">
        <v>41</v>
      </c>
      <c r="H701" s="2">
        <v>44537</v>
      </c>
      <c r="I701" s="1" t="s">
        <v>742</v>
      </c>
      <c r="J701" s="1" t="s">
        <v>23</v>
      </c>
      <c r="K701" s="1" t="s">
        <v>45</v>
      </c>
      <c r="L701" s="2">
        <v>44531</v>
      </c>
      <c r="M701" s="6">
        <f>T_SALES[[#This Row],[Profit]]/T_SALES[[#This Row],[Amount]]</f>
        <v>0.49105225483178239</v>
      </c>
    </row>
    <row r="702" spans="1:13" x14ac:dyDescent="0.25">
      <c r="A702" s="1" t="s">
        <v>743</v>
      </c>
      <c r="B702" s="7">
        <v>9279</v>
      </c>
      <c r="C702" s="8">
        <v>552</v>
      </c>
      <c r="D702">
        <v>14</v>
      </c>
      <c r="E702" s="1" t="s">
        <v>39</v>
      </c>
      <c r="F702" s="1" t="s">
        <v>43</v>
      </c>
      <c r="G702" s="1" t="s">
        <v>35</v>
      </c>
      <c r="H702" s="2">
        <v>44544</v>
      </c>
      <c r="I702" s="1" t="s">
        <v>744</v>
      </c>
      <c r="J702" s="1" t="s">
        <v>23</v>
      </c>
      <c r="K702" s="1" t="s">
        <v>24</v>
      </c>
      <c r="L702" s="2">
        <v>44531</v>
      </c>
      <c r="M702" s="6">
        <f>T_SALES[[#This Row],[Profit]]/T_SALES[[#This Row],[Amount]]</f>
        <v>5.948916909149693E-2</v>
      </c>
    </row>
    <row r="703" spans="1:13" x14ac:dyDescent="0.25">
      <c r="A703" s="1" t="s">
        <v>743</v>
      </c>
      <c r="B703" s="7">
        <v>9279</v>
      </c>
      <c r="C703" s="8">
        <v>552</v>
      </c>
      <c r="D703">
        <v>14</v>
      </c>
      <c r="E703" s="1" t="s">
        <v>39</v>
      </c>
      <c r="F703" s="1" t="s">
        <v>43</v>
      </c>
      <c r="G703" s="1" t="s">
        <v>35</v>
      </c>
      <c r="H703" s="2">
        <v>44165</v>
      </c>
      <c r="I703" s="1" t="s">
        <v>745</v>
      </c>
      <c r="J703" s="1" t="s">
        <v>37</v>
      </c>
      <c r="K703" s="1" t="s">
        <v>78</v>
      </c>
      <c r="L703" s="2">
        <v>44136</v>
      </c>
      <c r="M703" s="6">
        <f>T_SALES[[#This Row],[Profit]]/T_SALES[[#This Row],[Amount]]</f>
        <v>5.948916909149693E-2</v>
      </c>
    </row>
    <row r="704" spans="1:13" x14ac:dyDescent="0.25">
      <c r="A704" s="1" t="s">
        <v>743</v>
      </c>
      <c r="B704" s="7">
        <v>2596</v>
      </c>
      <c r="C704" s="8">
        <v>1003</v>
      </c>
      <c r="D704">
        <v>19</v>
      </c>
      <c r="E704" s="1" t="s">
        <v>27</v>
      </c>
      <c r="F704" s="1" t="s">
        <v>55</v>
      </c>
      <c r="G704" s="1" t="s">
        <v>41</v>
      </c>
      <c r="H704" s="2">
        <v>44544</v>
      </c>
      <c r="I704" s="1" t="s">
        <v>744</v>
      </c>
      <c r="J704" s="1" t="s">
        <v>23</v>
      </c>
      <c r="K704" s="1" t="s">
        <v>24</v>
      </c>
      <c r="L704" s="2">
        <v>44531</v>
      </c>
      <c r="M704" s="6">
        <f>T_SALES[[#This Row],[Profit]]/T_SALES[[#This Row],[Amount]]</f>
        <v>0.38636363636363635</v>
      </c>
    </row>
    <row r="705" spans="1:13" x14ac:dyDescent="0.25">
      <c r="A705" s="1" t="s">
        <v>743</v>
      </c>
      <c r="B705" s="7">
        <v>2596</v>
      </c>
      <c r="C705" s="8">
        <v>1003</v>
      </c>
      <c r="D705">
        <v>19</v>
      </c>
      <c r="E705" s="1" t="s">
        <v>27</v>
      </c>
      <c r="F705" s="1" t="s">
        <v>55</v>
      </c>
      <c r="G705" s="1" t="s">
        <v>41</v>
      </c>
      <c r="H705" s="2">
        <v>44165</v>
      </c>
      <c r="I705" s="1" t="s">
        <v>745</v>
      </c>
      <c r="J705" s="1" t="s">
        <v>37</v>
      </c>
      <c r="K705" s="1" t="s">
        <v>78</v>
      </c>
      <c r="L705" s="2">
        <v>44136</v>
      </c>
      <c r="M705" s="6">
        <f>T_SALES[[#This Row],[Profit]]/T_SALES[[#This Row],[Amount]]</f>
        <v>0.38636363636363635</v>
      </c>
    </row>
    <row r="706" spans="1:13" x14ac:dyDescent="0.25">
      <c r="A706" s="1" t="s">
        <v>746</v>
      </c>
      <c r="B706" s="7">
        <v>6732</v>
      </c>
      <c r="C706" s="8">
        <v>911</v>
      </c>
      <c r="D706">
        <v>19</v>
      </c>
      <c r="E706" s="1" t="s">
        <v>39</v>
      </c>
      <c r="F706" s="1" t="s">
        <v>90</v>
      </c>
      <c r="G706" s="1" t="s">
        <v>35</v>
      </c>
      <c r="H706" s="2">
        <v>44559</v>
      </c>
      <c r="I706" s="1" t="s">
        <v>747</v>
      </c>
      <c r="J706" s="1" t="s">
        <v>23</v>
      </c>
      <c r="K706" s="1" t="s">
        <v>24</v>
      </c>
      <c r="L706" s="2">
        <v>44531</v>
      </c>
      <c r="M706" s="6">
        <f>T_SALES[[#This Row],[Profit]]/T_SALES[[#This Row],[Amount]]</f>
        <v>0.13532382650029709</v>
      </c>
    </row>
    <row r="707" spans="1:13" x14ac:dyDescent="0.25">
      <c r="A707" s="1" t="s">
        <v>746</v>
      </c>
      <c r="B707" s="7">
        <v>4495</v>
      </c>
      <c r="C707" s="8">
        <v>1408</v>
      </c>
      <c r="D707">
        <v>14</v>
      </c>
      <c r="E707" s="1" t="s">
        <v>27</v>
      </c>
      <c r="F707" s="1" t="s">
        <v>28</v>
      </c>
      <c r="G707" s="1" t="s">
        <v>35</v>
      </c>
      <c r="H707" s="2">
        <v>44559</v>
      </c>
      <c r="I707" s="1" t="s">
        <v>747</v>
      </c>
      <c r="J707" s="1" t="s">
        <v>23</v>
      </c>
      <c r="K707" s="1" t="s">
        <v>24</v>
      </c>
      <c r="L707" s="2">
        <v>44531</v>
      </c>
      <c r="M707" s="6">
        <f>T_SALES[[#This Row],[Profit]]/T_SALES[[#This Row],[Amount]]</f>
        <v>0.3132369299221357</v>
      </c>
    </row>
    <row r="708" spans="1:13" x14ac:dyDescent="0.25">
      <c r="A708" s="1" t="s">
        <v>748</v>
      </c>
      <c r="B708" s="7">
        <v>9653</v>
      </c>
      <c r="C708" s="8">
        <v>2471</v>
      </c>
      <c r="D708">
        <v>6</v>
      </c>
      <c r="E708" s="1" t="s">
        <v>27</v>
      </c>
      <c r="F708" s="1" t="s">
        <v>55</v>
      </c>
      <c r="G708" s="1" t="s">
        <v>15</v>
      </c>
      <c r="H708" s="2">
        <v>45481</v>
      </c>
      <c r="I708" s="1" t="s">
        <v>749</v>
      </c>
      <c r="J708" s="1" t="s">
        <v>23</v>
      </c>
      <c r="K708" s="1" t="s">
        <v>24</v>
      </c>
      <c r="L708" s="2">
        <v>45474</v>
      </c>
      <c r="M708" s="6">
        <f>T_SALES[[#This Row],[Profit]]/T_SALES[[#This Row],[Amount]]</f>
        <v>0.25598259608411894</v>
      </c>
    </row>
    <row r="709" spans="1:13" x14ac:dyDescent="0.25">
      <c r="A709" s="1" t="s">
        <v>750</v>
      </c>
      <c r="B709" s="7">
        <v>8945</v>
      </c>
      <c r="C709" s="8">
        <v>1728</v>
      </c>
      <c r="D709">
        <v>10</v>
      </c>
      <c r="E709" s="1" t="s">
        <v>39</v>
      </c>
      <c r="F709" s="1" t="s">
        <v>40</v>
      </c>
      <c r="G709" s="1" t="s">
        <v>15</v>
      </c>
      <c r="H709" s="2">
        <v>44237</v>
      </c>
      <c r="I709" s="1" t="s">
        <v>751</v>
      </c>
      <c r="J709" s="1" t="s">
        <v>20</v>
      </c>
      <c r="K709" s="1" t="s">
        <v>137</v>
      </c>
      <c r="L709" s="2">
        <v>44228</v>
      </c>
      <c r="M709" s="6">
        <f>T_SALES[[#This Row],[Profit]]/T_SALES[[#This Row],[Amount]]</f>
        <v>0.19318054779206262</v>
      </c>
    </row>
    <row r="710" spans="1:13" x14ac:dyDescent="0.25">
      <c r="A710" s="1" t="s">
        <v>752</v>
      </c>
      <c r="B710" s="7">
        <v>4007</v>
      </c>
      <c r="C710" s="8">
        <v>201</v>
      </c>
      <c r="D710">
        <v>13</v>
      </c>
      <c r="E710" s="1" t="s">
        <v>39</v>
      </c>
      <c r="F710" s="1" t="s">
        <v>90</v>
      </c>
      <c r="G710" s="1" t="s">
        <v>56</v>
      </c>
      <c r="H710" s="2">
        <v>44125</v>
      </c>
      <c r="I710" s="1" t="s">
        <v>753</v>
      </c>
      <c r="J710" s="1" t="s">
        <v>82</v>
      </c>
      <c r="K710" s="1" t="s">
        <v>83</v>
      </c>
      <c r="L710" s="2">
        <v>44105</v>
      </c>
      <c r="M710" s="6">
        <f>T_SALES[[#This Row],[Profit]]/T_SALES[[#This Row],[Amount]]</f>
        <v>5.0162216121786875E-2</v>
      </c>
    </row>
    <row r="711" spans="1:13" x14ac:dyDescent="0.25">
      <c r="A711" s="1" t="s">
        <v>752</v>
      </c>
      <c r="B711" s="7">
        <v>4007</v>
      </c>
      <c r="C711" s="8">
        <v>201</v>
      </c>
      <c r="D711">
        <v>13</v>
      </c>
      <c r="E711" s="1" t="s">
        <v>39</v>
      </c>
      <c r="F711" s="1" t="s">
        <v>90</v>
      </c>
      <c r="G711" s="1" t="s">
        <v>56</v>
      </c>
      <c r="H711" s="2">
        <v>45033</v>
      </c>
      <c r="I711" s="1" t="s">
        <v>754</v>
      </c>
      <c r="J711" s="1" t="s">
        <v>62</v>
      </c>
      <c r="K711" s="1" t="s">
        <v>63</v>
      </c>
      <c r="L711" s="2">
        <v>45017</v>
      </c>
      <c r="M711" s="6">
        <f>T_SALES[[#This Row],[Profit]]/T_SALES[[#This Row],[Amount]]</f>
        <v>5.0162216121786875E-2</v>
      </c>
    </row>
    <row r="712" spans="1:13" x14ac:dyDescent="0.25">
      <c r="A712" s="1" t="s">
        <v>755</v>
      </c>
      <c r="B712" s="7">
        <v>810</v>
      </c>
      <c r="C712" s="8">
        <v>231</v>
      </c>
      <c r="D712">
        <v>18</v>
      </c>
      <c r="E712" s="1" t="s">
        <v>39</v>
      </c>
      <c r="F712" s="1" t="s">
        <v>90</v>
      </c>
      <c r="G712" s="1" t="s">
        <v>35</v>
      </c>
      <c r="H712" s="2">
        <v>44125</v>
      </c>
      <c r="I712" s="1" t="s">
        <v>756</v>
      </c>
      <c r="J712" s="1" t="s">
        <v>17</v>
      </c>
      <c r="K712" s="1" t="s">
        <v>121</v>
      </c>
      <c r="L712" s="2">
        <v>44105</v>
      </c>
      <c r="M712" s="6">
        <f>T_SALES[[#This Row],[Profit]]/T_SALES[[#This Row],[Amount]]</f>
        <v>0.28518518518518521</v>
      </c>
    </row>
    <row r="713" spans="1:13" x14ac:dyDescent="0.25">
      <c r="A713" s="1" t="s">
        <v>757</v>
      </c>
      <c r="B713" s="7">
        <v>9789</v>
      </c>
      <c r="C713" s="8">
        <v>2071</v>
      </c>
      <c r="D713">
        <v>18</v>
      </c>
      <c r="E713" s="1" t="s">
        <v>39</v>
      </c>
      <c r="F713" s="1" t="s">
        <v>90</v>
      </c>
      <c r="G713" s="1" t="s">
        <v>29</v>
      </c>
      <c r="H713" s="2">
        <v>45288</v>
      </c>
      <c r="I713" s="1" t="s">
        <v>758</v>
      </c>
      <c r="J713" s="1" t="s">
        <v>23</v>
      </c>
      <c r="K713" s="1" t="s">
        <v>59</v>
      </c>
      <c r="L713" s="2">
        <v>45261</v>
      </c>
      <c r="M713" s="6">
        <f>T_SALES[[#This Row],[Profit]]/T_SALES[[#This Row],[Amount]]</f>
        <v>0.21156400040862192</v>
      </c>
    </row>
    <row r="714" spans="1:13" x14ac:dyDescent="0.25">
      <c r="A714" s="1" t="s">
        <v>757</v>
      </c>
      <c r="B714" s="7">
        <v>9229</v>
      </c>
      <c r="C714" s="8">
        <v>4090</v>
      </c>
      <c r="D714">
        <v>8</v>
      </c>
      <c r="E714" s="1" t="s">
        <v>13</v>
      </c>
      <c r="F714" s="1" t="s">
        <v>14</v>
      </c>
      <c r="G714" s="1" t="s">
        <v>56</v>
      </c>
      <c r="H714" s="2">
        <v>45288</v>
      </c>
      <c r="I714" s="1" t="s">
        <v>758</v>
      </c>
      <c r="J714" s="1" t="s">
        <v>23</v>
      </c>
      <c r="K714" s="1" t="s">
        <v>59</v>
      </c>
      <c r="L714" s="2">
        <v>45261</v>
      </c>
      <c r="M714" s="6">
        <f>T_SALES[[#This Row],[Profit]]/T_SALES[[#This Row],[Amount]]</f>
        <v>0.44316827391916785</v>
      </c>
    </row>
    <row r="715" spans="1:13" x14ac:dyDescent="0.25">
      <c r="A715" s="1" t="s">
        <v>759</v>
      </c>
      <c r="B715" s="7">
        <v>8141</v>
      </c>
      <c r="C715" s="8">
        <v>3968</v>
      </c>
      <c r="D715">
        <v>18</v>
      </c>
      <c r="E715" s="1" t="s">
        <v>27</v>
      </c>
      <c r="F715" s="1" t="s">
        <v>49</v>
      </c>
      <c r="G715" s="1" t="s">
        <v>29</v>
      </c>
      <c r="H715" s="2">
        <v>44918</v>
      </c>
      <c r="I715" s="1" t="s">
        <v>760</v>
      </c>
      <c r="J715" s="1" t="s">
        <v>23</v>
      </c>
      <c r="K715" s="1" t="s">
        <v>59</v>
      </c>
      <c r="L715" s="2">
        <v>44896</v>
      </c>
      <c r="M715" s="6">
        <f>T_SALES[[#This Row],[Profit]]/T_SALES[[#This Row],[Amount]]</f>
        <v>0.4874094091634934</v>
      </c>
    </row>
    <row r="716" spans="1:13" x14ac:dyDescent="0.25">
      <c r="A716" s="1" t="s">
        <v>759</v>
      </c>
      <c r="B716" s="7">
        <v>8141</v>
      </c>
      <c r="C716" s="8">
        <v>3968</v>
      </c>
      <c r="D716">
        <v>18</v>
      </c>
      <c r="E716" s="1" t="s">
        <v>27</v>
      </c>
      <c r="F716" s="1" t="s">
        <v>49</v>
      </c>
      <c r="G716" s="1" t="s">
        <v>29</v>
      </c>
      <c r="H716" s="2">
        <v>44783</v>
      </c>
      <c r="I716" s="1" t="s">
        <v>761</v>
      </c>
      <c r="J716" s="1" t="s">
        <v>20</v>
      </c>
      <c r="K716" s="1" t="s">
        <v>137</v>
      </c>
      <c r="L716" s="2">
        <v>44774</v>
      </c>
      <c r="M716" s="6">
        <f>T_SALES[[#This Row],[Profit]]/T_SALES[[#This Row],[Amount]]</f>
        <v>0.4874094091634934</v>
      </c>
    </row>
    <row r="717" spans="1:13" x14ac:dyDescent="0.25">
      <c r="A717" s="1" t="s">
        <v>759</v>
      </c>
      <c r="B717" s="7">
        <v>1067</v>
      </c>
      <c r="C717" s="8">
        <v>251</v>
      </c>
      <c r="D717">
        <v>14</v>
      </c>
      <c r="E717" s="1" t="s">
        <v>39</v>
      </c>
      <c r="F717" s="1" t="s">
        <v>51</v>
      </c>
      <c r="G717" s="1" t="s">
        <v>35</v>
      </c>
      <c r="H717" s="2">
        <v>44918</v>
      </c>
      <c r="I717" s="1" t="s">
        <v>760</v>
      </c>
      <c r="J717" s="1" t="s">
        <v>23</v>
      </c>
      <c r="K717" s="1" t="s">
        <v>59</v>
      </c>
      <c r="L717" s="2">
        <v>44896</v>
      </c>
      <c r="M717" s="6">
        <f>T_SALES[[#This Row],[Profit]]/T_SALES[[#This Row],[Amount]]</f>
        <v>0.23523898781630739</v>
      </c>
    </row>
    <row r="718" spans="1:13" x14ac:dyDescent="0.25">
      <c r="A718" s="1" t="s">
        <v>759</v>
      </c>
      <c r="B718" s="7">
        <v>1067</v>
      </c>
      <c r="C718" s="8">
        <v>251</v>
      </c>
      <c r="D718">
        <v>14</v>
      </c>
      <c r="E718" s="1" t="s">
        <v>39</v>
      </c>
      <c r="F718" s="1" t="s">
        <v>51</v>
      </c>
      <c r="G718" s="1" t="s">
        <v>35</v>
      </c>
      <c r="H718" s="2">
        <v>44783</v>
      </c>
      <c r="I718" s="1" t="s">
        <v>761</v>
      </c>
      <c r="J718" s="1" t="s">
        <v>20</v>
      </c>
      <c r="K718" s="1" t="s">
        <v>137</v>
      </c>
      <c r="L718" s="2">
        <v>44774</v>
      </c>
      <c r="M718" s="6">
        <f>T_SALES[[#This Row],[Profit]]/T_SALES[[#This Row],[Amount]]</f>
        <v>0.23523898781630739</v>
      </c>
    </row>
    <row r="719" spans="1:13" x14ac:dyDescent="0.25">
      <c r="A719" s="1" t="s">
        <v>762</v>
      </c>
      <c r="B719" s="7">
        <v>3839</v>
      </c>
      <c r="C719" s="8">
        <v>1415</v>
      </c>
      <c r="D719">
        <v>10</v>
      </c>
      <c r="E719" s="1" t="s">
        <v>27</v>
      </c>
      <c r="F719" s="1" t="s">
        <v>67</v>
      </c>
      <c r="G719" s="1" t="s">
        <v>15</v>
      </c>
      <c r="H719" s="2">
        <v>45216</v>
      </c>
      <c r="I719" s="1" t="s">
        <v>763</v>
      </c>
      <c r="J719" s="1" t="s">
        <v>37</v>
      </c>
      <c r="K719" s="1" t="s">
        <v>38</v>
      </c>
      <c r="L719" s="2">
        <v>45200</v>
      </c>
      <c r="M719" s="6">
        <f>T_SALES[[#This Row],[Profit]]/T_SALES[[#This Row],[Amount]]</f>
        <v>0.36858556915863505</v>
      </c>
    </row>
    <row r="720" spans="1:13" x14ac:dyDescent="0.25">
      <c r="A720" s="1" t="s">
        <v>762</v>
      </c>
      <c r="B720" s="7">
        <v>3839</v>
      </c>
      <c r="C720" s="8">
        <v>1415</v>
      </c>
      <c r="D720">
        <v>10</v>
      </c>
      <c r="E720" s="1" t="s">
        <v>27</v>
      </c>
      <c r="F720" s="1" t="s">
        <v>67</v>
      </c>
      <c r="G720" s="1" t="s">
        <v>15</v>
      </c>
      <c r="H720" s="2">
        <v>44620</v>
      </c>
      <c r="I720" s="1" t="s">
        <v>764</v>
      </c>
      <c r="J720" s="1" t="s">
        <v>17</v>
      </c>
      <c r="K720" s="1" t="s">
        <v>31</v>
      </c>
      <c r="L720" s="2">
        <v>44593</v>
      </c>
      <c r="M720" s="6">
        <f>T_SALES[[#This Row],[Profit]]/T_SALES[[#This Row],[Amount]]</f>
        <v>0.36858556915863505</v>
      </c>
    </row>
    <row r="721" spans="1:13" x14ac:dyDescent="0.25">
      <c r="A721" s="1" t="s">
        <v>765</v>
      </c>
      <c r="B721" s="7">
        <v>2858</v>
      </c>
      <c r="C721" s="8">
        <v>482</v>
      </c>
      <c r="D721">
        <v>13</v>
      </c>
      <c r="E721" s="1" t="s">
        <v>13</v>
      </c>
      <c r="F721" s="1" t="s">
        <v>14</v>
      </c>
      <c r="G721" s="1" t="s">
        <v>56</v>
      </c>
      <c r="H721" s="2">
        <v>45436</v>
      </c>
      <c r="I721" s="1" t="s">
        <v>766</v>
      </c>
      <c r="J721" s="1" t="s">
        <v>62</v>
      </c>
      <c r="K721" s="1" t="s">
        <v>74</v>
      </c>
      <c r="L721" s="2">
        <v>45413</v>
      </c>
      <c r="M721" s="6">
        <f>T_SALES[[#This Row],[Profit]]/T_SALES[[#This Row],[Amount]]</f>
        <v>0.16864940517844645</v>
      </c>
    </row>
    <row r="722" spans="1:13" x14ac:dyDescent="0.25">
      <c r="A722" s="1" t="s">
        <v>767</v>
      </c>
      <c r="B722" s="7">
        <v>2137</v>
      </c>
      <c r="C722" s="8">
        <v>638</v>
      </c>
      <c r="D722">
        <v>12</v>
      </c>
      <c r="E722" s="1" t="s">
        <v>39</v>
      </c>
      <c r="F722" s="1" t="s">
        <v>90</v>
      </c>
      <c r="G722" s="1" t="s">
        <v>29</v>
      </c>
      <c r="H722" s="2">
        <v>44106</v>
      </c>
      <c r="I722" s="1" t="s">
        <v>768</v>
      </c>
      <c r="J722" s="1" t="s">
        <v>23</v>
      </c>
      <c r="K722" s="1" t="s">
        <v>45</v>
      </c>
      <c r="L722" s="2">
        <v>44105</v>
      </c>
      <c r="M722" s="6">
        <f>T_SALES[[#This Row],[Profit]]/T_SALES[[#This Row],[Amount]]</f>
        <v>0.29854936827328032</v>
      </c>
    </row>
    <row r="723" spans="1:13" x14ac:dyDescent="0.25">
      <c r="A723" s="1" t="s">
        <v>767</v>
      </c>
      <c r="B723" s="7">
        <v>2831</v>
      </c>
      <c r="C723" s="8">
        <v>1289</v>
      </c>
      <c r="D723">
        <v>12</v>
      </c>
      <c r="E723" s="1" t="s">
        <v>39</v>
      </c>
      <c r="F723" s="1" t="s">
        <v>43</v>
      </c>
      <c r="G723" s="1" t="s">
        <v>29</v>
      </c>
      <c r="H723" s="2">
        <v>44106</v>
      </c>
      <c r="I723" s="1" t="s">
        <v>768</v>
      </c>
      <c r="J723" s="1" t="s">
        <v>23</v>
      </c>
      <c r="K723" s="1" t="s">
        <v>45</v>
      </c>
      <c r="L723" s="2">
        <v>44105</v>
      </c>
      <c r="M723" s="6">
        <f>T_SALES[[#This Row],[Profit]]/T_SALES[[#This Row],[Amount]]</f>
        <v>0.45531614270575771</v>
      </c>
    </row>
    <row r="724" spans="1:13" x14ac:dyDescent="0.25">
      <c r="A724" s="1" t="s">
        <v>769</v>
      </c>
      <c r="B724" s="7">
        <v>3913</v>
      </c>
      <c r="C724" s="8">
        <v>961</v>
      </c>
      <c r="D724">
        <v>15</v>
      </c>
      <c r="E724" s="1" t="s">
        <v>39</v>
      </c>
      <c r="F724" s="1" t="s">
        <v>51</v>
      </c>
      <c r="G724" s="1" t="s">
        <v>15</v>
      </c>
      <c r="H724" s="2">
        <v>45332</v>
      </c>
      <c r="I724" s="1" t="s">
        <v>770</v>
      </c>
      <c r="J724" s="1" t="s">
        <v>82</v>
      </c>
      <c r="K724" s="1" t="s">
        <v>83</v>
      </c>
      <c r="L724" s="2">
        <v>45323</v>
      </c>
      <c r="M724" s="6">
        <f>T_SALES[[#This Row],[Profit]]/T_SALES[[#This Row],[Amount]]</f>
        <v>0.24559161768464094</v>
      </c>
    </row>
    <row r="725" spans="1:13" x14ac:dyDescent="0.25">
      <c r="A725" s="1" t="s">
        <v>769</v>
      </c>
      <c r="B725" s="7">
        <v>3913</v>
      </c>
      <c r="C725" s="8">
        <v>961</v>
      </c>
      <c r="D725">
        <v>15</v>
      </c>
      <c r="E725" s="1" t="s">
        <v>39</v>
      </c>
      <c r="F725" s="1" t="s">
        <v>51</v>
      </c>
      <c r="G725" s="1" t="s">
        <v>15</v>
      </c>
      <c r="H725" s="2">
        <v>44233</v>
      </c>
      <c r="I725" s="1" t="s">
        <v>771</v>
      </c>
      <c r="J725" s="1" t="s">
        <v>37</v>
      </c>
      <c r="K725" s="1" t="s">
        <v>78</v>
      </c>
      <c r="L725" s="2">
        <v>44228</v>
      </c>
      <c r="M725" s="6">
        <f>T_SALES[[#This Row],[Profit]]/T_SALES[[#This Row],[Amount]]</f>
        <v>0.24559161768464094</v>
      </c>
    </row>
    <row r="726" spans="1:13" x14ac:dyDescent="0.25">
      <c r="A726" s="1" t="s">
        <v>772</v>
      </c>
      <c r="B726" s="7">
        <v>4468</v>
      </c>
      <c r="C726" s="8">
        <v>1940</v>
      </c>
      <c r="D726">
        <v>9</v>
      </c>
      <c r="E726" s="1" t="s">
        <v>27</v>
      </c>
      <c r="F726" s="1" t="s">
        <v>55</v>
      </c>
      <c r="G726" s="1" t="s">
        <v>56</v>
      </c>
      <c r="H726" s="2">
        <v>44636</v>
      </c>
      <c r="I726" s="1" t="s">
        <v>773</v>
      </c>
      <c r="J726" s="1" t="s">
        <v>17</v>
      </c>
      <c r="K726" s="1" t="s">
        <v>121</v>
      </c>
      <c r="L726" s="2">
        <v>44621</v>
      </c>
      <c r="M726" s="6">
        <f>T_SALES[[#This Row],[Profit]]/T_SALES[[#This Row],[Amount]]</f>
        <v>0.43419874664279318</v>
      </c>
    </row>
    <row r="727" spans="1:13" x14ac:dyDescent="0.25">
      <c r="A727" s="1" t="s">
        <v>774</v>
      </c>
      <c r="B727" s="7">
        <v>1579</v>
      </c>
      <c r="C727" s="8">
        <v>602</v>
      </c>
      <c r="D727">
        <v>9</v>
      </c>
      <c r="E727" s="1" t="s">
        <v>13</v>
      </c>
      <c r="F727" s="1" t="s">
        <v>34</v>
      </c>
      <c r="G727" s="1" t="s">
        <v>41</v>
      </c>
      <c r="H727" s="2">
        <v>43975</v>
      </c>
      <c r="I727" s="1" t="s">
        <v>775</v>
      </c>
      <c r="J727" s="1" t="s">
        <v>82</v>
      </c>
      <c r="K727" s="1" t="s">
        <v>89</v>
      </c>
      <c r="L727" s="2">
        <v>43952</v>
      </c>
      <c r="M727" s="6">
        <f>T_SALES[[#This Row],[Profit]]/T_SALES[[#This Row],[Amount]]</f>
        <v>0.38125395820139329</v>
      </c>
    </row>
    <row r="728" spans="1:13" x14ac:dyDescent="0.25">
      <c r="A728" s="1" t="s">
        <v>774</v>
      </c>
      <c r="B728" s="7">
        <v>1579</v>
      </c>
      <c r="C728" s="8">
        <v>602</v>
      </c>
      <c r="D728">
        <v>9</v>
      </c>
      <c r="E728" s="1" t="s">
        <v>13</v>
      </c>
      <c r="F728" s="1" t="s">
        <v>34</v>
      </c>
      <c r="G728" s="1" t="s">
        <v>41</v>
      </c>
      <c r="H728" s="2">
        <v>45704</v>
      </c>
      <c r="I728" s="1" t="s">
        <v>776</v>
      </c>
      <c r="J728" s="1" t="s">
        <v>62</v>
      </c>
      <c r="K728" s="1" t="s">
        <v>63</v>
      </c>
      <c r="L728" s="2">
        <v>45689</v>
      </c>
      <c r="M728" s="6">
        <f>T_SALES[[#This Row],[Profit]]/T_SALES[[#This Row],[Amount]]</f>
        <v>0.38125395820139329</v>
      </c>
    </row>
    <row r="729" spans="1:13" x14ac:dyDescent="0.25">
      <c r="A729" s="1" t="s">
        <v>774</v>
      </c>
      <c r="B729" s="7">
        <v>1579</v>
      </c>
      <c r="C729" s="8">
        <v>602</v>
      </c>
      <c r="D729">
        <v>9</v>
      </c>
      <c r="E729" s="1" t="s">
        <v>13</v>
      </c>
      <c r="F729" s="1" t="s">
        <v>34</v>
      </c>
      <c r="G729" s="1" t="s">
        <v>41</v>
      </c>
      <c r="H729" s="2">
        <v>44516</v>
      </c>
      <c r="I729" s="1" t="s">
        <v>777</v>
      </c>
      <c r="J729" s="1" t="s">
        <v>82</v>
      </c>
      <c r="K729" s="1" t="s">
        <v>89</v>
      </c>
      <c r="L729" s="2">
        <v>44501</v>
      </c>
      <c r="M729" s="6">
        <f>T_SALES[[#This Row],[Profit]]/T_SALES[[#This Row],[Amount]]</f>
        <v>0.38125395820139329</v>
      </c>
    </row>
    <row r="730" spans="1:13" x14ac:dyDescent="0.25">
      <c r="A730" s="1" t="s">
        <v>774</v>
      </c>
      <c r="B730" s="7">
        <v>1579</v>
      </c>
      <c r="C730" s="8">
        <v>602</v>
      </c>
      <c r="D730">
        <v>9</v>
      </c>
      <c r="E730" s="1" t="s">
        <v>13</v>
      </c>
      <c r="F730" s="1" t="s">
        <v>34</v>
      </c>
      <c r="G730" s="1" t="s">
        <v>41</v>
      </c>
      <c r="H730" s="2">
        <v>45543</v>
      </c>
      <c r="I730" s="1" t="s">
        <v>778</v>
      </c>
      <c r="J730" s="1" t="s">
        <v>23</v>
      </c>
      <c r="K730" s="1" t="s">
        <v>59</v>
      </c>
      <c r="L730" s="2">
        <v>45536</v>
      </c>
      <c r="M730" s="6">
        <f>T_SALES[[#This Row],[Profit]]/T_SALES[[#This Row],[Amount]]</f>
        <v>0.38125395820139329</v>
      </c>
    </row>
    <row r="731" spans="1:13" x14ac:dyDescent="0.25">
      <c r="A731" s="1" t="s">
        <v>774</v>
      </c>
      <c r="B731" s="7">
        <v>3760</v>
      </c>
      <c r="C731" s="8">
        <v>1849</v>
      </c>
      <c r="D731">
        <v>19</v>
      </c>
      <c r="E731" s="1" t="s">
        <v>39</v>
      </c>
      <c r="F731" s="1" t="s">
        <v>43</v>
      </c>
      <c r="G731" s="1" t="s">
        <v>35</v>
      </c>
      <c r="H731" s="2">
        <v>43975</v>
      </c>
      <c r="I731" s="1" t="s">
        <v>775</v>
      </c>
      <c r="J731" s="1" t="s">
        <v>82</v>
      </c>
      <c r="K731" s="1" t="s">
        <v>89</v>
      </c>
      <c r="L731" s="2">
        <v>43952</v>
      </c>
      <c r="M731" s="6">
        <f>T_SALES[[#This Row],[Profit]]/T_SALES[[#This Row],[Amount]]</f>
        <v>0.49175531914893617</v>
      </c>
    </row>
    <row r="732" spans="1:13" x14ac:dyDescent="0.25">
      <c r="A732" s="1" t="s">
        <v>774</v>
      </c>
      <c r="B732" s="7">
        <v>3760</v>
      </c>
      <c r="C732" s="8">
        <v>1849</v>
      </c>
      <c r="D732">
        <v>19</v>
      </c>
      <c r="E732" s="1" t="s">
        <v>39</v>
      </c>
      <c r="F732" s="1" t="s">
        <v>43</v>
      </c>
      <c r="G732" s="1" t="s">
        <v>35</v>
      </c>
      <c r="H732" s="2">
        <v>45704</v>
      </c>
      <c r="I732" s="1" t="s">
        <v>776</v>
      </c>
      <c r="J732" s="1" t="s">
        <v>62</v>
      </c>
      <c r="K732" s="1" t="s">
        <v>63</v>
      </c>
      <c r="L732" s="2">
        <v>45689</v>
      </c>
      <c r="M732" s="6">
        <f>T_SALES[[#This Row],[Profit]]/T_SALES[[#This Row],[Amount]]</f>
        <v>0.49175531914893617</v>
      </c>
    </row>
    <row r="733" spans="1:13" x14ac:dyDescent="0.25">
      <c r="A733" s="1" t="s">
        <v>774</v>
      </c>
      <c r="B733" s="7">
        <v>3760</v>
      </c>
      <c r="C733" s="8">
        <v>1849</v>
      </c>
      <c r="D733">
        <v>19</v>
      </c>
      <c r="E733" s="1" t="s">
        <v>39</v>
      </c>
      <c r="F733" s="1" t="s">
        <v>43</v>
      </c>
      <c r="G733" s="1" t="s">
        <v>35</v>
      </c>
      <c r="H733" s="2">
        <v>44516</v>
      </c>
      <c r="I733" s="1" t="s">
        <v>777</v>
      </c>
      <c r="J733" s="1" t="s">
        <v>82</v>
      </c>
      <c r="K733" s="1" t="s">
        <v>89</v>
      </c>
      <c r="L733" s="2">
        <v>44501</v>
      </c>
      <c r="M733" s="6">
        <f>T_SALES[[#This Row],[Profit]]/T_SALES[[#This Row],[Amount]]</f>
        <v>0.49175531914893617</v>
      </c>
    </row>
    <row r="734" spans="1:13" x14ac:dyDescent="0.25">
      <c r="A734" s="1" t="s">
        <v>774</v>
      </c>
      <c r="B734" s="7">
        <v>3760</v>
      </c>
      <c r="C734" s="8">
        <v>1849</v>
      </c>
      <c r="D734">
        <v>19</v>
      </c>
      <c r="E734" s="1" t="s">
        <v>39</v>
      </c>
      <c r="F734" s="1" t="s">
        <v>43</v>
      </c>
      <c r="G734" s="1" t="s">
        <v>35</v>
      </c>
      <c r="H734" s="2">
        <v>45543</v>
      </c>
      <c r="I734" s="1" t="s">
        <v>778</v>
      </c>
      <c r="J734" s="1" t="s">
        <v>23</v>
      </c>
      <c r="K734" s="1" t="s">
        <v>59</v>
      </c>
      <c r="L734" s="2">
        <v>45536</v>
      </c>
      <c r="M734" s="6">
        <f>T_SALES[[#This Row],[Profit]]/T_SALES[[#This Row],[Amount]]</f>
        <v>0.49175531914893617</v>
      </c>
    </row>
    <row r="735" spans="1:13" x14ac:dyDescent="0.25">
      <c r="A735" s="1" t="s">
        <v>779</v>
      </c>
      <c r="B735" s="7">
        <v>8706</v>
      </c>
      <c r="C735" s="8">
        <v>3099</v>
      </c>
      <c r="D735">
        <v>14</v>
      </c>
      <c r="E735" s="1" t="s">
        <v>27</v>
      </c>
      <c r="F735" s="1" t="s">
        <v>28</v>
      </c>
      <c r="G735" s="1" t="s">
        <v>41</v>
      </c>
      <c r="H735" s="2">
        <v>44741</v>
      </c>
      <c r="I735" s="1" t="s">
        <v>780</v>
      </c>
      <c r="J735" s="1" t="s">
        <v>20</v>
      </c>
      <c r="K735" s="1" t="s">
        <v>21</v>
      </c>
      <c r="L735" s="2">
        <v>44713</v>
      </c>
      <c r="M735" s="6">
        <f>T_SALES[[#This Row],[Profit]]/T_SALES[[#This Row],[Amount]]</f>
        <v>0.35596140592694692</v>
      </c>
    </row>
    <row r="736" spans="1:13" x14ac:dyDescent="0.25">
      <c r="A736" s="1" t="s">
        <v>779</v>
      </c>
      <c r="B736" s="7">
        <v>4708</v>
      </c>
      <c r="C736" s="8">
        <v>696</v>
      </c>
      <c r="D736">
        <v>14</v>
      </c>
      <c r="E736" s="1" t="s">
        <v>13</v>
      </c>
      <c r="F736" s="1" t="s">
        <v>14</v>
      </c>
      <c r="G736" s="1" t="s">
        <v>41</v>
      </c>
      <c r="H736" s="2">
        <v>44741</v>
      </c>
      <c r="I736" s="1" t="s">
        <v>780</v>
      </c>
      <c r="J736" s="1" t="s">
        <v>20</v>
      </c>
      <c r="K736" s="1" t="s">
        <v>21</v>
      </c>
      <c r="L736" s="2">
        <v>44713</v>
      </c>
      <c r="M736" s="6">
        <f>T_SALES[[#This Row],[Profit]]/T_SALES[[#This Row],[Amount]]</f>
        <v>0.14783347493627869</v>
      </c>
    </row>
    <row r="737" spans="1:13" x14ac:dyDescent="0.25">
      <c r="A737" s="1" t="s">
        <v>779</v>
      </c>
      <c r="B737" s="7">
        <v>8089</v>
      </c>
      <c r="C737" s="8">
        <v>3132</v>
      </c>
      <c r="D737">
        <v>17</v>
      </c>
      <c r="E737" s="1" t="s">
        <v>39</v>
      </c>
      <c r="F737" s="1" t="s">
        <v>43</v>
      </c>
      <c r="G737" s="1" t="s">
        <v>56</v>
      </c>
      <c r="H737" s="2">
        <v>44741</v>
      </c>
      <c r="I737" s="1" t="s">
        <v>780</v>
      </c>
      <c r="J737" s="1" t="s">
        <v>20</v>
      </c>
      <c r="K737" s="1" t="s">
        <v>21</v>
      </c>
      <c r="L737" s="2">
        <v>44713</v>
      </c>
      <c r="M737" s="6">
        <f>T_SALES[[#This Row],[Profit]]/T_SALES[[#This Row],[Amount]]</f>
        <v>0.38719248361973052</v>
      </c>
    </row>
    <row r="738" spans="1:13" x14ac:dyDescent="0.25">
      <c r="A738" s="1" t="s">
        <v>781</v>
      </c>
      <c r="B738" s="7">
        <v>5462</v>
      </c>
      <c r="C738" s="8">
        <v>673</v>
      </c>
      <c r="D738">
        <v>12</v>
      </c>
      <c r="E738" s="1" t="s">
        <v>13</v>
      </c>
      <c r="F738" s="1" t="s">
        <v>25</v>
      </c>
      <c r="G738" s="1" t="s">
        <v>29</v>
      </c>
      <c r="H738" s="2">
        <v>44868</v>
      </c>
      <c r="I738" s="1" t="s">
        <v>782</v>
      </c>
      <c r="J738" s="1" t="s">
        <v>62</v>
      </c>
      <c r="K738" s="1" t="s">
        <v>74</v>
      </c>
      <c r="L738" s="2">
        <v>44866</v>
      </c>
      <c r="M738" s="6">
        <f>T_SALES[[#This Row],[Profit]]/T_SALES[[#This Row],[Amount]]</f>
        <v>0.12321493958257049</v>
      </c>
    </row>
    <row r="739" spans="1:13" x14ac:dyDescent="0.25">
      <c r="A739" s="1" t="s">
        <v>783</v>
      </c>
      <c r="B739" s="7">
        <v>6392</v>
      </c>
      <c r="C739" s="8">
        <v>444</v>
      </c>
      <c r="D739">
        <v>18</v>
      </c>
      <c r="E739" s="1" t="s">
        <v>13</v>
      </c>
      <c r="F739" s="1" t="s">
        <v>14</v>
      </c>
      <c r="G739" s="1" t="s">
        <v>41</v>
      </c>
      <c r="H739" s="2">
        <v>45258</v>
      </c>
      <c r="I739" s="1" t="s">
        <v>784</v>
      </c>
      <c r="J739" s="1" t="s">
        <v>17</v>
      </c>
      <c r="K739" s="1" t="s">
        <v>121</v>
      </c>
      <c r="L739" s="2">
        <v>45231</v>
      </c>
      <c r="M739" s="6">
        <f>T_SALES[[#This Row],[Profit]]/T_SALES[[#This Row],[Amount]]</f>
        <v>6.9461827284105132E-2</v>
      </c>
    </row>
    <row r="740" spans="1:13" x14ac:dyDescent="0.25">
      <c r="A740" s="1" t="s">
        <v>785</v>
      </c>
      <c r="B740" s="7">
        <v>8706</v>
      </c>
      <c r="C740" s="8">
        <v>1724</v>
      </c>
      <c r="D740">
        <v>3</v>
      </c>
      <c r="E740" s="1" t="s">
        <v>13</v>
      </c>
      <c r="F740" s="1" t="s">
        <v>14</v>
      </c>
      <c r="G740" s="1" t="s">
        <v>29</v>
      </c>
      <c r="H740" s="2">
        <v>43946</v>
      </c>
      <c r="I740" s="1" t="s">
        <v>786</v>
      </c>
      <c r="J740" s="1" t="s">
        <v>17</v>
      </c>
      <c r="K740" s="1" t="s">
        <v>31</v>
      </c>
      <c r="L740" s="2">
        <v>43922</v>
      </c>
      <c r="M740" s="6">
        <f>T_SALES[[#This Row],[Profit]]/T_SALES[[#This Row],[Amount]]</f>
        <v>0.1980243510222835</v>
      </c>
    </row>
    <row r="741" spans="1:13" x14ac:dyDescent="0.25">
      <c r="A741" s="1" t="s">
        <v>787</v>
      </c>
      <c r="B741" s="7">
        <v>2349</v>
      </c>
      <c r="C741" s="8">
        <v>319</v>
      </c>
      <c r="D741">
        <v>4</v>
      </c>
      <c r="E741" s="1" t="s">
        <v>27</v>
      </c>
      <c r="F741" s="1" t="s">
        <v>28</v>
      </c>
      <c r="G741" s="1" t="s">
        <v>15</v>
      </c>
      <c r="H741" s="2">
        <v>44579</v>
      </c>
      <c r="I741" s="1" t="s">
        <v>788</v>
      </c>
      <c r="J741" s="1" t="s">
        <v>17</v>
      </c>
      <c r="K741" s="1" t="s">
        <v>18</v>
      </c>
      <c r="L741" s="2">
        <v>44562</v>
      </c>
      <c r="M741" s="6">
        <f>T_SALES[[#This Row],[Profit]]/T_SALES[[#This Row],[Amount]]</f>
        <v>0.13580246913580246</v>
      </c>
    </row>
    <row r="742" spans="1:13" x14ac:dyDescent="0.25">
      <c r="A742" s="1" t="s">
        <v>787</v>
      </c>
      <c r="B742" s="7">
        <v>8220</v>
      </c>
      <c r="C742" s="8">
        <v>3882</v>
      </c>
      <c r="D742">
        <v>14</v>
      </c>
      <c r="E742" s="1" t="s">
        <v>39</v>
      </c>
      <c r="F742" s="1" t="s">
        <v>43</v>
      </c>
      <c r="G742" s="1" t="s">
        <v>15</v>
      </c>
      <c r="H742" s="2">
        <v>44579</v>
      </c>
      <c r="I742" s="1" t="s">
        <v>788</v>
      </c>
      <c r="J742" s="1" t="s">
        <v>17</v>
      </c>
      <c r="K742" s="1" t="s">
        <v>18</v>
      </c>
      <c r="L742" s="2">
        <v>44562</v>
      </c>
      <c r="M742" s="6">
        <f>T_SALES[[#This Row],[Profit]]/T_SALES[[#This Row],[Amount]]</f>
        <v>0.47226277372262776</v>
      </c>
    </row>
    <row r="743" spans="1:13" x14ac:dyDescent="0.25">
      <c r="A743" s="1" t="s">
        <v>787</v>
      </c>
      <c r="B743" s="7">
        <v>2379</v>
      </c>
      <c r="C743" s="8">
        <v>279</v>
      </c>
      <c r="D743">
        <v>7</v>
      </c>
      <c r="E743" s="1" t="s">
        <v>39</v>
      </c>
      <c r="F743" s="1" t="s">
        <v>43</v>
      </c>
      <c r="G743" s="1" t="s">
        <v>29</v>
      </c>
      <c r="H743" s="2">
        <v>44579</v>
      </c>
      <c r="I743" s="1" t="s">
        <v>788</v>
      </c>
      <c r="J743" s="1" t="s">
        <v>17</v>
      </c>
      <c r="K743" s="1" t="s">
        <v>18</v>
      </c>
      <c r="L743" s="2">
        <v>44562</v>
      </c>
      <c r="M743" s="6">
        <f>T_SALES[[#This Row],[Profit]]/T_SALES[[#This Row],[Amount]]</f>
        <v>0.11727616645649433</v>
      </c>
    </row>
    <row r="744" spans="1:13" x14ac:dyDescent="0.25">
      <c r="A744" s="1" t="s">
        <v>787</v>
      </c>
      <c r="B744" s="7">
        <v>7377</v>
      </c>
      <c r="C744" s="8">
        <v>2049</v>
      </c>
      <c r="D744">
        <v>4</v>
      </c>
      <c r="E744" s="1" t="s">
        <v>27</v>
      </c>
      <c r="F744" s="1" t="s">
        <v>49</v>
      </c>
      <c r="G744" s="1" t="s">
        <v>15</v>
      </c>
      <c r="H744" s="2">
        <v>44579</v>
      </c>
      <c r="I744" s="1" t="s">
        <v>788</v>
      </c>
      <c r="J744" s="1" t="s">
        <v>17</v>
      </c>
      <c r="K744" s="1" t="s">
        <v>18</v>
      </c>
      <c r="L744" s="2">
        <v>44562</v>
      </c>
      <c r="M744" s="6">
        <f>T_SALES[[#This Row],[Profit]]/T_SALES[[#This Row],[Amount]]</f>
        <v>0.27775518503456692</v>
      </c>
    </row>
    <row r="745" spans="1:13" x14ac:dyDescent="0.25">
      <c r="A745" s="1" t="s">
        <v>789</v>
      </c>
      <c r="B745" s="7">
        <v>717</v>
      </c>
      <c r="C745" s="8">
        <v>158</v>
      </c>
      <c r="D745">
        <v>16</v>
      </c>
      <c r="E745" s="1" t="s">
        <v>39</v>
      </c>
      <c r="F745" s="1" t="s">
        <v>40</v>
      </c>
      <c r="G745" s="1" t="s">
        <v>41</v>
      </c>
      <c r="H745" s="2">
        <v>44643</v>
      </c>
      <c r="I745" s="1" t="s">
        <v>790</v>
      </c>
      <c r="J745" s="1" t="s">
        <v>82</v>
      </c>
      <c r="K745" s="1" t="s">
        <v>97</v>
      </c>
      <c r="L745" s="2">
        <v>44621</v>
      </c>
      <c r="M745" s="6">
        <f>T_SALES[[#This Row],[Profit]]/T_SALES[[#This Row],[Amount]]</f>
        <v>0.2203626220362622</v>
      </c>
    </row>
    <row r="746" spans="1:13" x14ac:dyDescent="0.25">
      <c r="A746" s="1" t="s">
        <v>789</v>
      </c>
      <c r="B746" s="7">
        <v>717</v>
      </c>
      <c r="C746" s="8">
        <v>158</v>
      </c>
      <c r="D746">
        <v>16</v>
      </c>
      <c r="E746" s="1" t="s">
        <v>39</v>
      </c>
      <c r="F746" s="1" t="s">
        <v>40</v>
      </c>
      <c r="G746" s="1" t="s">
        <v>41</v>
      </c>
      <c r="H746" s="2">
        <v>44006</v>
      </c>
      <c r="I746" s="1" t="s">
        <v>791</v>
      </c>
      <c r="J746" s="1" t="s">
        <v>17</v>
      </c>
      <c r="K746" s="1" t="s">
        <v>18</v>
      </c>
      <c r="L746" s="2">
        <v>43983</v>
      </c>
      <c r="M746" s="6">
        <f>T_SALES[[#This Row],[Profit]]/T_SALES[[#This Row],[Amount]]</f>
        <v>0.2203626220362622</v>
      </c>
    </row>
    <row r="747" spans="1:13" x14ac:dyDescent="0.25">
      <c r="A747" s="1" t="s">
        <v>789</v>
      </c>
      <c r="B747" s="7">
        <v>717</v>
      </c>
      <c r="C747" s="8">
        <v>158</v>
      </c>
      <c r="D747">
        <v>16</v>
      </c>
      <c r="E747" s="1" t="s">
        <v>39</v>
      </c>
      <c r="F747" s="1" t="s">
        <v>40</v>
      </c>
      <c r="G747" s="1" t="s">
        <v>41</v>
      </c>
      <c r="H747" s="2">
        <v>44918</v>
      </c>
      <c r="I747" s="1" t="s">
        <v>792</v>
      </c>
      <c r="J747" s="1" t="s">
        <v>23</v>
      </c>
      <c r="K747" s="1" t="s">
        <v>24</v>
      </c>
      <c r="L747" s="2">
        <v>44896</v>
      </c>
      <c r="M747" s="6">
        <f>T_SALES[[#This Row],[Profit]]/T_SALES[[#This Row],[Amount]]</f>
        <v>0.2203626220362622</v>
      </c>
    </row>
    <row r="748" spans="1:13" x14ac:dyDescent="0.25">
      <c r="A748" s="1" t="s">
        <v>789</v>
      </c>
      <c r="B748" s="7">
        <v>717</v>
      </c>
      <c r="C748" s="8">
        <v>158</v>
      </c>
      <c r="D748">
        <v>16</v>
      </c>
      <c r="E748" s="1" t="s">
        <v>39</v>
      </c>
      <c r="F748" s="1" t="s">
        <v>40</v>
      </c>
      <c r="G748" s="1" t="s">
        <v>41</v>
      </c>
      <c r="H748" s="2">
        <v>45620</v>
      </c>
      <c r="I748" s="1" t="s">
        <v>793</v>
      </c>
      <c r="J748" s="1" t="s">
        <v>23</v>
      </c>
      <c r="K748" s="1" t="s">
        <v>45</v>
      </c>
      <c r="L748" s="2">
        <v>45597</v>
      </c>
      <c r="M748" s="6">
        <f>T_SALES[[#This Row],[Profit]]/T_SALES[[#This Row],[Amount]]</f>
        <v>0.2203626220362622</v>
      </c>
    </row>
    <row r="749" spans="1:13" x14ac:dyDescent="0.25">
      <c r="A749" s="1" t="s">
        <v>789</v>
      </c>
      <c r="B749" s="7">
        <v>717</v>
      </c>
      <c r="C749" s="8">
        <v>158</v>
      </c>
      <c r="D749">
        <v>16</v>
      </c>
      <c r="E749" s="1" t="s">
        <v>39</v>
      </c>
      <c r="F749" s="1" t="s">
        <v>40</v>
      </c>
      <c r="G749" s="1" t="s">
        <v>41</v>
      </c>
      <c r="H749" s="2">
        <v>44141</v>
      </c>
      <c r="I749" s="1" t="s">
        <v>794</v>
      </c>
      <c r="J749" s="1" t="s">
        <v>17</v>
      </c>
      <c r="K749" s="1" t="s">
        <v>31</v>
      </c>
      <c r="L749" s="2">
        <v>44136</v>
      </c>
      <c r="M749" s="6">
        <f>T_SALES[[#This Row],[Profit]]/T_SALES[[#This Row],[Amount]]</f>
        <v>0.2203626220362622</v>
      </c>
    </row>
    <row r="750" spans="1:13" x14ac:dyDescent="0.25">
      <c r="A750" s="1" t="s">
        <v>789</v>
      </c>
      <c r="B750" s="7">
        <v>717</v>
      </c>
      <c r="C750" s="8">
        <v>158</v>
      </c>
      <c r="D750">
        <v>16</v>
      </c>
      <c r="E750" s="1" t="s">
        <v>39</v>
      </c>
      <c r="F750" s="1" t="s">
        <v>40</v>
      </c>
      <c r="G750" s="1" t="s">
        <v>41</v>
      </c>
      <c r="H750" s="2">
        <v>45223</v>
      </c>
      <c r="I750" s="1" t="s">
        <v>795</v>
      </c>
      <c r="J750" s="1" t="s">
        <v>23</v>
      </c>
      <c r="K750" s="1" t="s">
        <v>59</v>
      </c>
      <c r="L750" s="2">
        <v>45200</v>
      </c>
      <c r="M750" s="6">
        <f>T_SALES[[#This Row],[Profit]]/T_SALES[[#This Row],[Amount]]</f>
        <v>0.2203626220362622</v>
      </c>
    </row>
    <row r="751" spans="1:13" x14ac:dyDescent="0.25">
      <c r="A751" s="1" t="s">
        <v>789</v>
      </c>
      <c r="B751" s="7">
        <v>508</v>
      </c>
      <c r="C751" s="8">
        <v>177</v>
      </c>
      <c r="D751">
        <v>17</v>
      </c>
      <c r="E751" s="1" t="s">
        <v>39</v>
      </c>
      <c r="F751" s="1" t="s">
        <v>51</v>
      </c>
      <c r="G751" s="1" t="s">
        <v>15</v>
      </c>
      <c r="H751" s="2">
        <v>44643</v>
      </c>
      <c r="I751" s="1" t="s">
        <v>790</v>
      </c>
      <c r="J751" s="1" t="s">
        <v>82</v>
      </c>
      <c r="K751" s="1" t="s">
        <v>97</v>
      </c>
      <c r="L751" s="2">
        <v>44621</v>
      </c>
      <c r="M751" s="6">
        <f>T_SALES[[#This Row],[Profit]]/T_SALES[[#This Row],[Amount]]</f>
        <v>0.34842519685039369</v>
      </c>
    </row>
    <row r="752" spans="1:13" x14ac:dyDescent="0.25">
      <c r="A752" s="1" t="s">
        <v>789</v>
      </c>
      <c r="B752" s="7">
        <v>508</v>
      </c>
      <c r="C752" s="8">
        <v>177</v>
      </c>
      <c r="D752">
        <v>17</v>
      </c>
      <c r="E752" s="1" t="s">
        <v>39</v>
      </c>
      <c r="F752" s="1" t="s">
        <v>51</v>
      </c>
      <c r="G752" s="1" t="s">
        <v>15</v>
      </c>
      <c r="H752" s="2">
        <v>44006</v>
      </c>
      <c r="I752" s="1" t="s">
        <v>791</v>
      </c>
      <c r="J752" s="1" t="s">
        <v>17</v>
      </c>
      <c r="K752" s="1" t="s">
        <v>18</v>
      </c>
      <c r="L752" s="2">
        <v>43983</v>
      </c>
      <c r="M752" s="6">
        <f>T_SALES[[#This Row],[Profit]]/T_SALES[[#This Row],[Amount]]</f>
        <v>0.34842519685039369</v>
      </c>
    </row>
    <row r="753" spans="1:13" x14ac:dyDescent="0.25">
      <c r="A753" s="1" t="s">
        <v>789</v>
      </c>
      <c r="B753" s="7">
        <v>508</v>
      </c>
      <c r="C753" s="8">
        <v>177</v>
      </c>
      <c r="D753">
        <v>17</v>
      </c>
      <c r="E753" s="1" t="s">
        <v>39</v>
      </c>
      <c r="F753" s="1" t="s">
        <v>51</v>
      </c>
      <c r="G753" s="1" t="s">
        <v>15</v>
      </c>
      <c r="H753" s="2">
        <v>44918</v>
      </c>
      <c r="I753" s="1" t="s">
        <v>792</v>
      </c>
      <c r="J753" s="1" t="s">
        <v>23</v>
      </c>
      <c r="K753" s="1" t="s">
        <v>24</v>
      </c>
      <c r="L753" s="2">
        <v>44896</v>
      </c>
      <c r="M753" s="6">
        <f>T_SALES[[#This Row],[Profit]]/T_SALES[[#This Row],[Amount]]</f>
        <v>0.34842519685039369</v>
      </c>
    </row>
    <row r="754" spans="1:13" x14ac:dyDescent="0.25">
      <c r="A754" s="1" t="s">
        <v>789</v>
      </c>
      <c r="B754" s="7">
        <v>508</v>
      </c>
      <c r="C754" s="8">
        <v>177</v>
      </c>
      <c r="D754">
        <v>17</v>
      </c>
      <c r="E754" s="1" t="s">
        <v>39</v>
      </c>
      <c r="F754" s="1" t="s">
        <v>51</v>
      </c>
      <c r="G754" s="1" t="s">
        <v>15</v>
      </c>
      <c r="H754" s="2">
        <v>45620</v>
      </c>
      <c r="I754" s="1" t="s">
        <v>793</v>
      </c>
      <c r="J754" s="1" t="s">
        <v>23</v>
      </c>
      <c r="K754" s="1" t="s">
        <v>45</v>
      </c>
      <c r="L754" s="2">
        <v>45597</v>
      </c>
      <c r="M754" s="6">
        <f>T_SALES[[#This Row],[Profit]]/T_SALES[[#This Row],[Amount]]</f>
        <v>0.34842519685039369</v>
      </c>
    </row>
    <row r="755" spans="1:13" x14ac:dyDescent="0.25">
      <c r="A755" s="1" t="s">
        <v>789</v>
      </c>
      <c r="B755" s="7">
        <v>508</v>
      </c>
      <c r="C755" s="8">
        <v>177</v>
      </c>
      <c r="D755">
        <v>17</v>
      </c>
      <c r="E755" s="1" t="s">
        <v>39</v>
      </c>
      <c r="F755" s="1" t="s">
        <v>51</v>
      </c>
      <c r="G755" s="1" t="s">
        <v>15</v>
      </c>
      <c r="H755" s="2">
        <v>44141</v>
      </c>
      <c r="I755" s="1" t="s">
        <v>794</v>
      </c>
      <c r="J755" s="1" t="s">
        <v>17</v>
      </c>
      <c r="K755" s="1" t="s">
        <v>31</v>
      </c>
      <c r="L755" s="2">
        <v>44136</v>
      </c>
      <c r="M755" s="6">
        <f>T_SALES[[#This Row],[Profit]]/T_SALES[[#This Row],[Amount]]</f>
        <v>0.34842519685039369</v>
      </c>
    </row>
    <row r="756" spans="1:13" x14ac:dyDescent="0.25">
      <c r="A756" s="1" t="s">
        <v>789</v>
      </c>
      <c r="B756" s="7">
        <v>508</v>
      </c>
      <c r="C756" s="8">
        <v>177</v>
      </c>
      <c r="D756">
        <v>17</v>
      </c>
      <c r="E756" s="1" t="s">
        <v>39</v>
      </c>
      <c r="F756" s="1" t="s">
        <v>51</v>
      </c>
      <c r="G756" s="1" t="s">
        <v>15</v>
      </c>
      <c r="H756" s="2">
        <v>45223</v>
      </c>
      <c r="I756" s="1" t="s">
        <v>795</v>
      </c>
      <c r="J756" s="1" t="s">
        <v>23</v>
      </c>
      <c r="K756" s="1" t="s">
        <v>59</v>
      </c>
      <c r="L756" s="2">
        <v>45200</v>
      </c>
      <c r="M756" s="6">
        <f>T_SALES[[#This Row],[Profit]]/T_SALES[[#This Row],[Amount]]</f>
        <v>0.34842519685039369</v>
      </c>
    </row>
    <row r="757" spans="1:13" x14ac:dyDescent="0.25">
      <c r="A757" s="1" t="s">
        <v>796</v>
      </c>
      <c r="B757" s="7">
        <v>9382</v>
      </c>
      <c r="C757" s="8">
        <v>1085</v>
      </c>
      <c r="D757">
        <v>3</v>
      </c>
      <c r="E757" s="1" t="s">
        <v>13</v>
      </c>
      <c r="F757" s="1" t="s">
        <v>25</v>
      </c>
      <c r="G757" s="1" t="s">
        <v>29</v>
      </c>
      <c r="H757" s="2">
        <v>45125</v>
      </c>
      <c r="I757" s="1" t="s">
        <v>797</v>
      </c>
      <c r="J757" s="1" t="s">
        <v>20</v>
      </c>
      <c r="K757" s="1" t="s">
        <v>21</v>
      </c>
      <c r="L757" s="2">
        <v>45108</v>
      </c>
      <c r="M757" s="6">
        <f>T_SALES[[#This Row],[Profit]]/T_SALES[[#This Row],[Amount]]</f>
        <v>0.11564698358558943</v>
      </c>
    </row>
    <row r="758" spans="1:13" x14ac:dyDescent="0.25">
      <c r="A758" s="1" t="s">
        <v>796</v>
      </c>
      <c r="B758" s="7">
        <v>9382</v>
      </c>
      <c r="C758" s="8">
        <v>1085</v>
      </c>
      <c r="D758">
        <v>3</v>
      </c>
      <c r="E758" s="1" t="s">
        <v>13</v>
      </c>
      <c r="F758" s="1" t="s">
        <v>25</v>
      </c>
      <c r="G758" s="1" t="s">
        <v>29</v>
      </c>
      <c r="H758" s="2">
        <v>44697</v>
      </c>
      <c r="I758" s="1" t="s">
        <v>798</v>
      </c>
      <c r="J758" s="1" t="s">
        <v>23</v>
      </c>
      <c r="K758" s="1" t="s">
        <v>59</v>
      </c>
      <c r="L758" s="2">
        <v>44682</v>
      </c>
      <c r="M758" s="6">
        <f>T_SALES[[#This Row],[Profit]]/T_SALES[[#This Row],[Amount]]</f>
        <v>0.11564698358558943</v>
      </c>
    </row>
    <row r="759" spans="1:13" x14ac:dyDescent="0.25">
      <c r="A759" s="1" t="s">
        <v>796</v>
      </c>
      <c r="B759" s="7">
        <v>4936</v>
      </c>
      <c r="C759" s="8">
        <v>576</v>
      </c>
      <c r="D759">
        <v>19</v>
      </c>
      <c r="E759" s="1" t="s">
        <v>39</v>
      </c>
      <c r="F759" s="1" t="s">
        <v>40</v>
      </c>
      <c r="G759" s="1" t="s">
        <v>56</v>
      </c>
      <c r="H759" s="2">
        <v>45125</v>
      </c>
      <c r="I759" s="1" t="s">
        <v>797</v>
      </c>
      <c r="J759" s="1" t="s">
        <v>20</v>
      </c>
      <c r="K759" s="1" t="s">
        <v>21</v>
      </c>
      <c r="L759" s="2">
        <v>45108</v>
      </c>
      <c r="M759" s="6">
        <f>T_SALES[[#This Row],[Profit]]/T_SALES[[#This Row],[Amount]]</f>
        <v>0.1166936790923825</v>
      </c>
    </row>
    <row r="760" spans="1:13" x14ac:dyDescent="0.25">
      <c r="A760" s="1" t="s">
        <v>796</v>
      </c>
      <c r="B760" s="7">
        <v>4936</v>
      </c>
      <c r="C760" s="8">
        <v>576</v>
      </c>
      <c r="D760">
        <v>19</v>
      </c>
      <c r="E760" s="1" t="s">
        <v>39</v>
      </c>
      <c r="F760" s="1" t="s">
        <v>40</v>
      </c>
      <c r="G760" s="1" t="s">
        <v>56</v>
      </c>
      <c r="H760" s="2">
        <v>44697</v>
      </c>
      <c r="I760" s="1" t="s">
        <v>798</v>
      </c>
      <c r="J760" s="1" t="s">
        <v>23</v>
      </c>
      <c r="K760" s="1" t="s">
        <v>59</v>
      </c>
      <c r="L760" s="2">
        <v>44682</v>
      </c>
      <c r="M760" s="6">
        <f>T_SALES[[#This Row],[Profit]]/T_SALES[[#This Row],[Amount]]</f>
        <v>0.1166936790923825</v>
      </c>
    </row>
    <row r="761" spans="1:13" x14ac:dyDescent="0.25">
      <c r="A761" s="1" t="s">
        <v>799</v>
      </c>
      <c r="B761" s="7">
        <v>2663</v>
      </c>
      <c r="C761" s="8">
        <v>64</v>
      </c>
      <c r="D761">
        <v>19</v>
      </c>
      <c r="E761" s="1" t="s">
        <v>39</v>
      </c>
      <c r="F761" s="1" t="s">
        <v>51</v>
      </c>
      <c r="G761" s="1" t="s">
        <v>56</v>
      </c>
      <c r="H761" s="2">
        <v>45459</v>
      </c>
      <c r="I761" s="1" t="s">
        <v>800</v>
      </c>
      <c r="J761" s="1" t="s">
        <v>37</v>
      </c>
      <c r="K761" s="1" t="s">
        <v>78</v>
      </c>
      <c r="L761" s="2">
        <v>45444</v>
      </c>
      <c r="M761" s="6">
        <f>T_SALES[[#This Row],[Profit]]/T_SALES[[#This Row],[Amount]]</f>
        <v>2.403304543747653E-2</v>
      </c>
    </row>
    <row r="762" spans="1:13" x14ac:dyDescent="0.25">
      <c r="A762" s="1" t="s">
        <v>799</v>
      </c>
      <c r="B762" s="7">
        <v>2663</v>
      </c>
      <c r="C762" s="8">
        <v>64</v>
      </c>
      <c r="D762">
        <v>19</v>
      </c>
      <c r="E762" s="1" t="s">
        <v>39</v>
      </c>
      <c r="F762" s="1" t="s">
        <v>51</v>
      </c>
      <c r="G762" s="1" t="s">
        <v>56</v>
      </c>
      <c r="H762" s="2">
        <v>44492</v>
      </c>
      <c r="I762" s="1" t="s">
        <v>801</v>
      </c>
      <c r="J762" s="1" t="s">
        <v>82</v>
      </c>
      <c r="K762" s="1" t="s">
        <v>97</v>
      </c>
      <c r="L762" s="2">
        <v>44470</v>
      </c>
      <c r="M762" s="6">
        <f>T_SALES[[#This Row],[Profit]]/T_SALES[[#This Row],[Amount]]</f>
        <v>2.403304543747653E-2</v>
      </c>
    </row>
    <row r="763" spans="1:13" x14ac:dyDescent="0.25">
      <c r="A763" s="1" t="s">
        <v>802</v>
      </c>
      <c r="B763" s="7">
        <v>5151</v>
      </c>
      <c r="C763" s="8">
        <v>1680</v>
      </c>
      <c r="D763">
        <v>5</v>
      </c>
      <c r="E763" s="1" t="s">
        <v>13</v>
      </c>
      <c r="F763" s="1" t="s">
        <v>25</v>
      </c>
      <c r="G763" s="1" t="s">
        <v>35</v>
      </c>
      <c r="H763" s="2">
        <v>44856</v>
      </c>
      <c r="I763" s="1" t="s">
        <v>803</v>
      </c>
      <c r="J763" s="1" t="s">
        <v>62</v>
      </c>
      <c r="K763" s="1" t="s">
        <v>111</v>
      </c>
      <c r="L763" s="2">
        <v>44835</v>
      </c>
      <c r="M763" s="6">
        <f>T_SALES[[#This Row],[Profit]]/T_SALES[[#This Row],[Amount]]</f>
        <v>0.32615026208503201</v>
      </c>
    </row>
    <row r="764" spans="1:13" x14ac:dyDescent="0.25">
      <c r="A764" s="1" t="s">
        <v>804</v>
      </c>
      <c r="B764" s="7">
        <v>2514</v>
      </c>
      <c r="C764" s="8">
        <v>95</v>
      </c>
      <c r="D764">
        <v>8</v>
      </c>
      <c r="E764" s="1" t="s">
        <v>27</v>
      </c>
      <c r="F764" s="1" t="s">
        <v>28</v>
      </c>
      <c r="G764" s="1" t="s">
        <v>15</v>
      </c>
      <c r="H764" s="2">
        <v>45124</v>
      </c>
      <c r="I764" s="1" t="s">
        <v>805</v>
      </c>
      <c r="J764" s="1" t="s">
        <v>23</v>
      </c>
      <c r="K764" s="1" t="s">
        <v>59</v>
      </c>
      <c r="L764" s="2">
        <v>45108</v>
      </c>
      <c r="M764" s="6">
        <f>T_SALES[[#This Row],[Profit]]/T_SALES[[#This Row],[Amount]]</f>
        <v>3.7788385043754973E-2</v>
      </c>
    </row>
    <row r="765" spans="1:13" x14ac:dyDescent="0.25">
      <c r="A765" s="1" t="s">
        <v>806</v>
      </c>
      <c r="B765" s="7">
        <v>6129</v>
      </c>
      <c r="C765" s="8">
        <v>2976</v>
      </c>
      <c r="D765">
        <v>2</v>
      </c>
      <c r="E765" s="1" t="s">
        <v>13</v>
      </c>
      <c r="F765" s="1" t="s">
        <v>34</v>
      </c>
      <c r="G765" s="1" t="s">
        <v>35</v>
      </c>
      <c r="H765" s="2">
        <v>45712</v>
      </c>
      <c r="I765" s="1" t="s">
        <v>807</v>
      </c>
      <c r="J765" s="1" t="s">
        <v>23</v>
      </c>
      <c r="K765" s="1" t="s">
        <v>45</v>
      </c>
      <c r="L765" s="2">
        <v>45689</v>
      </c>
      <c r="M765" s="6">
        <f>T_SALES[[#This Row],[Profit]]/T_SALES[[#This Row],[Amount]]</f>
        <v>0.48556045031815959</v>
      </c>
    </row>
    <row r="766" spans="1:13" x14ac:dyDescent="0.25">
      <c r="A766" s="1" t="s">
        <v>806</v>
      </c>
      <c r="B766" s="7">
        <v>4395</v>
      </c>
      <c r="C766" s="8">
        <v>1663</v>
      </c>
      <c r="D766">
        <v>3</v>
      </c>
      <c r="E766" s="1" t="s">
        <v>39</v>
      </c>
      <c r="F766" s="1" t="s">
        <v>90</v>
      </c>
      <c r="G766" s="1" t="s">
        <v>56</v>
      </c>
      <c r="H766" s="2">
        <v>45712</v>
      </c>
      <c r="I766" s="1" t="s">
        <v>807</v>
      </c>
      <c r="J766" s="1" t="s">
        <v>23</v>
      </c>
      <c r="K766" s="1" t="s">
        <v>45</v>
      </c>
      <c r="L766" s="2">
        <v>45689</v>
      </c>
      <c r="M766" s="6">
        <f>T_SALES[[#This Row],[Profit]]/T_SALES[[#This Row],[Amount]]</f>
        <v>0.37838452787258248</v>
      </c>
    </row>
    <row r="767" spans="1:13" x14ac:dyDescent="0.25">
      <c r="A767" s="1" t="s">
        <v>808</v>
      </c>
      <c r="B767" s="7">
        <v>5393</v>
      </c>
      <c r="C767" s="8">
        <v>2642</v>
      </c>
      <c r="D767">
        <v>8</v>
      </c>
      <c r="E767" s="1" t="s">
        <v>39</v>
      </c>
      <c r="F767" s="1" t="s">
        <v>43</v>
      </c>
      <c r="G767" s="1" t="s">
        <v>15</v>
      </c>
      <c r="H767" s="2">
        <v>44262</v>
      </c>
      <c r="I767" s="1" t="s">
        <v>809</v>
      </c>
      <c r="J767" s="1" t="s">
        <v>82</v>
      </c>
      <c r="K767" s="1" t="s">
        <v>89</v>
      </c>
      <c r="L767" s="2">
        <v>44256</v>
      </c>
      <c r="M767" s="6">
        <f>T_SALES[[#This Row],[Profit]]/T_SALES[[#This Row],[Amount]]</f>
        <v>0.48989430743556461</v>
      </c>
    </row>
    <row r="768" spans="1:13" x14ac:dyDescent="0.25">
      <c r="A768" s="1" t="s">
        <v>810</v>
      </c>
      <c r="B768" s="7">
        <v>2280</v>
      </c>
      <c r="C768" s="8">
        <v>509</v>
      </c>
      <c r="D768">
        <v>8</v>
      </c>
      <c r="E768" s="1" t="s">
        <v>13</v>
      </c>
      <c r="F768" s="1" t="s">
        <v>70</v>
      </c>
      <c r="G768" s="1" t="s">
        <v>41</v>
      </c>
      <c r="H768" s="2">
        <v>44199</v>
      </c>
      <c r="I768" s="1" t="s">
        <v>811</v>
      </c>
      <c r="J768" s="1" t="s">
        <v>23</v>
      </c>
      <c r="K768" s="1" t="s">
        <v>24</v>
      </c>
      <c r="L768" s="2">
        <v>44197</v>
      </c>
      <c r="M768" s="6">
        <f>T_SALES[[#This Row],[Profit]]/T_SALES[[#This Row],[Amount]]</f>
        <v>0.22324561403508772</v>
      </c>
    </row>
    <row r="769" spans="1:13" x14ac:dyDescent="0.25">
      <c r="A769" s="1" t="s">
        <v>812</v>
      </c>
      <c r="B769" s="7">
        <v>6596</v>
      </c>
      <c r="C769" s="8">
        <v>1439</v>
      </c>
      <c r="D769">
        <v>9</v>
      </c>
      <c r="E769" s="1" t="s">
        <v>27</v>
      </c>
      <c r="F769" s="1" t="s">
        <v>55</v>
      </c>
      <c r="G769" s="1" t="s">
        <v>29</v>
      </c>
      <c r="H769" s="2">
        <v>45049</v>
      </c>
      <c r="I769" s="1" t="s">
        <v>813</v>
      </c>
      <c r="J769" s="1" t="s">
        <v>82</v>
      </c>
      <c r="K769" s="1" t="s">
        <v>89</v>
      </c>
      <c r="L769" s="2">
        <v>45047</v>
      </c>
      <c r="M769" s="6">
        <f>T_SALES[[#This Row],[Profit]]/T_SALES[[#This Row],[Amount]]</f>
        <v>0.21816252274105519</v>
      </c>
    </row>
    <row r="770" spans="1:13" x14ac:dyDescent="0.25">
      <c r="A770" s="1" t="s">
        <v>814</v>
      </c>
      <c r="B770" s="7">
        <v>4510</v>
      </c>
      <c r="C770" s="8">
        <v>1896</v>
      </c>
      <c r="D770">
        <v>5</v>
      </c>
      <c r="E770" s="1" t="s">
        <v>27</v>
      </c>
      <c r="F770" s="1" t="s">
        <v>55</v>
      </c>
      <c r="G770" s="1" t="s">
        <v>35</v>
      </c>
      <c r="H770" s="2">
        <v>45224</v>
      </c>
      <c r="I770" s="1" t="s">
        <v>815</v>
      </c>
      <c r="J770" s="1" t="s">
        <v>37</v>
      </c>
      <c r="K770" s="1" t="s">
        <v>38</v>
      </c>
      <c r="L770" s="2">
        <v>45200</v>
      </c>
      <c r="M770" s="6">
        <f>T_SALES[[#This Row],[Profit]]/T_SALES[[#This Row],[Amount]]</f>
        <v>0.42039911308203992</v>
      </c>
    </row>
    <row r="771" spans="1:13" x14ac:dyDescent="0.25">
      <c r="A771" s="1" t="s">
        <v>816</v>
      </c>
      <c r="B771" s="7">
        <v>6077</v>
      </c>
      <c r="C771" s="8">
        <v>2378</v>
      </c>
      <c r="D771">
        <v>18</v>
      </c>
      <c r="E771" s="1" t="s">
        <v>13</v>
      </c>
      <c r="F771" s="1" t="s">
        <v>70</v>
      </c>
      <c r="G771" s="1" t="s">
        <v>56</v>
      </c>
      <c r="H771" s="2">
        <v>44794</v>
      </c>
      <c r="I771" s="1" t="s">
        <v>817</v>
      </c>
      <c r="J771" s="1" t="s">
        <v>23</v>
      </c>
      <c r="K771" s="1" t="s">
        <v>45</v>
      </c>
      <c r="L771" s="2">
        <v>44774</v>
      </c>
      <c r="M771" s="6">
        <f>T_SALES[[#This Row],[Profit]]/T_SALES[[#This Row],[Amount]]</f>
        <v>0.39131150238604573</v>
      </c>
    </row>
    <row r="772" spans="1:13" x14ac:dyDescent="0.25">
      <c r="A772" s="1" t="s">
        <v>818</v>
      </c>
      <c r="B772" s="7">
        <v>5379</v>
      </c>
      <c r="C772" s="8">
        <v>2510</v>
      </c>
      <c r="D772">
        <v>17</v>
      </c>
      <c r="E772" s="1" t="s">
        <v>13</v>
      </c>
      <c r="F772" s="1" t="s">
        <v>25</v>
      </c>
      <c r="G772" s="1" t="s">
        <v>56</v>
      </c>
      <c r="H772" s="2">
        <v>44667</v>
      </c>
      <c r="I772" s="1" t="s">
        <v>819</v>
      </c>
      <c r="J772" s="1" t="s">
        <v>82</v>
      </c>
      <c r="K772" s="1" t="s">
        <v>83</v>
      </c>
      <c r="L772" s="2">
        <v>44652</v>
      </c>
      <c r="M772" s="6">
        <f>T_SALES[[#This Row],[Profit]]/T_SALES[[#This Row],[Amount]]</f>
        <v>0.466629485034393</v>
      </c>
    </row>
    <row r="773" spans="1:13" x14ac:dyDescent="0.25">
      <c r="A773" s="1" t="s">
        <v>820</v>
      </c>
      <c r="B773" s="7">
        <v>4629</v>
      </c>
      <c r="C773" s="8">
        <v>1660</v>
      </c>
      <c r="D773">
        <v>16</v>
      </c>
      <c r="E773" s="1" t="s">
        <v>27</v>
      </c>
      <c r="F773" s="1" t="s">
        <v>49</v>
      </c>
      <c r="G773" s="1" t="s">
        <v>35</v>
      </c>
      <c r="H773" s="2">
        <v>45018</v>
      </c>
      <c r="I773" s="1" t="s">
        <v>821</v>
      </c>
      <c r="J773" s="1" t="s">
        <v>37</v>
      </c>
      <c r="K773" s="1" t="s">
        <v>65</v>
      </c>
      <c r="L773" s="2">
        <v>45017</v>
      </c>
      <c r="M773" s="6">
        <f>T_SALES[[#This Row],[Profit]]/T_SALES[[#This Row],[Amount]]</f>
        <v>0.35860877079282782</v>
      </c>
    </row>
    <row r="774" spans="1:13" x14ac:dyDescent="0.25">
      <c r="A774" s="1" t="s">
        <v>822</v>
      </c>
      <c r="B774" s="7">
        <v>2710</v>
      </c>
      <c r="C774" s="8">
        <v>555</v>
      </c>
      <c r="D774">
        <v>20</v>
      </c>
      <c r="E774" s="1" t="s">
        <v>13</v>
      </c>
      <c r="F774" s="1" t="s">
        <v>34</v>
      </c>
      <c r="G774" s="1" t="s">
        <v>29</v>
      </c>
      <c r="H774" s="2">
        <v>45586</v>
      </c>
      <c r="I774" s="1" t="s">
        <v>823</v>
      </c>
      <c r="J774" s="1" t="s">
        <v>20</v>
      </c>
      <c r="K774" s="1" t="s">
        <v>21</v>
      </c>
      <c r="L774" s="2">
        <v>45566</v>
      </c>
      <c r="M774" s="6">
        <f>T_SALES[[#This Row],[Profit]]/T_SALES[[#This Row],[Amount]]</f>
        <v>0.20479704797047971</v>
      </c>
    </row>
    <row r="775" spans="1:13" x14ac:dyDescent="0.25">
      <c r="A775" s="1" t="s">
        <v>822</v>
      </c>
      <c r="B775" s="7">
        <v>3224</v>
      </c>
      <c r="C775" s="8">
        <v>1018</v>
      </c>
      <c r="D775">
        <v>14</v>
      </c>
      <c r="E775" s="1" t="s">
        <v>27</v>
      </c>
      <c r="F775" s="1" t="s">
        <v>67</v>
      </c>
      <c r="G775" s="1" t="s">
        <v>15</v>
      </c>
      <c r="H775" s="2">
        <v>45586</v>
      </c>
      <c r="I775" s="1" t="s">
        <v>823</v>
      </c>
      <c r="J775" s="1" t="s">
        <v>20</v>
      </c>
      <c r="K775" s="1" t="s">
        <v>21</v>
      </c>
      <c r="L775" s="2">
        <v>45566</v>
      </c>
      <c r="M775" s="6">
        <f>T_SALES[[#This Row],[Profit]]/T_SALES[[#This Row],[Amount]]</f>
        <v>0.31575682382133996</v>
      </c>
    </row>
    <row r="776" spans="1:13" x14ac:dyDescent="0.25">
      <c r="A776" s="1" t="s">
        <v>824</v>
      </c>
      <c r="B776" s="7">
        <v>8042</v>
      </c>
      <c r="C776" s="8">
        <v>936</v>
      </c>
      <c r="D776">
        <v>15</v>
      </c>
      <c r="E776" s="1" t="s">
        <v>27</v>
      </c>
      <c r="F776" s="1" t="s">
        <v>49</v>
      </c>
      <c r="G776" s="1" t="s">
        <v>35</v>
      </c>
      <c r="H776" s="2">
        <v>44386</v>
      </c>
      <c r="I776" s="1" t="s">
        <v>825</v>
      </c>
      <c r="J776" s="1" t="s">
        <v>20</v>
      </c>
      <c r="K776" s="1" t="s">
        <v>54</v>
      </c>
      <c r="L776" s="2">
        <v>44378</v>
      </c>
      <c r="M776" s="6">
        <f>T_SALES[[#This Row],[Profit]]/T_SALES[[#This Row],[Amount]]</f>
        <v>0.11638895797065407</v>
      </c>
    </row>
    <row r="777" spans="1:13" x14ac:dyDescent="0.25">
      <c r="A777" s="1" t="s">
        <v>824</v>
      </c>
      <c r="B777" s="7">
        <v>8042</v>
      </c>
      <c r="C777" s="8">
        <v>936</v>
      </c>
      <c r="D777">
        <v>15</v>
      </c>
      <c r="E777" s="1" t="s">
        <v>27</v>
      </c>
      <c r="F777" s="1" t="s">
        <v>49</v>
      </c>
      <c r="G777" s="1" t="s">
        <v>35</v>
      </c>
      <c r="H777" s="2">
        <v>44659</v>
      </c>
      <c r="I777" s="1" t="s">
        <v>826</v>
      </c>
      <c r="J777" s="1" t="s">
        <v>37</v>
      </c>
      <c r="K777" s="1" t="s">
        <v>38</v>
      </c>
      <c r="L777" s="2">
        <v>44652</v>
      </c>
      <c r="M777" s="6">
        <f>T_SALES[[#This Row],[Profit]]/T_SALES[[#This Row],[Amount]]</f>
        <v>0.11638895797065407</v>
      </c>
    </row>
    <row r="778" spans="1:13" x14ac:dyDescent="0.25">
      <c r="A778" s="1" t="s">
        <v>827</v>
      </c>
      <c r="B778" s="7">
        <v>3957</v>
      </c>
      <c r="C778" s="8">
        <v>151</v>
      </c>
      <c r="D778">
        <v>10</v>
      </c>
      <c r="E778" s="1" t="s">
        <v>27</v>
      </c>
      <c r="F778" s="1" t="s">
        <v>67</v>
      </c>
      <c r="G778" s="1" t="s">
        <v>35</v>
      </c>
      <c r="H778" s="2">
        <v>44681</v>
      </c>
      <c r="I778" s="1" t="s">
        <v>828</v>
      </c>
      <c r="J778" s="1" t="s">
        <v>62</v>
      </c>
      <c r="K778" s="1" t="s">
        <v>74</v>
      </c>
      <c r="L778" s="2">
        <v>44652</v>
      </c>
      <c r="M778" s="6">
        <f>T_SALES[[#This Row],[Profit]]/T_SALES[[#This Row],[Amount]]</f>
        <v>3.8160222390700028E-2</v>
      </c>
    </row>
    <row r="779" spans="1:13" x14ac:dyDescent="0.25">
      <c r="A779" s="1" t="s">
        <v>829</v>
      </c>
      <c r="B779" s="7">
        <v>8769</v>
      </c>
      <c r="C779" s="8">
        <v>3178</v>
      </c>
      <c r="D779">
        <v>16</v>
      </c>
      <c r="E779" s="1" t="s">
        <v>27</v>
      </c>
      <c r="F779" s="1" t="s">
        <v>49</v>
      </c>
      <c r="G779" s="1" t="s">
        <v>29</v>
      </c>
      <c r="H779" s="2">
        <v>44946</v>
      </c>
      <c r="I779" s="1" t="s">
        <v>830</v>
      </c>
      <c r="J779" s="1" t="s">
        <v>20</v>
      </c>
      <c r="K779" s="1" t="s">
        <v>21</v>
      </c>
      <c r="L779" s="2">
        <v>44927</v>
      </c>
      <c r="M779" s="6">
        <f>T_SALES[[#This Row],[Profit]]/T_SALES[[#This Row],[Amount]]</f>
        <v>0.36241304595734974</v>
      </c>
    </row>
    <row r="780" spans="1:13" x14ac:dyDescent="0.25">
      <c r="A780" s="1" t="s">
        <v>831</v>
      </c>
      <c r="B780" s="7">
        <v>2957</v>
      </c>
      <c r="C780" s="8">
        <v>917</v>
      </c>
      <c r="D780">
        <v>16</v>
      </c>
      <c r="E780" s="1" t="s">
        <v>27</v>
      </c>
      <c r="F780" s="1" t="s">
        <v>28</v>
      </c>
      <c r="G780" s="1" t="s">
        <v>29</v>
      </c>
      <c r="H780" s="2">
        <v>45613</v>
      </c>
      <c r="I780" s="1" t="s">
        <v>832</v>
      </c>
      <c r="J780" s="1" t="s">
        <v>20</v>
      </c>
      <c r="K780" s="1" t="s">
        <v>21</v>
      </c>
      <c r="L780" s="2">
        <v>45597</v>
      </c>
      <c r="M780" s="6">
        <f>T_SALES[[#This Row],[Profit]]/T_SALES[[#This Row],[Amount]]</f>
        <v>0.31011159959418327</v>
      </c>
    </row>
    <row r="781" spans="1:13" x14ac:dyDescent="0.25">
      <c r="A781" s="1" t="s">
        <v>833</v>
      </c>
      <c r="B781" s="7">
        <v>5344</v>
      </c>
      <c r="C781" s="8">
        <v>2607</v>
      </c>
      <c r="D781">
        <v>6</v>
      </c>
      <c r="E781" s="1" t="s">
        <v>27</v>
      </c>
      <c r="F781" s="1" t="s">
        <v>55</v>
      </c>
      <c r="G781" s="1" t="s">
        <v>29</v>
      </c>
      <c r="H781" s="2">
        <v>44674</v>
      </c>
      <c r="I781" s="1" t="s">
        <v>834</v>
      </c>
      <c r="J781" s="1" t="s">
        <v>62</v>
      </c>
      <c r="K781" s="1" t="s">
        <v>63</v>
      </c>
      <c r="L781" s="2">
        <v>44652</v>
      </c>
      <c r="M781" s="6">
        <f>T_SALES[[#This Row],[Profit]]/T_SALES[[#This Row],[Amount]]</f>
        <v>0.48783682634730541</v>
      </c>
    </row>
    <row r="782" spans="1:13" x14ac:dyDescent="0.25">
      <c r="A782" s="1" t="s">
        <v>833</v>
      </c>
      <c r="B782" s="7">
        <v>5344</v>
      </c>
      <c r="C782" s="8">
        <v>2607</v>
      </c>
      <c r="D782">
        <v>6</v>
      </c>
      <c r="E782" s="1" t="s">
        <v>27</v>
      </c>
      <c r="F782" s="1" t="s">
        <v>55</v>
      </c>
      <c r="G782" s="1" t="s">
        <v>29</v>
      </c>
      <c r="H782" s="2">
        <v>45706</v>
      </c>
      <c r="I782" s="1" t="s">
        <v>835</v>
      </c>
      <c r="J782" s="1" t="s">
        <v>23</v>
      </c>
      <c r="K782" s="1" t="s">
        <v>59</v>
      </c>
      <c r="L782" s="2">
        <v>45689</v>
      </c>
      <c r="M782" s="6">
        <f>T_SALES[[#This Row],[Profit]]/T_SALES[[#This Row],[Amount]]</f>
        <v>0.48783682634730541</v>
      </c>
    </row>
    <row r="783" spans="1:13" x14ac:dyDescent="0.25">
      <c r="A783" s="1" t="s">
        <v>836</v>
      </c>
      <c r="B783" s="7">
        <v>6061</v>
      </c>
      <c r="C783" s="8">
        <v>2121</v>
      </c>
      <c r="D783">
        <v>19</v>
      </c>
      <c r="E783" s="1" t="s">
        <v>13</v>
      </c>
      <c r="F783" s="1" t="s">
        <v>34</v>
      </c>
      <c r="G783" s="1" t="s">
        <v>35</v>
      </c>
      <c r="H783" s="2">
        <v>44343</v>
      </c>
      <c r="I783" s="1" t="s">
        <v>837</v>
      </c>
      <c r="J783" s="1" t="s">
        <v>82</v>
      </c>
      <c r="K783" s="1" t="s">
        <v>97</v>
      </c>
      <c r="L783" s="2">
        <v>44317</v>
      </c>
      <c r="M783" s="6">
        <f>T_SALES[[#This Row],[Profit]]/T_SALES[[#This Row],[Amount]]</f>
        <v>0.34994225375350602</v>
      </c>
    </row>
    <row r="784" spans="1:13" x14ac:dyDescent="0.25">
      <c r="A784" s="1" t="s">
        <v>836</v>
      </c>
      <c r="B784" s="7">
        <v>6061</v>
      </c>
      <c r="C784" s="8">
        <v>2121</v>
      </c>
      <c r="D784">
        <v>19</v>
      </c>
      <c r="E784" s="1" t="s">
        <v>13</v>
      </c>
      <c r="F784" s="1" t="s">
        <v>34</v>
      </c>
      <c r="G784" s="1" t="s">
        <v>35</v>
      </c>
      <c r="H784" s="2">
        <v>44578</v>
      </c>
      <c r="I784" s="1" t="s">
        <v>838</v>
      </c>
      <c r="J784" s="1" t="s">
        <v>37</v>
      </c>
      <c r="K784" s="1" t="s">
        <v>65</v>
      </c>
      <c r="L784" s="2">
        <v>44562</v>
      </c>
      <c r="M784" s="6">
        <f>T_SALES[[#This Row],[Profit]]/T_SALES[[#This Row],[Amount]]</f>
        <v>0.34994225375350602</v>
      </c>
    </row>
    <row r="785" spans="1:13" x14ac:dyDescent="0.25">
      <c r="A785" s="1" t="s">
        <v>839</v>
      </c>
      <c r="B785" s="7">
        <v>5376</v>
      </c>
      <c r="C785" s="8">
        <v>1928</v>
      </c>
      <c r="D785">
        <v>7</v>
      </c>
      <c r="E785" s="1" t="s">
        <v>39</v>
      </c>
      <c r="F785" s="1" t="s">
        <v>40</v>
      </c>
      <c r="G785" s="1" t="s">
        <v>41</v>
      </c>
      <c r="H785" s="2">
        <v>45672</v>
      </c>
      <c r="I785" s="1" t="s">
        <v>840</v>
      </c>
      <c r="J785" s="1" t="s">
        <v>23</v>
      </c>
      <c r="K785" s="1" t="s">
        <v>45</v>
      </c>
      <c r="L785" s="2">
        <v>45658</v>
      </c>
      <c r="M785" s="6">
        <f>T_SALES[[#This Row],[Profit]]/T_SALES[[#This Row],[Amount]]</f>
        <v>0.35863095238095238</v>
      </c>
    </row>
    <row r="786" spans="1:13" x14ac:dyDescent="0.25">
      <c r="A786" s="1" t="s">
        <v>841</v>
      </c>
      <c r="B786" s="7">
        <v>2792</v>
      </c>
      <c r="C786" s="8">
        <v>1008</v>
      </c>
      <c r="D786">
        <v>8</v>
      </c>
      <c r="E786" s="1" t="s">
        <v>13</v>
      </c>
      <c r="F786" s="1" t="s">
        <v>25</v>
      </c>
      <c r="G786" s="1" t="s">
        <v>56</v>
      </c>
      <c r="H786" s="2">
        <v>44241</v>
      </c>
      <c r="I786" s="1" t="s">
        <v>842</v>
      </c>
      <c r="J786" s="1" t="s">
        <v>17</v>
      </c>
      <c r="K786" s="1" t="s">
        <v>18</v>
      </c>
      <c r="L786" s="2">
        <v>44228</v>
      </c>
      <c r="M786" s="6">
        <f>T_SALES[[#This Row],[Profit]]/T_SALES[[#This Row],[Amount]]</f>
        <v>0.36103151862464183</v>
      </c>
    </row>
    <row r="787" spans="1:13" x14ac:dyDescent="0.25">
      <c r="A787" s="1" t="s">
        <v>843</v>
      </c>
      <c r="B787" s="7">
        <v>2944</v>
      </c>
      <c r="C787" s="8">
        <v>249</v>
      </c>
      <c r="D787">
        <v>5</v>
      </c>
      <c r="E787" s="1" t="s">
        <v>27</v>
      </c>
      <c r="F787" s="1" t="s">
        <v>67</v>
      </c>
      <c r="G787" s="1" t="s">
        <v>41</v>
      </c>
      <c r="H787" s="2">
        <v>45535</v>
      </c>
      <c r="I787" s="1" t="s">
        <v>844</v>
      </c>
      <c r="J787" s="1" t="s">
        <v>82</v>
      </c>
      <c r="K787" s="1" t="s">
        <v>83</v>
      </c>
      <c r="L787" s="2">
        <v>45505</v>
      </c>
      <c r="M787" s="6">
        <f>T_SALES[[#This Row],[Profit]]/T_SALES[[#This Row],[Amount]]</f>
        <v>8.4578804347826081E-2</v>
      </c>
    </row>
    <row r="788" spans="1:13" x14ac:dyDescent="0.25">
      <c r="A788" s="1" t="s">
        <v>843</v>
      </c>
      <c r="B788" s="7">
        <v>2944</v>
      </c>
      <c r="C788" s="8">
        <v>249</v>
      </c>
      <c r="D788">
        <v>5</v>
      </c>
      <c r="E788" s="1" t="s">
        <v>27</v>
      </c>
      <c r="F788" s="1" t="s">
        <v>67</v>
      </c>
      <c r="G788" s="1" t="s">
        <v>41</v>
      </c>
      <c r="H788" s="2">
        <v>44921</v>
      </c>
      <c r="I788" s="1" t="s">
        <v>845</v>
      </c>
      <c r="J788" s="1" t="s">
        <v>62</v>
      </c>
      <c r="K788" s="1" t="s">
        <v>63</v>
      </c>
      <c r="L788" s="2">
        <v>44896</v>
      </c>
      <c r="M788" s="6">
        <f>T_SALES[[#This Row],[Profit]]/T_SALES[[#This Row],[Amount]]</f>
        <v>8.4578804347826081E-2</v>
      </c>
    </row>
    <row r="789" spans="1:13" x14ac:dyDescent="0.25">
      <c r="A789" s="1" t="s">
        <v>846</v>
      </c>
      <c r="B789" s="7">
        <v>4220</v>
      </c>
      <c r="C789" s="8">
        <v>945</v>
      </c>
      <c r="D789">
        <v>13</v>
      </c>
      <c r="E789" s="1" t="s">
        <v>27</v>
      </c>
      <c r="F789" s="1" t="s">
        <v>49</v>
      </c>
      <c r="G789" s="1" t="s">
        <v>35</v>
      </c>
      <c r="H789" s="2">
        <v>45372</v>
      </c>
      <c r="I789" s="1" t="s">
        <v>847</v>
      </c>
      <c r="J789" s="1" t="s">
        <v>20</v>
      </c>
      <c r="K789" s="1" t="s">
        <v>54</v>
      </c>
      <c r="L789" s="2">
        <v>45352</v>
      </c>
      <c r="M789" s="6">
        <f>T_SALES[[#This Row],[Profit]]/T_SALES[[#This Row],[Amount]]</f>
        <v>0.22393364928909953</v>
      </c>
    </row>
    <row r="790" spans="1:13" x14ac:dyDescent="0.25">
      <c r="A790" s="1" t="s">
        <v>846</v>
      </c>
      <c r="B790" s="7">
        <v>4220</v>
      </c>
      <c r="C790" s="8">
        <v>945</v>
      </c>
      <c r="D790">
        <v>13</v>
      </c>
      <c r="E790" s="1" t="s">
        <v>27</v>
      </c>
      <c r="F790" s="1" t="s">
        <v>49</v>
      </c>
      <c r="G790" s="1" t="s">
        <v>35</v>
      </c>
      <c r="H790" s="2">
        <v>44180</v>
      </c>
      <c r="I790" s="1" t="s">
        <v>848</v>
      </c>
      <c r="J790" s="1" t="s">
        <v>20</v>
      </c>
      <c r="K790" s="1" t="s">
        <v>137</v>
      </c>
      <c r="L790" s="2">
        <v>44166</v>
      </c>
      <c r="M790" s="6">
        <f>T_SALES[[#This Row],[Profit]]/T_SALES[[#This Row],[Amount]]</f>
        <v>0.22393364928909953</v>
      </c>
    </row>
    <row r="791" spans="1:13" x14ac:dyDescent="0.25">
      <c r="A791" s="1" t="s">
        <v>849</v>
      </c>
      <c r="B791" s="7">
        <v>8526</v>
      </c>
      <c r="C791" s="8">
        <v>1704</v>
      </c>
      <c r="D791">
        <v>4</v>
      </c>
      <c r="E791" s="1" t="s">
        <v>27</v>
      </c>
      <c r="F791" s="1" t="s">
        <v>67</v>
      </c>
      <c r="G791" s="1" t="s">
        <v>29</v>
      </c>
      <c r="H791" s="2">
        <v>45006</v>
      </c>
      <c r="I791" s="1" t="s">
        <v>850</v>
      </c>
      <c r="J791" s="1" t="s">
        <v>62</v>
      </c>
      <c r="K791" s="1" t="s">
        <v>74</v>
      </c>
      <c r="L791" s="2">
        <v>44986</v>
      </c>
      <c r="M791" s="6">
        <f>T_SALES[[#This Row],[Profit]]/T_SALES[[#This Row],[Amount]]</f>
        <v>0.19985925404644617</v>
      </c>
    </row>
    <row r="792" spans="1:13" x14ac:dyDescent="0.25">
      <c r="A792" s="1" t="s">
        <v>851</v>
      </c>
      <c r="B792" s="7">
        <v>8218</v>
      </c>
      <c r="C792" s="8">
        <v>1430</v>
      </c>
      <c r="D792">
        <v>19</v>
      </c>
      <c r="E792" s="1" t="s">
        <v>39</v>
      </c>
      <c r="F792" s="1" t="s">
        <v>90</v>
      </c>
      <c r="G792" s="1" t="s">
        <v>41</v>
      </c>
      <c r="H792" s="2">
        <v>45085</v>
      </c>
      <c r="I792" s="1" t="s">
        <v>852</v>
      </c>
      <c r="J792" s="1" t="s">
        <v>37</v>
      </c>
      <c r="K792" s="1" t="s">
        <v>78</v>
      </c>
      <c r="L792" s="2">
        <v>45078</v>
      </c>
      <c r="M792" s="6">
        <f>T_SALES[[#This Row],[Profit]]/T_SALES[[#This Row],[Amount]]</f>
        <v>0.17400827451934778</v>
      </c>
    </row>
    <row r="793" spans="1:13" x14ac:dyDescent="0.25">
      <c r="A793" s="1" t="s">
        <v>853</v>
      </c>
      <c r="B793" s="7">
        <v>599</v>
      </c>
      <c r="C793" s="8">
        <v>265</v>
      </c>
      <c r="D793">
        <v>4</v>
      </c>
      <c r="E793" s="1" t="s">
        <v>13</v>
      </c>
      <c r="F793" s="1" t="s">
        <v>70</v>
      </c>
      <c r="G793" s="1" t="s">
        <v>41</v>
      </c>
      <c r="H793" s="2">
        <v>44759</v>
      </c>
      <c r="I793" s="1" t="s">
        <v>854</v>
      </c>
      <c r="J793" s="1" t="s">
        <v>23</v>
      </c>
      <c r="K793" s="1" t="s">
        <v>24</v>
      </c>
      <c r="L793" s="2">
        <v>44743</v>
      </c>
      <c r="M793" s="6">
        <f>T_SALES[[#This Row],[Profit]]/T_SALES[[#This Row],[Amount]]</f>
        <v>0.44240400667779634</v>
      </c>
    </row>
    <row r="794" spans="1:13" x14ac:dyDescent="0.25">
      <c r="A794" s="1" t="s">
        <v>853</v>
      </c>
      <c r="B794" s="7">
        <v>599</v>
      </c>
      <c r="C794" s="8">
        <v>265</v>
      </c>
      <c r="D794">
        <v>4</v>
      </c>
      <c r="E794" s="1" t="s">
        <v>13</v>
      </c>
      <c r="F794" s="1" t="s">
        <v>70</v>
      </c>
      <c r="G794" s="1" t="s">
        <v>41</v>
      </c>
      <c r="H794" s="2">
        <v>45631</v>
      </c>
      <c r="I794" s="1" t="s">
        <v>855</v>
      </c>
      <c r="J794" s="1" t="s">
        <v>23</v>
      </c>
      <c r="K794" s="1" t="s">
        <v>59</v>
      </c>
      <c r="L794" s="2">
        <v>45627</v>
      </c>
      <c r="M794" s="6">
        <f>T_SALES[[#This Row],[Profit]]/T_SALES[[#This Row],[Amount]]</f>
        <v>0.44240400667779634</v>
      </c>
    </row>
    <row r="795" spans="1:13" x14ac:dyDescent="0.25">
      <c r="A795" s="1" t="s">
        <v>853</v>
      </c>
      <c r="B795" s="7">
        <v>2727</v>
      </c>
      <c r="C795" s="8">
        <v>543</v>
      </c>
      <c r="D795">
        <v>10</v>
      </c>
      <c r="E795" s="1" t="s">
        <v>39</v>
      </c>
      <c r="F795" s="1" t="s">
        <v>90</v>
      </c>
      <c r="G795" s="1" t="s">
        <v>41</v>
      </c>
      <c r="H795" s="2">
        <v>44759</v>
      </c>
      <c r="I795" s="1" t="s">
        <v>854</v>
      </c>
      <c r="J795" s="1" t="s">
        <v>23</v>
      </c>
      <c r="K795" s="1" t="s">
        <v>24</v>
      </c>
      <c r="L795" s="2">
        <v>44743</v>
      </c>
      <c r="M795" s="6">
        <f>T_SALES[[#This Row],[Profit]]/T_SALES[[#This Row],[Amount]]</f>
        <v>0.19911991199119913</v>
      </c>
    </row>
    <row r="796" spans="1:13" x14ac:dyDescent="0.25">
      <c r="A796" s="1" t="s">
        <v>853</v>
      </c>
      <c r="B796" s="7">
        <v>2727</v>
      </c>
      <c r="C796" s="8">
        <v>543</v>
      </c>
      <c r="D796">
        <v>10</v>
      </c>
      <c r="E796" s="1" t="s">
        <v>39</v>
      </c>
      <c r="F796" s="1" t="s">
        <v>90</v>
      </c>
      <c r="G796" s="1" t="s">
        <v>41</v>
      </c>
      <c r="H796" s="2">
        <v>45631</v>
      </c>
      <c r="I796" s="1" t="s">
        <v>855</v>
      </c>
      <c r="J796" s="1" t="s">
        <v>23</v>
      </c>
      <c r="K796" s="1" t="s">
        <v>59</v>
      </c>
      <c r="L796" s="2">
        <v>45627</v>
      </c>
      <c r="M796" s="6">
        <f>T_SALES[[#This Row],[Profit]]/T_SALES[[#This Row],[Amount]]</f>
        <v>0.19911991199119913</v>
      </c>
    </row>
    <row r="797" spans="1:13" x14ac:dyDescent="0.25">
      <c r="A797" s="1" t="s">
        <v>856</v>
      </c>
      <c r="B797" s="7">
        <v>2589</v>
      </c>
      <c r="C797" s="8">
        <v>605</v>
      </c>
      <c r="D797">
        <v>11</v>
      </c>
      <c r="E797" s="1" t="s">
        <v>27</v>
      </c>
      <c r="F797" s="1" t="s">
        <v>28</v>
      </c>
      <c r="G797" s="1" t="s">
        <v>35</v>
      </c>
      <c r="H797" s="2">
        <v>45232</v>
      </c>
      <c r="I797" s="1" t="s">
        <v>857</v>
      </c>
      <c r="J797" s="1" t="s">
        <v>37</v>
      </c>
      <c r="K797" s="1" t="s">
        <v>78</v>
      </c>
      <c r="L797" s="2">
        <v>45231</v>
      </c>
      <c r="M797" s="6">
        <f>T_SALES[[#This Row],[Profit]]/T_SALES[[#This Row],[Amount]]</f>
        <v>0.23368095789880264</v>
      </c>
    </row>
    <row r="798" spans="1:13" x14ac:dyDescent="0.25">
      <c r="A798" s="1" t="s">
        <v>856</v>
      </c>
      <c r="B798" s="7">
        <v>2589</v>
      </c>
      <c r="C798" s="8">
        <v>605</v>
      </c>
      <c r="D798">
        <v>11</v>
      </c>
      <c r="E798" s="1" t="s">
        <v>27</v>
      </c>
      <c r="F798" s="1" t="s">
        <v>28</v>
      </c>
      <c r="G798" s="1" t="s">
        <v>35</v>
      </c>
      <c r="H798" s="2">
        <v>45570</v>
      </c>
      <c r="I798" s="1" t="s">
        <v>858</v>
      </c>
      <c r="J798" s="1" t="s">
        <v>82</v>
      </c>
      <c r="K798" s="1" t="s">
        <v>97</v>
      </c>
      <c r="L798" s="2">
        <v>45566</v>
      </c>
      <c r="M798" s="6">
        <f>T_SALES[[#This Row],[Profit]]/T_SALES[[#This Row],[Amount]]</f>
        <v>0.23368095789880264</v>
      </c>
    </row>
    <row r="799" spans="1:13" x14ac:dyDescent="0.25">
      <c r="A799" s="1" t="s">
        <v>859</v>
      </c>
      <c r="B799" s="7">
        <v>3776</v>
      </c>
      <c r="C799" s="8">
        <v>1100</v>
      </c>
      <c r="D799">
        <v>9</v>
      </c>
      <c r="E799" s="1" t="s">
        <v>13</v>
      </c>
      <c r="F799" s="1" t="s">
        <v>14</v>
      </c>
      <c r="G799" s="1" t="s">
        <v>35</v>
      </c>
      <c r="H799" s="2">
        <v>44878</v>
      </c>
      <c r="I799" s="1" t="s">
        <v>860</v>
      </c>
      <c r="J799" s="1" t="s">
        <v>62</v>
      </c>
      <c r="K799" s="1" t="s">
        <v>74</v>
      </c>
      <c r="L799" s="2">
        <v>44866</v>
      </c>
      <c r="M799" s="6">
        <f>T_SALES[[#This Row],[Profit]]/T_SALES[[#This Row],[Amount]]</f>
        <v>0.2913135593220339</v>
      </c>
    </row>
    <row r="800" spans="1:13" x14ac:dyDescent="0.25">
      <c r="A800" s="1" t="s">
        <v>859</v>
      </c>
      <c r="B800" s="7">
        <v>3776</v>
      </c>
      <c r="C800" s="8">
        <v>1100</v>
      </c>
      <c r="D800">
        <v>9</v>
      </c>
      <c r="E800" s="1" t="s">
        <v>13</v>
      </c>
      <c r="F800" s="1" t="s">
        <v>14</v>
      </c>
      <c r="G800" s="1" t="s">
        <v>35</v>
      </c>
      <c r="H800" s="2">
        <v>44923</v>
      </c>
      <c r="I800" s="1" t="s">
        <v>861</v>
      </c>
      <c r="J800" s="1" t="s">
        <v>20</v>
      </c>
      <c r="K800" s="1" t="s">
        <v>137</v>
      </c>
      <c r="L800" s="2">
        <v>44896</v>
      </c>
      <c r="M800" s="6">
        <f>T_SALES[[#This Row],[Profit]]/T_SALES[[#This Row],[Amount]]</f>
        <v>0.2913135593220339</v>
      </c>
    </row>
    <row r="801" spans="1:13" x14ac:dyDescent="0.25">
      <c r="A801" s="1" t="s">
        <v>862</v>
      </c>
      <c r="B801" s="7">
        <v>5402</v>
      </c>
      <c r="C801" s="8">
        <v>1666</v>
      </c>
      <c r="D801">
        <v>12</v>
      </c>
      <c r="E801" s="1" t="s">
        <v>39</v>
      </c>
      <c r="F801" s="1" t="s">
        <v>90</v>
      </c>
      <c r="G801" s="1" t="s">
        <v>35</v>
      </c>
      <c r="H801" s="2">
        <v>45714</v>
      </c>
      <c r="I801" s="1" t="s">
        <v>863</v>
      </c>
      <c r="J801" s="1" t="s">
        <v>82</v>
      </c>
      <c r="K801" s="1" t="s">
        <v>97</v>
      </c>
      <c r="L801" s="2">
        <v>45689</v>
      </c>
      <c r="M801" s="6">
        <f>T_SALES[[#This Row],[Profit]]/T_SALES[[#This Row],[Amount]]</f>
        <v>0.30840429470566455</v>
      </c>
    </row>
    <row r="802" spans="1:13" x14ac:dyDescent="0.25">
      <c r="A802" s="1" t="s">
        <v>864</v>
      </c>
      <c r="B802" s="7">
        <v>5165</v>
      </c>
      <c r="C802" s="8">
        <v>885</v>
      </c>
      <c r="D802">
        <v>16</v>
      </c>
      <c r="E802" s="1" t="s">
        <v>27</v>
      </c>
      <c r="F802" s="1" t="s">
        <v>28</v>
      </c>
      <c r="G802" s="1" t="s">
        <v>35</v>
      </c>
      <c r="H802" s="2">
        <v>44877</v>
      </c>
      <c r="I802" s="1" t="s">
        <v>865</v>
      </c>
      <c r="J802" s="1" t="s">
        <v>20</v>
      </c>
      <c r="K802" s="1" t="s">
        <v>137</v>
      </c>
      <c r="L802" s="2">
        <v>44866</v>
      </c>
      <c r="M802" s="6">
        <f>T_SALES[[#This Row],[Profit]]/T_SALES[[#This Row],[Amount]]</f>
        <v>0.17134559535333979</v>
      </c>
    </row>
    <row r="803" spans="1:13" x14ac:dyDescent="0.25">
      <c r="A803" s="1" t="s">
        <v>864</v>
      </c>
      <c r="B803" s="7">
        <v>4863</v>
      </c>
      <c r="C803" s="8">
        <v>2394</v>
      </c>
      <c r="D803">
        <v>4</v>
      </c>
      <c r="E803" s="1" t="s">
        <v>39</v>
      </c>
      <c r="F803" s="1" t="s">
        <v>90</v>
      </c>
      <c r="G803" s="1" t="s">
        <v>35</v>
      </c>
      <c r="H803" s="2">
        <v>44877</v>
      </c>
      <c r="I803" s="1" t="s">
        <v>865</v>
      </c>
      <c r="J803" s="1" t="s">
        <v>20</v>
      </c>
      <c r="K803" s="1" t="s">
        <v>137</v>
      </c>
      <c r="L803" s="2">
        <v>44866</v>
      </c>
      <c r="M803" s="6">
        <f>T_SALES[[#This Row],[Profit]]/T_SALES[[#This Row],[Amount]]</f>
        <v>0.49228871067242441</v>
      </c>
    </row>
    <row r="804" spans="1:13" x14ac:dyDescent="0.25">
      <c r="A804" s="1" t="s">
        <v>866</v>
      </c>
      <c r="B804" s="7">
        <v>1626</v>
      </c>
      <c r="C804" s="8">
        <v>258</v>
      </c>
      <c r="D804">
        <v>15</v>
      </c>
      <c r="E804" s="1" t="s">
        <v>27</v>
      </c>
      <c r="F804" s="1" t="s">
        <v>28</v>
      </c>
      <c r="G804" s="1" t="s">
        <v>35</v>
      </c>
      <c r="H804" s="2">
        <v>44354</v>
      </c>
      <c r="I804" s="1" t="s">
        <v>867</v>
      </c>
      <c r="J804" s="1" t="s">
        <v>17</v>
      </c>
      <c r="K804" s="1" t="s">
        <v>31</v>
      </c>
      <c r="L804" s="2">
        <v>44348</v>
      </c>
      <c r="M804" s="6">
        <f>T_SALES[[#This Row],[Profit]]/T_SALES[[#This Row],[Amount]]</f>
        <v>0.15867158671586715</v>
      </c>
    </row>
    <row r="805" spans="1:13" x14ac:dyDescent="0.25">
      <c r="A805" s="1" t="s">
        <v>868</v>
      </c>
      <c r="B805" s="7">
        <v>8851</v>
      </c>
      <c r="C805" s="8">
        <v>3962</v>
      </c>
      <c r="D805">
        <v>7</v>
      </c>
      <c r="E805" s="1" t="s">
        <v>39</v>
      </c>
      <c r="F805" s="1" t="s">
        <v>40</v>
      </c>
      <c r="G805" s="1" t="s">
        <v>35</v>
      </c>
      <c r="H805" s="2">
        <v>44100</v>
      </c>
      <c r="I805" s="1" t="s">
        <v>869</v>
      </c>
      <c r="J805" s="1" t="s">
        <v>17</v>
      </c>
      <c r="K805" s="1" t="s">
        <v>18</v>
      </c>
      <c r="L805" s="2">
        <v>44075</v>
      </c>
      <c r="M805" s="6">
        <f>T_SALES[[#This Row],[Profit]]/T_SALES[[#This Row],[Amount]]</f>
        <v>0.44763303581516212</v>
      </c>
    </row>
    <row r="806" spans="1:13" x14ac:dyDescent="0.25">
      <c r="A806" s="1" t="s">
        <v>870</v>
      </c>
      <c r="B806" s="7">
        <v>9680</v>
      </c>
      <c r="C806" s="8">
        <v>3295</v>
      </c>
      <c r="D806">
        <v>9</v>
      </c>
      <c r="E806" s="1" t="s">
        <v>39</v>
      </c>
      <c r="F806" s="1" t="s">
        <v>40</v>
      </c>
      <c r="G806" s="1" t="s">
        <v>56</v>
      </c>
      <c r="H806" s="2">
        <v>45411</v>
      </c>
      <c r="I806" s="1" t="s">
        <v>871</v>
      </c>
      <c r="J806" s="1" t="s">
        <v>23</v>
      </c>
      <c r="K806" s="1" t="s">
        <v>59</v>
      </c>
      <c r="L806" s="2">
        <v>45383</v>
      </c>
      <c r="M806" s="6">
        <f>T_SALES[[#This Row],[Profit]]/T_SALES[[#This Row],[Amount]]</f>
        <v>0.34039256198347106</v>
      </c>
    </row>
    <row r="807" spans="1:13" x14ac:dyDescent="0.25">
      <c r="A807" s="1" t="s">
        <v>870</v>
      </c>
      <c r="B807" s="7">
        <v>8468</v>
      </c>
      <c r="C807" s="8">
        <v>3666</v>
      </c>
      <c r="D807">
        <v>8</v>
      </c>
      <c r="E807" s="1" t="s">
        <v>27</v>
      </c>
      <c r="F807" s="1" t="s">
        <v>28</v>
      </c>
      <c r="G807" s="1" t="s">
        <v>15</v>
      </c>
      <c r="H807" s="2">
        <v>45411</v>
      </c>
      <c r="I807" s="1" t="s">
        <v>871</v>
      </c>
      <c r="J807" s="1" t="s">
        <v>23</v>
      </c>
      <c r="K807" s="1" t="s">
        <v>59</v>
      </c>
      <c r="L807" s="2">
        <v>45383</v>
      </c>
      <c r="M807" s="6">
        <f>T_SALES[[#This Row],[Profit]]/T_SALES[[#This Row],[Amount]]</f>
        <v>0.43292394898441189</v>
      </c>
    </row>
    <row r="808" spans="1:13" x14ac:dyDescent="0.25">
      <c r="A808" s="1" t="s">
        <v>870</v>
      </c>
      <c r="B808" s="7">
        <v>4441</v>
      </c>
      <c r="C808" s="8">
        <v>314</v>
      </c>
      <c r="D808">
        <v>14</v>
      </c>
      <c r="E808" s="1" t="s">
        <v>39</v>
      </c>
      <c r="F808" s="1" t="s">
        <v>43</v>
      </c>
      <c r="G808" s="1" t="s">
        <v>29</v>
      </c>
      <c r="H808" s="2">
        <v>45411</v>
      </c>
      <c r="I808" s="1" t="s">
        <v>871</v>
      </c>
      <c r="J808" s="1" t="s">
        <v>23</v>
      </c>
      <c r="K808" s="1" t="s">
        <v>59</v>
      </c>
      <c r="L808" s="2">
        <v>45383</v>
      </c>
      <c r="M808" s="6">
        <f>T_SALES[[#This Row],[Profit]]/T_SALES[[#This Row],[Amount]]</f>
        <v>7.0704796217068225E-2</v>
      </c>
    </row>
    <row r="809" spans="1:13" x14ac:dyDescent="0.25">
      <c r="A809" s="1" t="s">
        <v>872</v>
      </c>
      <c r="B809" s="7">
        <v>6622</v>
      </c>
      <c r="C809" s="8">
        <v>2673</v>
      </c>
      <c r="D809">
        <v>8</v>
      </c>
      <c r="E809" s="1" t="s">
        <v>39</v>
      </c>
      <c r="F809" s="1" t="s">
        <v>51</v>
      </c>
      <c r="G809" s="1" t="s">
        <v>56</v>
      </c>
      <c r="H809" s="2">
        <v>45392</v>
      </c>
      <c r="I809" s="1" t="s">
        <v>873</v>
      </c>
      <c r="J809" s="1" t="s">
        <v>23</v>
      </c>
      <c r="K809" s="1" t="s">
        <v>45</v>
      </c>
      <c r="L809" s="2">
        <v>45383</v>
      </c>
      <c r="M809" s="6">
        <f>T_SALES[[#This Row],[Profit]]/T_SALES[[#This Row],[Amount]]</f>
        <v>0.40365448504983387</v>
      </c>
    </row>
    <row r="810" spans="1:13" x14ac:dyDescent="0.25">
      <c r="A810" s="1" t="s">
        <v>874</v>
      </c>
      <c r="B810" s="7">
        <v>3260</v>
      </c>
      <c r="C810" s="8">
        <v>207</v>
      </c>
      <c r="D810">
        <v>17</v>
      </c>
      <c r="E810" s="1" t="s">
        <v>39</v>
      </c>
      <c r="F810" s="1" t="s">
        <v>40</v>
      </c>
      <c r="G810" s="1" t="s">
        <v>15</v>
      </c>
      <c r="H810" s="2">
        <v>45281</v>
      </c>
      <c r="I810" s="1" t="s">
        <v>875</v>
      </c>
      <c r="J810" s="1" t="s">
        <v>37</v>
      </c>
      <c r="K810" s="1" t="s">
        <v>65</v>
      </c>
      <c r="L810" s="2">
        <v>45261</v>
      </c>
      <c r="M810" s="6">
        <f>T_SALES[[#This Row],[Profit]]/T_SALES[[#This Row],[Amount]]</f>
        <v>6.3496932515337418E-2</v>
      </c>
    </row>
    <row r="811" spans="1:13" x14ac:dyDescent="0.25">
      <c r="A811" s="1" t="s">
        <v>876</v>
      </c>
      <c r="B811" s="7">
        <v>8709</v>
      </c>
      <c r="C811" s="8">
        <v>2322</v>
      </c>
      <c r="D811">
        <v>8</v>
      </c>
      <c r="E811" s="1" t="s">
        <v>39</v>
      </c>
      <c r="F811" s="1" t="s">
        <v>40</v>
      </c>
      <c r="G811" s="1" t="s">
        <v>29</v>
      </c>
      <c r="H811" s="2">
        <v>45414</v>
      </c>
      <c r="I811" s="1" t="s">
        <v>877</v>
      </c>
      <c r="J811" s="1" t="s">
        <v>62</v>
      </c>
      <c r="K811" s="1" t="s">
        <v>74</v>
      </c>
      <c r="L811" s="2">
        <v>45413</v>
      </c>
      <c r="M811" s="6">
        <f>T_SALES[[#This Row],[Profit]]/T_SALES[[#This Row],[Amount]]</f>
        <v>0.26662073716844642</v>
      </c>
    </row>
    <row r="812" spans="1:13" x14ac:dyDescent="0.25">
      <c r="A812" s="1" t="s">
        <v>876</v>
      </c>
      <c r="B812" s="7">
        <v>8709</v>
      </c>
      <c r="C812" s="8">
        <v>2322</v>
      </c>
      <c r="D812">
        <v>8</v>
      </c>
      <c r="E812" s="1" t="s">
        <v>39</v>
      </c>
      <c r="F812" s="1" t="s">
        <v>40</v>
      </c>
      <c r="G812" s="1" t="s">
        <v>29</v>
      </c>
      <c r="H812" s="2">
        <v>45617</v>
      </c>
      <c r="I812" s="1" t="s">
        <v>878</v>
      </c>
      <c r="J812" s="1" t="s">
        <v>37</v>
      </c>
      <c r="K812" s="1" t="s">
        <v>78</v>
      </c>
      <c r="L812" s="2">
        <v>45597</v>
      </c>
      <c r="M812" s="6">
        <f>T_SALES[[#This Row],[Profit]]/T_SALES[[#This Row],[Amount]]</f>
        <v>0.26662073716844642</v>
      </c>
    </row>
    <row r="813" spans="1:13" x14ac:dyDescent="0.25">
      <c r="A813" s="1" t="s">
        <v>879</v>
      </c>
      <c r="B813" s="7">
        <v>5250</v>
      </c>
      <c r="C813" s="8">
        <v>187</v>
      </c>
      <c r="D813">
        <v>1</v>
      </c>
      <c r="E813" s="1" t="s">
        <v>27</v>
      </c>
      <c r="F813" s="1" t="s">
        <v>67</v>
      </c>
      <c r="G813" s="1" t="s">
        <v>56</v>
      </c>
      <c r="H813" s="2">
        <v>44637</v>
      </c>
      <c r="I813" s="1" t="s">
        <v>880</v>
      </c>
      <c r="J813" s="1" t="s">
        <v>82</v>
      </c>
      <c r="K813" s="1" t="s">
        <v>89</v>
      </c>
      <c r="L813" s="2">
        <v>44621</v>
      </c>
      <c r="M813" s="6">
        <f>T_SALES[[#This Row],[Profit]]/T_SALES[[#This Row],[Amount]]</f>
        <v>3.561904761904762E-2</v>
      </c>
    </row>
    <row r="814" spans="1:13" x14ac:dyDescent="0.25">
      <c r="A814" s="1" t="s">
        <v>879</v>
      </c>
      <c r="B814" s="7">
        <v>5250</v>
      </c>
      <c r="C814" s="8">
        <v>187</v>
      </c>
      <c r="D814">
        <v>1</v>
      </c>
      <c r="E814" s="1" t="s">
        <v>27</v>
      </c>
      <c r="F814" s="1" t="s">
        <v>67</v>
      </c>
      <c r="G814" s="1" t="s">
        <v>56</v>
      </c>
      <c r="H814" s="2">
        <v>45060</v>
      </c>
      <c r="I814" s="1" t="s">
        <v>881</v>
      </c>
      <c r="J814" s="1" t="s">
        <v>62</v>
      </c>
      <c r="K814" s="1" t="s">
        <v>111</v>
      </c>
      <c r="L814" s="2">
        <v>45047</v>
      </c>
      <c r="M814" s="6">
        <f>T_SALES[[#This Row],[Profit]]/T_SALES[[#This Row],[Amount]]</f>
        <v>3.561904761904762E-2</v>
      </c>
    </row>
    <row r="815" spans="1:13" x14ac:dyDescent="0.25">
      <c r="A815" s="1" t="s">
        <v>882</v>
      </c>
      <c r="B815" s="7">
        <v>4116</v>
      </c>
      <c r="C815" s="8">
        <v>921</v>
      </c>
      <c r="D815">
        <v>20</v>
      </c>
      <c r="E815" s="1" t="s">
        <v>27</v>
      </c>
      <c r="F815" s="1" t="s">
        <v>55</v>
      </c>
      <c r="G815" s="1" t="s">
        <v>15</v>
      </c>
      <c r="H815" s="2">
        <v>45572</v>
      </c>
      <c r="I815" s="1" t="s">
        <v>883</v>
      </c>
      <c r="J815" s="1" t="s">
        <v>37</v>
      </c>
      <c r="K815" s="1" t="s">
        <v>38</v>
      </c>
      <c r="L815" s="2">
        <v>45566</v>
      </c>
      <c r="M815" s="6">
        <f>T_SALES[[#This Row],[Profit]]/T_SALES[[#This Row],[Amount]]</f>
        <v>0.22376093294460642</v>
      </c>
    </row>
    <row r="816" spans="1:13" x14ac:dyDescent="0.25">
      <c r="A816" s="1" t="s">
        <v>882</v>
      </c>
      <c r="B816" s="7">
        <v>4116</v>
      </c>
      <c r="C816" s="8">
        <v>921</v>
      </c>
      <c r="D816">
        <v>20</v>
      </c>
      <c r="E816" s="1" t="s">
        <v>27</v>
      </c>
      <c r="F816" s="1" t="s">
        <v>55</v>
      </c>
      <c r="G816" s="1" t="s">
        <v>15</v>
      </c>
      <c r="H816" s="2">
        <v>44082</v>
      </c>
      <c r="I816" s="1" t="s">
        <v>884</v>
      </c>
      <c r="J816" s="1" t="s">
        <v>20</v>
      </c>
      <c r="K816" s="1" t="s">
        <v>54</v>
      </c>
      <c r="L816" s="2">
        <v>44075</v>
      </c>
      <c r="M816" s="6">
        <f>T_SALES[[#This Row],[Profit]]/T_SALES[[#This Row],[Amount]]</f>
        <v>0.22376093294460642</v>
      </c>
    </row>
    <row r="817" spans="1:13" x14ac:dyDescent="0.25">
      <c r="A817" s="1" t="s">
        <v>885</v>
      </c>
      <c r="B817" s="7">
        <v>1109</v>
      </c>
      <c r="C817" s="8">
        <v>418</v>
      </c>
      <c r="D817">
        <v>15</v>
      </c>
      <c r="E817" s="1" t="s">
        <v>27</v>
      </c>
      <c r="F817" s="1" t="s">
        <v>55</v>
      </c>
      <c r="G817" s="1" t="s">
        <v>15</v>
      </c>
      <c r="H817" s="2">
        <v>44427</v>
      </c>
      <c r="I817" s="1" t="s">
        <v>886</v>
      </c>
      <c r="J817" s="1" t="s">
        <v>37</v>
      </c>
      <c r="K817" s="1" t="s">
        <v>38</v>
      </c>
      <c r="L817" s="2">
        <v>44409</v>
      </c>
      <c r="M817" s="6">
        <f>T_SALES[[#This Row],[Profit]]/T_SALES[[#This Row],[Amount]]</f>
        <v>0.37691614066726781</v>
      </c>
    </row>
    <row r="818" spans="1:13" x14ac:dyDescent="0.25">
      <c r="A818" s="1" t="s">
        <v>887</v>
      </c>
      <c r="B818" s="7">
        <v>3573</v>
      </c>
      <c r="C818" s="8">
        <v>562</v>
      </c>
      <c r="D818">
        <v>7</v>
      </c>
      <c r="E818" s="1" t="s">
        <v>27</v>
      </c>
      <c r="F818" s="1" t="s">
        <v>28</v>
      </c>
      <c r="G818" s="1" t="s">
        <v>35</v>
      </c>
      <c r="H818" s="2">
        <v>44846</v>
      </c>
      <c r="I818" s="1" t="s">
        <v>394</v>
      </c>
      <c r="J818" s="1" t="s">
        <v>23</v>
      </c>
      <c r="K818" s="1" t="s">
        <v>59</v>
      </c>
      <c r="L818" s="2">
        <v>44835</v>
      </c>
      <c r="M818" s="6">
        <f>T_SALES[[#This Row],[Profit]]/T_SALES[[#This Row],[Amount]]</f>
        <v>0.15729079205149735</v>
      </c>
    </row>
    <row r="819" spans="1:13" x14ac:dyDescent="0.25">
      <c r="A819" s="1" t="s">
        <v>887</v>
      </c>
      <c r="B819" s="7">
        <v>3573</v>
      </c>
      <c r="C819" s="8">
        <v>562</v>
      </c>
      <c r="D819">
        <v>7</v>
      </c>
      <c r="E819" s="1" t="s">
        <v>27</v>
      </c>
      <c r="F819" s="1" t="s">
        <v>28</v>
      </c>
      <c r="G819" s="1" t="s">
        <v>35</v>
      </c>
      <c r="H819" s="2">
        <v>43974</v>
      </c>
      <c r="I819" s="1" t="s">
        <v>888</v>
      </c>
      <c r="J819" s="1" t="s">
        <v>37</v>
      </c>
      <c r="K819" s="1" t="s">
        <v>65</v>
      </c>
      <c r="L819" s="2">
        <v>43952</v>
      </c>
      <c r="M819" s="6">
        <f>T_SALES[[#This Row],[Profit]]/T_SALES[[#This Row],[Amount]]</f>
        <v>0.15729079205149735</v>
      </c>
    </row>
    <row r="820" spans="1:13" x14ac:dyDescent="0.25">
      <c r="A820" s="1" t="s">
        <v>887</v>
      </c>
      <c r="B820" s="7">
        <v>3573</v>
      </c>
      <c r="C820" s="8">
        <v>562</v>
      </c>
      <c r="D820">
        <v>7</v>
      </c>
      <c r="E820" s="1" t="s">
        <v>27</v>
      </c>
      <c r="F820" s="1" t="s">
        <v>28</v>
      </c>
      <c r="G820" s="1" t="s">
        <v>35</v>
      </c>
      <c r="H820" s="2">
        <v>43939</v>
      </c>
      <c r="I820" s="1" t="s">
        <v>889</v>
      </c>
      <c r="J820" s="1" t="s">
        <v>17</v>
      </c>
      <c r="K820" s="1" t="s">
        <v>121</v>
      </c>
      <c r="L820" s="2">
        <v>43922</v>
      </c>
      <c r="M820" s="6">
        <f>T_SALES[[#This Row],[Profit]]/T_SALES[[#This Row],[Amount]]</f>
        <v>0.15729079205149735</v>
      </c>
    </row>
    <row r="821" spans="1:13" x14ac:dyDescent="0.25">
      <c r="A821" s="1" t="s">
        <v>887</v>
      </c>
      <c r="B821" s="7">
        <v>8055</v>
      </c>
      <c r="C821" s="8">
        <v>661</v>
      </c>
      <c r="D821">
        <v>10</v>
      </c>
      <c r="E821" s="1" t="s">
        <v>13</v>
      </c>
      <c r="F821" s="1" t="s">
        <v>70</v>
      </c>
      <c r="G821" s="1" t="s">
        <v>35</v>
      </c>
      <c r="H821" s="2">
        <v>44846</v>
      </c>
      <c r="I821" s="1" t="s">
        <v>394</v>
      </c>
      <c r="J821" s="1" t="s">
        <v>23</v>
      </c>
      <c r="K821" s="1" t="s">
        <v>59</v>
      </c>
      <c r="L821" s="2">
        <v>44835</v>
      </c>
      <c r="M821" s="6">
        <f>T_SALES[[#This Row],[Profit]]/T_SALES[[#This Row],[Amount]]</f>
        <v>8.2060831781502169E-2</v>
      </c>
    </row>
    <row r="822" spans="1:13" x14ac:dyDescent="0.25">
      <c r="A822" s="1" t="s">
        <v>887</v>
      </c>
      <c r="B822" s="7">
        <v>8055</v>
      </c>
      <c r="C822" s="8">
        <v>661</v>
      </c>
      <c r="D822">
        <v>10</v>
      </c>
      <c r="E822" s="1" t="s">
        <v>13</v>
      </c>
      <c r="F822" s="1" t="s">
        <v>70</v>
      </c>
      <c r="G822" s="1" t="s">
        <v>35</v>
      </c>
      <c r="H822" s="2">
        <v>43974</v>
      </c>
      <c r="I822" s="1" t="s">
        <v>888</v>
      </c>
      <c r="J822" s="1" t="s">
        <v>37</v>
      </c>
      <c r="K822" s="1" t="s">
        <v>65</v>
      </c>
      <c r="L822" s="2">
        <v>43952</v>
      </c>
      <c r="M822" s="6">
        <f>T_SALES[[#This Row],[Profit]]/T_SALES[[#This Row],[Amount]]</f>
        <v>8.2060831781502169E-2</v>
      </c>
    </row>
    <row r="823" spans="1:13" x14ac:dyDescent="0.25">
      <c r="A823" s="1" t="s">
        <v>887</v>
      </c>
      <c r="B823" s="7">
        <v>8055</v>
      </c>
      <c r="C823" s="8">
        <v>661</v>
      </c>
      <c r="D823">
        <v>10</v>
      </c>
      <c r="E823" s="1" t="s">
        <v>13</v>
      </c>
      <c r="F823" s="1" t="s">
        <v>70</v>
      </c>
      <c r="G823" s="1" t="s">
        <v>35</v>
      </c>
      <c r="H823" s="2">
        <v>43939</v>
      </c>
      <c r="I823" s="1" t="s">
        <v>889</v>
      </c>
      <c r="J823" s="1" t="s">
        <v>17</v>
      </c>
      <c r="K823" s="1" t="s">
        <v>121</v>
      </c>
      <c r="L823" s="2">
        <v>43922</v>
      </c>
      <c r="M823" s="6">
        <f>T_SALES[[#This Row],[Profit]]/T_SALES[[#This Row],[Amount]]</f>
        <v>8.2060831781502169E-2</v>
      </c>
    </row>
    <row r="824" spans="1:13" x14ac:dyDescent="0.25">
      <c r="A824" s="1" t="s">
        <v>890</v>
      </c>
      <c r="B824" s="7">
        <v>6829</v>
      </c>
      <c r="C824" s="8">
        <v>2609</v>
      </c>
      <c r="D824">
        <v>2</v>
      </c>
      <c r="E824" s="1" t="s">
        <v>13</v>
      </c>
      <c r="F824" s="1" t="s">
        <v>34</v>
      </c>
      <c r="G824" s="1" t="s">
        <v>35</v>
      </c>
      <c r="H824" s="2">
        <v>44716</v>
      </c>
      <c r="I824" s="1" t="s">
        <v>891</v>
      </c>
      <c r="J824" s="1" t="s">
        <v>37</v>
      </c>
      <c r="K824" s="1" t="s">
        <v>78</v>
      </c>
      <c r="L824" s="2">
        <v>44713</v>
      </c>
      <c r="M824" s="6">
        <f>T_SALES[[#This Row],[Profit]]/T_SALES[[#This Row],[Amount]]</f>
        <v>0.38204715185239418</v>
      </c>
    </row>
    <row r="825" spans="1:13" x14ac:dyDescent="0.25">
      <c r="A825" s="1" t="s">
        <v>890</v>
      </c>
      <c r="B825" s="7">
        <v>6390</v>
      </c>
      <c r="C825" s="8">
        <v>3089</v>
      </c>
      <c r="D825">
        <v>12</v>
      </c>
      <c r="E825" s="1" t="s">
        <v>27</v>
      </c>
      <c r="F825" s="1" t="s">
        <v>55</v>
      </c>
      <c r="G825" s="1" t="s">
        <v>56</v>
      </c>
      <c r="H825" s="2">
        <v>44716</v>
      </c>
      <c r="I825" s="1" t="s">
        <v>891</v>
      </c>
      <c r="J825" s="1" t="s">
        <v>37</v>
      </c>
      <c r="K825" s="1" t="s">
        <v>78</v>
      </c>
      <c r="L825" s="2">
        <v>44713</v>
      </c>
      <c r="M825" s="6">
        <f>T_SALES[[#This Row],[Profit]]/T_SALES[[#This Row],[Amount]]</f>
        <v>0.4834115805946792</v>
      </c>
    </row>
    <row r="826" spans="1:13" x14ac:dyDescent="0.25">
      <c r="A826" s="1" t="s">
        <v>892</v>
      </c>
      <c r="B826" s="7">
        <v>5831</v>
      </c>
      <c r="C826" s="8">
        <v>1574</v>
      </c>
      <c r="D826">
        <v>17</v>
      </c>
      <c r="E826" s="1" t="s">
        <v>27</v>
      </c>
      <c r="F826" s="1" t="s">
        <v>28</v>
      </c>
      <c r="G826" s="1" t="s">
        <v>29</v>
      </c>
      <c r="H826" s="2">
        <v>44881</v>
      </c>
      <c r="I826" s="1" t="s">
        <v>893</v>
      </c>
      <c r="J826" s="1" t="s">
        <v>37</v>
      </c>
      <c r="K826" s="1" t="s">
        <v>78</v>
      </c>
      <c r="L826" s="2">
        <v>44866</v>
      </c>
      <c r="M826" s="6">
        <f>T_SALES[[#This Row],[Profit]]/T_SALES[[#This Row],[Amount]]</f>
        <v>0.26993654604699024</v>
      </c>
    </row>
    <row r="827" spans="1:13" x14ac:dyDescent="0.25">
      <c r="A827" s="1" t="s">
        <v>892</v>
      </c>
      <c r="B827" s="7">
        <v>5831</v>
      </c>
      <c r="C827" s="8">
        <v>1574</v>
      </c>
      <c r="D827">
        <v>17</v>
      </c>
      <c r="E827" s="1" t="s">
        <v>27</v>
      </c>
      <c r="F827" s="1" t="s">
        <v>28</v>
      </c>
      <c r="G827" s="1" t="s">
        <v>29</v>
      </c>
      <c r="H827" s="2">
        <v>45491</v>
      </c>
      <c r="I827" s="1" t="s">
        <v>894</v>
      </c>
      <c r="J827" s="1" t="s">
        <v>37</v>
      </c>
      <c r="K827" s="1" t="s">
        <v>65</v>
      </c>
      <c r="L827" s="2">
        <v>45474</v>
      </c>
      <c r="M827" s="6">
        <f>T_SALES[[#This Row],[Profit]]/T_SALES[[#This Row],[Amount]]</f>
        <v>0.26993654604699024</v>
      </c>
    </row>
    <row r="828" spans="1:13" x14ac:dyDescent="0.25">
      <c r="A828" s="1" t="s">
        <v>892</v>
      </c>
      <c r="B828" s="7">
        <v>5831</v>
      </c>
      <c r="C828" s="8">
        <v>1574</v>
      </c>
      <c r="D828">
        <v>17</v>
      </c>
      <c r="E828" s="1" t="s">
        <v>27</v>
      </c>
      <c r="F828" s="1" t="s">
        <v>28</v>
      </c>
      <c r="G828" s="1" t="s">
        <v>29</v>
      </c>
      <c r="H828" s="2">
        <v>45123</v>
      </c>
      <c r="I828" s="1" t="s">
        <v>895</v>
      </c>
      <c r="J828" s="1" t="s">
        <v>17</v>
      </c>
      <c r="K828" s="1" t="s">
        <v>18</v>
      </c>
      <c r="L828" s="2">
        <v>45108</v>
      </c>
      <c r="M828" s="6">
        <f>T_SALES[[#This Row],[Profit]]/T_SALES[[#This Row],[Amount]]</f>
        <v>0.26993654604699024</v>
      </c>
    </row>
    <row r="829" spans="1:13" x14ac:dyDescent="0.25">
      <c r="A829" s="1" t="s">
        <v>896</v>
      </c>
      <c r="B829" s="7">
        <v>7952</v>
      </c>
      <c r="C829" s="8">
        <v>3865</v>
      </c>
      <c r="D829">
        <v>8</v>
      </c>
      <c r="E829" s="1" t="s">
        <v>39</v>
      </c>
      <c r="F829" s="1" t="s">
        <v>51</v>
      </c>
      <c r="G829" s="1" t="s">
        <v>29</v>
      </c>
      <c r="H829" s="2">
        <v>44053</v>
      </c>
      <c r="I829" s="1" t="s">
        <v>897</v>
      </c>
      <c r="J829" s="1" t="s">
        <v>20</v>
      </c>
      <c r="K829" s="1" t="s">
        <v>137</v>
      </c>
      <c r="L829" s="2">
        <v>44044</v>
      </c>
      <c r="M829" s="6">
        <f>T_SALES[[#This Row],[Profit]]/T_SALES[[#This Row],[Amount]]</f>
        <v>0.48604124748490946</v>
      </c>
    </row>
    <row r="830" spans="1:13" x14ac:dyDescent="0.25">
      <c r="A830" s="1" t="s">
        <v>898</v>
      </c>
      <c r="B830" s="7">
        <v>3659</v>
      </c>
      <c r="C830" s="8">
        <v>379</v>
      </c>
      <c r="D830">
        <v>5</v>
      </c>
      <c r="E830" s="1" t="s">
        <v>39</v>
      </c>
      <c r="F830" s="1" t="s">
        <v>90</v>
      </c>
      <c r="G830" s="1" t="s">
        <v>15</v>
      </c>
      <c r="H830" s="2">
        <v>45465</v>
      </c>
      <c r="I830" s="1" t="s">
        <v>899</v>
      </c>
      <c r="J830" s="1" t="s">
        <v>37</v>
      </c>
      <c r="K830" s="1" t="s">
        <v>38</v>
      </c>
      <c r="L830" s="2">
        <v>45444</v>
      </c>
      <c r="M830" s="6">
        <f>T_SALES[[#This Row],[Profit]]/T_SALES[[#This Row],[Amount]]</f>
        <v>0.10358021317299809</v>
      </c>
    </row>
    <row r="831" spans="1:13" x14ac:dyDescent="0.25">
      <c r="A831" s="1" t="s">
        <v>900</v>
      </c>
      <c r="B831" s="7">
        <v>4183</v>
      </c>
      <c r="C831" s="8">
        <v>1159</v>
      </c>
      <c r="D831">
        <v>4</v>
      </c>
      <c r="E831" s="1" t="s">
        <v>27</v>
      </c>
      <c r="F831" s="1" t="s">
        <v>28</v>
      </c>
      <c r="G831" s="1" t="s">
        <v>29</v>
      </c>
      <c r="H831" s="2">
        <v>44025</v>
      </c>
      <c r="I831" s="1" t="s">
        <v>901</v>
      </c>
      <c r="J831" s="1" t="s">
        <v>20</v>
      </c>
      <c r="K831" s="1" t="s">
        <v>54</v>
      </c>
      <c r="L831" s="2">
        <v>44013</v>
      </c>
      <c r="M831" s="6">
        <f>T_SALES[[#This Row],[Profit]]/T_SALES[[#This Row],[Amount]]</f>
        <v>0.27707387042792253</v>
      </c>
    </row>
    <row r="832" spans="1:13" x14ac:dyDescent="0.25">
      <c r="A832" s="1" t="s">
        <v>902</v>
      </c>
      <c r="B832" s="7">
        <v>7478</v>
      </c>
      <c r="C832" s="8">
        <v>1381</v>
      </c>
      <c r="D832">
        <v>11</v>
      </c>
      <c r="E832" s="1" t="s">
        <v>13</v>
      </c>
      <c r="F832" s="1" t="s">
        <v>70</v>
      </c>
      <c r="G832" s="1" t="s">
        <v>35</v>
      </c>
      <c r="H832" s="2">
        <v>45398</v>
      </c>
      <c r="I832" s="1" t="s">
        <v>903</v>
      </c>
      <c r="J832" s="1" t="s">
        <v>62</v>
      </c>
      <c r="K832" s="1" t="s">
        <v>111</v>
      </c>
      <c r="L832" s="2">
        <v>45383</v>
      </c>
      <c r="M832" s="6">
        <f>T_SALES[[#This Row],[Profit]]/T_SALES[[#This Row],[Amount]]</f>
        <v>0.18467504680395827</v>
      </c>
    </row>
    <row r="833" spans="1:13" x14ac:dyDescent="0.25">
      <c r="A833" s="1" t="s">
        <v>904</v>
      </c>
      <c r="B833" s="7">
        <v>702</v>
      </c>
      <c r="C833" s="8">
        <v>238</v>
      </c>
      <c r="D833">
        <v>9</v>
      </c>
      <c r="E833" s="1" t="s">
        <v>13</v>
      </c>
      <c r="F833" s="1" t="s">
        <v>70</v>
      </c>
      <c r="G833" s="1" t="s">
        <v>56</v>
      </c>
      <c r="H833" s="2">
        <v>44268</v>
      </c>
      <c r="I833" s="1" t="s">
        <v>905</v>
      </c>
      <c r="J833" s="1" t="s">
        <v>17</v>
      </c>
      <c r="K833" s="1" t="s">
        <v>121</v>
      </c>
      <c r="L833" s="2">
        <v>44256</v>
      </c>
      <c r="M833" s="6">
        <f>T_SALES[[#This Row],[Profit]]/T_SALES[[#This Row],[Amount]]</f>
        <v>0.33903133903133903</v>
      </c>
    </row>
    <row r="834" spans="1:13" x14ac:dyDescent="0.25">
      <c r="A834" s="1" t="s">
        <v>906</v>
      </c>
      <c r="B834" s="7">
        <v>4037</v>
      </c>
      <c r="C834" s="8">
        <v>1494</v>
      </c>
      <c r="D834">
        <v>15</v>
      </c>
      <c r="E834" s="1" t="s">
        <v>39</v>
      </c>
      <c r="F834" s="1" t="s">
        <v>43</v>
      </c>
      <c r="G834" s="1" t="s">
        <v>35</v>
      </c>
      <c r="H834" s="2">
        <v>45017</v>
      </c>
      <c r="I834" s="1" t="s">
        <v>907</v>
      </c>
      <c r="J834" s="1" t="s">
        <v>37</v>
      </c>
      <c r="K834" s="1" t="s">
        <v>78</v>
      </c>
      <c r="L834" s="2">
        <v>45017</v>
      </c>
      <c r="M834" s="6">
        <f>T_SALES[[#This Row],[Profit]]/T_SALES[[#This Row],[Amount]]</f>
        <v>0.37007678969531832</v>
      </c>
    </row>
    <row r="835" spans="1:13" x14ac:dyDescent="0.25">
      <c r="A835" s="1" t="s">
        <v>908</v>
      </c>
      <c r="B835" s="7">
        <v>5014</v>
      </c>
      <c r="C835" s="8">
        <v>2332</v>
      </c>
      <c r="D835">
        <v>2</v>
      </c>
      <c r="E835" s="1" t="s">
        <v>39</v>
      </c>
      <c r="F835" s="1" t="s">
        <v>43</v>
      </c>
      <c r="G835" s="1" t="s">
        <v>56</v>
      </c>
      <c r="H835" s="2">
        <v>44145</v>
      </c>
      <c r="I835" s="1" t="s">
        <v>909</v>
      </c>
      <c r="J835" s="1" t="s">
        <v>20</v>
      </c>
      <c r="K835" s="1" t="s">
        <v>21</v>
      </c>
      <c r="L835" s="2">
        <v>44136</v>
      </c>
      <c r="M835" s="6">
        <f>T_SALES[[#This Row],[Profit]]/T_SALES[[#This Row],[Amount]]</f>
        <v>0.46509772636617469</v>
      </c>
    </row>
    <row r="836" spans="1:13" x14ac:dyDescent="0.25">
      <c r="A836" s="1" t="s">
        <v>910</v>
      </c>
      <c r="B836" s="7">
        <v>9879</v>
      </c>
      <c r="C836" s="8">
        <v>4930</v>
      </c>
      <c r="D836">
        <v>15</v>
      </c>
      <c r="E836" s="1" t="s">
        <v>13</v>
      </c>
      <c r="F836" s="1" t="s">
        <v>34</v>
      </c>
      <c r="G836" s="1" t="s">
        <v>29</v>
      </c>
      <c r="H836" s="2">
        <v>45085</v>
      </c>
      <c r="I836" s="1" t="s">
        <v>911</v>
      </c>
      <c r="J836" s="1" t="s">
        <v>23</v>
      </c>
      <c r="K836" s="1" t="s">
        <v>59</v>
      </c>
      <c r="L836" s="2">
        <v>45078</v>
      </c>
      <c r="M836" s="6">
        <f>T_SALES[[#This Row],[Profit]]/T_SALES[[#This Row],[Amount]]</f>
        <v>0.49903836420690351</v>
      </c>
    </row>
    <row r="837" spans="1:13" x14ac:dyDescent="0.25">
      <c r="A837" s="1" t="s">
        <v>912</v>
      </c>
      <c r="B837" s="7">
        <v>8762</v>
      </c>
      <c r="C837" s="8">
        <v>3502</v>
      </c>
      <c r="D837">
        <v>1</v>
      </c>
      <c r="E837" s="1" t="s">
        <v>13</v>
      </c>
      <c r="F837" s="1" t="s">
        <v>70</v>
      </c>
      <c r="G837" s="1" t="s">
        <v>29</v>
      </c>
      <c r="H837" s="2">
        <v>44425</v>
      </c>
      <c r="I837" s="1" t="s">
        <v>913</v>
      </c>
      <c r="J837" s="1" t="s">
        <v>17</v>
      </c>
      <c r="K837" s="1" t="s">
        <v>121</v>
      </c>
      <c r="L837" s="2">
        <v>44409</v>
      </c>
      <c r="M837" s="6">
        <f>T_SALES[[#This Row],[Profit]]/T_SALES[[#This Row],[Amount]]</f>
        <v>0.39968043825610589</v>
      </c>
    </row>
    <row r="838" spans="1:13" x14ac:dyDescent="0.25">
      <c r="A838" s="1" t="s">
        <v>914</v>
      </c>
      <c r="B838" s="7">
        <v>8490</v>
      </c>
      <c r="C838" s="8">
        <v>800</v>
      </c>
      <c r="D838">
        <v>1</v>
      </c>
      <c r="E838" s="1" t="s">
        <v>27</v>
      </c>
      <c r="F838" s="1" t="s">
        <v>28</v>
      </c>
      <c r="G838" s="1" t="s">
        <v>35</v>
      </c>
      <c r="H838" s="2">
        <v>43975</v>
      </c>
      <c r="I838" s="1" t="s">
        <v>915</v>
      </c>
      <c r="J838" s="1" t="s">
        <v>23</v>
      </c>
      <c r="K838" s="1" t="s">
        <v>45</v>
      </c>
      <c r="L838" s="2">
        <v>43952</v>
      </c>
      <c r="M838" s="6">
        <f>T_SALES[[#This Row],[Profit]]/T_SALES[[#This Row],[Amount]]</f>
        <v>9.4228504122497059E-2</v>
      </c>
    </row>
    <row r="839" spans="1:13" x14ac:dyDescent="0.25">
      <c r="A839" s="1" t="s">
        <v>916</v>
      </c>
      <c r="B839" s="7">
        <v>6951</v>
      </c>
      <c r="C839" s="8">
        <v>164</v>
      </c>
      <c r="D839">
        <v>10</v>
      </c>
      <c r="E839" s="1" t="s">
        <v>39</v>
      </c>
      <c r="F839" s="1" t="s">
        <v>51</v>
      </c>
      <c r="G839" s="1" t="s">
        <v>15</v>
      </c>
      <c r="H839" s="2">
        <v>44420</v>
      </c>
      <c r="I839" s="1" t="s">
        <v>917</v>
      </c>
      <c r="J839" s="1" t="s">
        <v>23</v>
      </c>
      <c r="K839" s="1" t="s">
        <v>24</v>
      </c>
      <c r="L839" s="2">
        <v>44409</v>
      </c>
      <c r="M839" s="6">
        <f>T_SALES[[#This Row],[Profit]]/T_SALES[[#This Row],[Amount]]</f>
        <v>2.3593727521219968E-2</v>
      </c>
    </row>
    <row r="840" spans="1:13" x14ac:dyDescent="0.25">
      <c r="A840" s="1" t="s">
        <v>918</v>
      </c>
      <c r="B840" s="7">
        <v>1078</v>
      </c>
      <c r="C840" s="8">
        <v>309</v>
      </c>
      <c r="D840">
        <v>3</v>
      </c>
      <c r="E840" s="1" t="s">
        <v>13</v>
      </c>
      <c r="F840" s="1" t="s">
        <v>70</v>
      </c>
      <c r="G840" s="1" t="s">
        <v>41</v>
      </c>
      <c r="H840" s="2">
        <v>44807</v>
      </c>
      <c r="I840" s="1" t="s">
        <v>919</v>
      </c>
      <c r="J840" s="1" t="s">
        <v>82</v>
      </c>
      <c r="K840" s="1" t="s">
        <v>97</v>
      </c>
      <c r="L840" s="2">
        <v>44805</v>
      </c>
      <c r="M840" s="6">
        <f>T_SALES[[#This Row],[Profit]]/T_SALES[[#This Row],[Amount]]</f>
        <v>0.28664192949907236</v>
      </c>
    </row>
    <row r="841" spans="1:13" x14ac:dyDescent="0.25">
      <c r="A841" s="1" t="s">
        <v>918</v>
      </c>
      <c r="B841" s="7">
        <v>1078</v>
      </c>
      <c r="C841" s="8">
        <v>309</v>
      </c>
      <c r="D841">
        <v>3</v>
      </c>
      <c r="E841" s="1" t="s">
        <v>13</v>
      </c>
      <c r="F841" s="1" t="s">
        <v>70</v>
      </c>
      <c r="G841" s="1" t="s">
        <v>41</v>
      </c>
      <c r="H841" s="2">
        <v>44105</v>
      </c>
      <c r="I841" s="1" t="s">
        <v>920</v>
      </c>
      <c r="J841" s="1" t="s">
        <v>20</v>
      </c>
      <c r="K841" s="1" t="s">
        <v>21</v>
      </c>
      <c r="L841" s="2">
        <v>44105</v>
      </c>
      <c r="M841" s="6">
        <f>T_SALES[[#This Row],[Profit]]/T_SALES[[#This Row],[Amount]]</f>
        <v>0.28664192949907236</v>
      </c>
    </row>
    <row r="842" spans="1:13" x14ac:dyDescent="0.25">
      <c r="A842" s="1" t="s">
        <v>921</v>
      </c>
      <c r="B842" s="7">
        <v>8560</v>
      </c>
      <c r="C842" s="8">
        <v>2166</v>
      </c>
      <c r="D842">
        <v>19</v>
      </c>
      <c r="E842" s="1" t="s">
        <v>27</v>
      </c>
      <c r="F842" s="1" t="s">
        <v>67</v>
      </c>
      <c r="G842" s="1" t="s">
        <v>35</v>
      </c>
      <c r="H842" s="2">
        <v>44708</v>
      </c>
      <c r="I842" s="1" t="s">
        <v>922</v>
      </c>
      <c r="J842" s="1" t="s">
        <v>17</v>
      </c>
      <c r="K842" s="1" t="s">
        <v>121</v>
      </c>
      <c r="L842" s="2">
        <v>44682</v>
      </c>
      <c r="M842" s="6">
        <f>T_SALES[[#This Row],[Profit]]/T_SALES[[#This Row],[Amount]]</f>
        <v>0.25303738317757007</v>
      </c>
    </row>
    <row r="843" spans="1:13" x14ac:dyDescent="0.25">
      <c r="A843" s="1" t="s">
        <v>921</v>
      </c>
      <c r="B843" s="7">
        <v>1031</v>
      </c>
      <c r="C843" s="8">
        <v>318</v>
      </c>
      <c r="D843">
        <v>20</v>
      </c>
      <c r="E843" s="1" t="s">
        <v>13</v>
      </c>
      <c r="F843" s="1" t="s">
        <v>14</v>
      </c>
      <c r="G843" s="1" t="s">
        <v>15</v>
      </c>
      <c r="H843" s="2">
        <v>44708</v>
      </c>
      <c r="I843" s="1" t="s">
        <v>922</v>
      </c>
      <c r="J843" s="1" t="s">
        <v>17</v>
      </c>
      <c r="K843" s="1" t="s">
        <v>121</v>
      </c>
      <c r="L843" s="2">
        <v>44682</v>
      </c>
      <c r="M843" s="6">
        <f>T_SALES[[#This Row],[Profit]]/T_SALES[[#This Row],[Amount]]</f>
        <v>0.30843840931134819</v>
      </c>
    </row>
    <row r="844" spans="1:13" x14ac:dyDescent="0.25">
      <c r="A844" s="1" t="s">
        <v>923</v>
      </c>
      <c r="B844" s="7">
        <v>6402</v>
      </c>
      <c r="C844" s="8">
        <v>2770</v>
      </c>
      <c r="D844">
        <v>19</v>
      </c>
      <c r="E844" s="1" t="s">
        <v>27</v>
      </c>
      <c r="F844" s="1" t="s">
        <v>49</v>
      </c>
      <c r="G844" s="1" t="s">
        <v>29</v>
      </c>
      <c r="H844" s="2">
        <v>45361</v>
      </c>
      <c r="I844" s="1" t="s">
        <v>924</v>
      </c>
      <c r="J844" s="1" t="s">
        <v>17</v>
      </c>
      <c r="K844" s="1" t="s">
        <v>31</v>
      </c>
      <c r="L844" s="2">
        <v>45352</v>
      </c>
      <c r="M844" s="6">
        <f>T_SALES[[#This Row],[Profit]]/T_SALES[[#This Row],[Amount]]</f>
        <v>0.43267728834739144</v>
      </c>
    </row>
    <row r="845" spans="1:13" x14ac:dyDescent="0.25">
      <c r="A845" s="1" t="s">
        <v>923</v>
      </c>
      <c r="B845" s="7">
        <v>6402</v>
      </c>
      <c r="C845" s="8">
        <v>2770</v>
      </c>
      <c r="D845">
        <v>19</v>
      </c>
      <c r="E845" s="1" t="s">
        <v>27</v>
      </c>
      <c r="F845" s="1" t="s">
        <v>49</v>
      </c>
      <c r="G845" s="1" t="s">
        <v>29</v>
      </c>
      <c r="H845" s="2">
        <v>45204</v>
      </c>
      <c r="I845" s="1" t="s">
        <v>925</v>
      </c>
      <c r="J845" s="1" t="s">
        <v>17</v>
      </c>
      <c r="K845" s="1" t="s">
        <v>31</v>
      </c>
      <c r="L845" s="2">
        <v>45200</v>
      </c>
      <c r="M845" s="6">
        <f>T_SALES[[#This Row],[Profit]]/T_SALES[[#This Row],[Amount]]</f>
        <v>0.43267728834739144</v>
      </c>
    </row>
    <row r="846" spans="1:13" x14ac:dyDescent="0.25">
      <c r="A846" s="1" t="s">
        <v>923</v>
      </c>
      <c r="B846" s="7">
        <v>5916</v>
      </c>
      <c r="C846" s="8">
        <v>1594</v>
      </c>
      <c r="D846">
        <v>19</v>
      </c>
      <c r="E846" s="1" t="s">
        <v>13</v>
      </c>
      <c r="F846" s="1" t="s">
        <v>25</v>
      </c>
      <c r="G846" s="1" t="s">
        <v>29</v>
      </c>
      <c r="H846" s="2">
        <v>45361</v>
      </c>
      <c r="I846" s="1" t="s">
        <v>924</v>
      </c>
      <c r="J846" s="1" t="s">
        <v>17</v>
      </c>
      <c r="K846" s="1" t="s">
        <v>31</v>
      </c>
      <c r="L846" s="2">
        <v>45352</v>
      </c>
      <c r="M846" s="6">
        <f>T_SALES[[#This Row],[Profit]]/T_SALES[[#This Row],[Amount]]</f>
        <v>0.26943881000676134</v>
      </c>
    </row>
    <row r="847" spans="1:13" x14ac:dyDescent="0.25">
      <c r="A847" s="1" t="s">
        <v>923</v>
      </c>
      <c r="B847" s="7">
        <v>5916</v>
      </c>
      <c r="C847" s="8">
        <v>1594</v>
      </c>
      <c r="D847">
        <v>19</v>
      </c>
      <c r="E847" s="1" t="s">
        <v>13</v>
      </c>
      <c r="F847" s="1" t="s">
        <v>25</v>
      </c>
      <c r="G847" s="1" t="s">
        <v>29</v>
      </c>
      <c r="H847" s="2">
        <v>45204</v>
      </c>
      <c r="I847" s="1" t="s">
        <v>925</v>
      </c>
      <c r="J847" s="1" t="s">
        <v>17</v>
      </c>
      <c r="K847" s="1" t="s">
        <v>31</v>
      </c>
      <c r="L847" s="2">
        <v>45200</v>
      </c>
      <c r="M847" s="6">
        <f>T_SALES[[#This Row],[Profit]]/T_SALES[[#This Row],[Amount]]</f>
        <v>0.26943881000676134</v>
      </c>
    </row>
    <row r="848" spans="1:13" x14ac:dyDescent="0.25">
      <c r="A848" s="1" t="s">
        <v>926</v>
      </c>
      <c r="B848" s="7">
        <v>4015</v>
      </c>
      <c r="C848" s="8">
        <v>1751</v>
      </c>
      <c r="D848">
        <v>15</v>
      </c>
      <c r="E848" s="1" t="s">
        <v>39</v>
      </c>
      <c r="F848" s="1" t="s">
        <v>43</v>
      </c>
      <c r="G848" s="1" t="s">
        <v>29</v>
      </c>
      <c r="H848" s="2">
        <v>44801</v>
      </c>
      <c r="I848" s="1" t="s">
        <v>927</v>
      </c>
      <c r="J848" s="1" t="s">
        <v>37</v>
      </c>
      <c r="K848" s="1" t="s">
        <v>78</v>
      </c>
      <c r="L848" s="2">
        <v>44774</v>
      </c>
      <c r="M848" s="6">
        <f>T_SALES[[#This Row],[Profit]]/T_SALES[[#This Row],[Amount]]</f>
        <v>0.4361145703611457</v>
      </c>
    </row>
    <row r="849" spans="1:13" x14ac:dyDescent="0.25">
      <c r="A849" s="1" t="s">
        <v>926</v>
      </c>
      <c r="B849" s="7">
        <v>4015</v>
      </c>
      <c r="C849" s="8">
        <v>1751</v>
      </c>
      <c r="D849">
        <v>15</v>
      </c>
      <c r="E849" s="1" t="s">
        <v>39</v>
      </c>
      <c r="F849" s="1" t="s">
        <v>43</v>
      </c>
      <c r="G849" s="1" t="s">
        <v>29</v>
      </c>
      <c r="H849" s="2">
        <v>44082</v>
      </c>
      <c r="I849" s="1" t="s">
        <v>928</v>
      </c>
      <c r="J849" s="1" t="s">
        <v>23</v>
      </c>
      <c r="K849" s="1" t="s">
        <v>45</v>
      </c>
      <c r="L849" s="2">
        <v>44075</v>
      </c>
      <c r="M849" s="6">
        <f>T_SALES[[#This Row],[Profit]]/T_SALES[[#This Row],[Amount]]</f>
        <v>0.4361145703611457</v>
      </c>
    </row>
    <row r="850" spans="1:13" x14ac:dyDescent="0.25">
      <c r="A850" s="1" t="s">
        <v>929</v>
      </c>
      <c r="B850" s="7">
        <v>9335</v>
      </c>
      <c r="C850" s="8">
        <v>557</v>
      </c>
      <c r="D850">
        <v>11</v>
      </c>
      <c r="E850" s="1" t="s">
        <v>13</v>
      </c>
      <c r="F850" s="1" t="s">
        <v>14</v>
      </c>
      <c r="G850" s="1" t="s">
        <v>56</v>
      </c>
      <c r="H850" s="2">
        <v>44313</v>
      </c>
      <c r="I850" s="1" t="s">
        <v>930</v>
      </c>
      <c r="J850" s="1" t="s">
        <v>37</v>
      </c>
      <c r="K850" s="1" t="s">
        <v>38</v>
      </c>
      <c r="L850" s="2">
        <v>44287</v>
      </c>
      <c r="M850" s="6">
        <f>T_SALES[[#This Row],[Profit]]/T_SALES[[#This Row],[Amount]]</f>
        <v>5.966791644349223E-2</v>
      </c>
    </row>
    <row r="851" spans="1:13" x14ac:dyDescent="0.25">
      <c r="A851" s="1" t="s">
        <v>931</v>
      </c>
      <c r="B851" s="7">
        <v>4706</v>
      </c>
      <c r="C851" s="8">
        <v>594</v>
      </c>
      <c r="D851">
        <v>11</v>
      </c>
      <c r="E851" s="1" t="s">
        <v>27</v>
      </c>
      <c r="F851" s="1" t="s">
        <v>67</v>
      </c>
      <c r="G851" s="1" t="s">
        <v>56</v>
      </c>
      <c r="H851" s="2">
        <v>44429</v>
      </c>
      <c r="I851" s="1" t="s">
        <v>932</v>
      </c>
      <c r="J851" s="1" t="s">
        <v>82</v>
      </c>
      <c r="K851" s="1" t="s">
        <v>97</v>
      </c>
      <c r="L851" s="2">
        <v>44409</v>
      </c>
      <c r="M851" s="6">
        <f>T_SALES[[#This Row],[Profit]]/T_SALES[[#This Row],[Amount]]</f>
        <v>0.12622184445388865</v>
      </c>
    </row>
    <row r="852" spans="1:13" x14ac:dyDescent="0.25">
      <c r="A852" s="1" t="s">
        <v>931</v>
      </c>
      <c r="B852" s="7">
        <v>4706</v>
      </c>
      <c r="C852" s="8">
        <v>594</v>
      </c>
      <c r="D852">
        <v>11</v>
      </c>
      <c r="E852" s="1" t="s">
        <v>27</v>
      </c>
      <c r="F852" s="1" t="s">
        <v>67</v>
      </c>
      <c r="G852" s="1" t="s">
        <v>56</v>
      </c>
      <c r="H852" s="2">
        <v>44332</v>
      </c>
      <c r="I852" s="1" t="s">
        <v>933</v>
      </c>
      <c r="J852" s="1" t="s">
        <v>82</v>
      </c>
      <c r="K852" s="1" t="s">
        <v>83</v>
      </c>
      <c r="L852" s="2">
        <v>44317</v>
      </c>
      <c r="M852" s="6">
        <f>T_SALES[[#This Row],[Profit]]/T_SALES[[#This Row],[Amount]]</f>
        <v>0.12622184445388865</v>
      </c>
    </row>
    <row r="853" spans="1:13" x14ac:dyDescent="0.25">
      <c r="A853" s="1" t="s">
        <v>931</v>
      </c>
      <c r="B853" s="7">
        <v>6584</v>
      </c>
      <c r="C853" s="8">
        <v>371</v>
      </c>
      <c r="D853">
        <v>6</v>
      </c>
      <c r="E853" s="1" t="s">
        <v>27</v>
      </c>
      <c r="F853" s="1" t="s">
        <v>49</v>
      </c>
      <c r="G853" s="1" t="s">
        <v>15</v>
      </c>
      <c r="H853" s="2">
        <v>44429</v>
      </c>
      <c r="I853" s="1" t="s">
        <v>932</v>
      </c>
      <c r="J853" s="1" t="s">
        <v>82</v>
      </c>
      <c r="K853" s="1" t="s">
        <v>97</v>
      </c>
      <c r="L853" s="2">
        <v>44409</v>
      </c>
      <c r="M853" s="6">
        <f>T_SALES[[#This Row],[Profit]]/T_SALES[[#This Row],[Amount]]</f>
        <v>5.634872417982989E-2</v>
      </c>
    </row>
    <row r="854" spans="1:13" x14ac:dyDescent="0.25">
      <c r="A854" s="1" t="s">
        <v>931</v>
      </c>
      <c r="B854" s="7">
        <v>6584</v>
      </c>
      <c r="C854" s="8">
        <v>371</v>
      </c>
      <c r="D854">
        <v>6</v>
      </c>
      <c r="E854" s="1" t="s">
        <v>27</v>
      </c>
      <c r="F854" s="1" t="s">
        <v>49</v>
      </c>
      <c r="G854" s="1" t="s">
        <v>15</v>
      </c>
      <c r="H854" s="2">
        <v>44332</v>
      </c>
      <c r="I854" s="1" t="s">
        <v>933</v>
      </c>
      <c r="J854" s="1" t="s">
        <v>82</v>
      </c>
      <c r="K854" s="1" t="s">
        <v>83</v>
      </c>
      <c r="L854" s="2">
        <v>44317</v>
      </c>
      <c r="M854" s="6">
        <f>T_SALES[[#This Row],[Profit]]/T_SALES[[#This Row],[Amount]]</f>
        <v>5.634872417982989E-2</v>
      </c>
    </row>
    <row r="855" spans="1:13" x14ac:dyDescent="0.25">
      <c r="A855" s="1" t="s">
        <v>934</v>
      </c>
      <c r="B855" s="7">
        <v>6389</v>
      </c>
      <c r="C855" s="8">
        <v>734</v>
      </c>
      <c r="D855">
        <v>1</v>
      </c>
      <c r="E855" s="1" t="s">
        <v>39</v>
      </c>
      <c r="F855" s="1" t="s">
        <v>51</v>
      </c>
      <c r="G855" s="1" t="s">
        <v>35</v>
      </c>
      <c r="H855" s="2">
        <v>44576</v>
      </c>
      <c r="I855" s="1" t="s">
        <v>935</v>
      </c>
      <c r="J855" s="1" t="s">
        <v>62</v>
      </c>
      <c r="K855" s="1" t="s">
        <v>63</v>
      </c>
      <c r="L855" s="2">
        <v>44562</v>
      </c>
      <c r="M855" s="6">
        <f>T_SALES[[#This Row],[Profit]]/T_SALES[[#This Row],[Amount]]</f>
        <v>0.11488495852246047</v>
      </c>
    </row>
    <row r="856" spans="1:13" x14ac:dyDescent="0.25">
      <c r="A856" s="1" t="s">
        <v>936</v>
      </c>
      <c r="B856" s="7">
        <v>9869</v>
      </c>
      <c r="C856" s="8">
        <v>4299</v>
      </c>
      <c r="D856">
        <v>12</v>
      </c>
      <c r="E856" s="1" t="s">
        <v>13</v>
      </c>
      <c r="F856" s="1" t="s">
        <v>25</v>
      </c>
      <c r="G856" s="1" t="s">
        <v>29</v>
      </c>
      <c r="H856" s="2">
        <v>45006</v>
      </c>
      <c r="I856" s="1" t="s">
        <v>937</v>
      </c>
      <c r="J856" s="1" t="s">
        <v>37</v>
      </c>
      <c r="K856" s="1" t="s">
        <v>65</v>
      </c>
      <c r="L856" s="2">
        <v>44986</v>
      </c>
      <c r="M856" s="6">
        <f>T_SALES[[#This Row],[Profit]]/T_SALES[[#This Row],[Amount]]</f>
        <v>0.43560644442192725</v>
      </c>
    </row>
    <row r="857" spans="1:13" x14ac:dyDescent="0.25">
      <c r="A857" s="1" t="s">
        <v>936</v>
      </c>
      <c r="B857" s="7">
        <v>9869</v>
      </c>
      <c r="C857" s="8">
        <v>4299</v>
      </c>
      <c r="D857">
        <v>12</v>
      </c>
      <c r="E857" s="1" t="s">
        <v>13</v>
      </c>
      <c r="F857" s="1" t="s">
        <v>25</v>
      </c>
      <c r="G857" s="1" t="s">
        <v>29</v>
      </c>
      <c r="H857" s="2">
        <v>45288</v>
      </c>
      <c r="I857" s="1" t="s">
        <v>938</v>
      </c>
      <c r="J857" s="1" t="s">
        <v>23</v>
      </c>
      <c r="K857" s="1" t="s">
        <v>24</v>
      </c>
      <c r="L857" s="2">
        <v>45261</v>
      </c>
      <c r="M857" s="6">
        <f>T_SALES[[#This Row],[Profit]]/T_SALES[[#This Row],[Amount]]</f>
        <v>0.43560644442192725</v>
      </c>
    </row>
    <row r="858" spans="1:13" x14ac:dyDescent="0.25">
      <c r="A858" s="1" t="s">
        <v>939</v>
      </c>
      <c r="B858" s="7">
        <v>655</v>
      </c>
      <c r="C858" s="8">
        <v>297</v>
      </c>
      <c r="D858">
        <v>4</v>
      </c>
      <c r="E858" s="1" t="s">
        <v>27</v>
      </c>
      <c r="F858" s="1" t="s">
        <v>49</v>
      </c>
      <c r="G858" s="1" t="s">
        <v>29</v>
      </c>
      <c r="H858" s="2">
        <v>44607</v>
      </c>
      <c r="I858" s="1" t="s">
        <v>940</v>
      </c>
      <c r="J858" s="1" t="s">
        <v>23</v>
      </c>
      <c r="K858" s="1" t="s">
        <v>24</v>
      </c>
      <c r="L858" s="2">
        <v>44593</v>
      </c>
      <c r="M858" s="6">
        <f>T_SALES[[#This Row],[Profit]]/T_SALES[[#This Row],[Amount]]</f>
        <v>0.45343511450381679</v>
      </c>
    </row>
    <row r="859" spans="1:13" x14ac:dyDescent="0.25">
      <c r="A859" s="1" t="s">
        <v>939</v>
      </c>
      <c r="B859" s="7">
        <v>655</v>
      </c>
      <c r="C859" s="8">
        <v>297</v>
      </c>
      <c r="D859">
        <v>4</v>
      </c>
      <c r="E859" s="1" t="s">
        <v>27</v>
      </c>
      <c r="F859" s="1" t="s">
        <v>49</v>
      </c>
      <c r="G859" s="1" t="s">
        <v>29</v>
      </c>
      <c r="H859" s="2">
        <v>45260</v>
      </c>
      <c r="I859" s="1" t="s">
        <v>941</v>
      </c>
      <c r="J859" s="1" t="s">
        <v>17</v>
      </c>
      <c r="K859" s="1" t="s">
        <v>31</v>
      </c>
      <c r="L859" s="2">
        <v>45231</v>
      </c>
      <c r="M859" s="6">
        <f>T_SALES[[#This Row],[Profit]]/T_SALES[[#This Row],[Amount]]</f>
        <v>0.45343511450381679</v>
      </c>
    </row>
    <row r="860" spans="1:13" x14ac:dyDescent="0.25">
      <c r="A860" s="1" t="s">
        <v>942</v>
      </c>
      <c r="B860" s="7">
        <v>798</v>
      </c>
      <c r="C860" s="8">
        <v>308</v>
      </c>
      <c r="D860">
        <v>10</v>
      </c>
      <c r="E860" s="1" t="s">
        <v>13</v>
      </c>
      <c r="F860" s="1" t="s">
        <v>70</v>
      </c>
      <c r="G860" s="1" t="s">
        <v>29</v>
      </c>
      <c r="H860" s="2">
        <v>44938</v>
      </c>
      <c r="I860" s="1" t="s">
        <v>943</v>
      </c>
      <c r="J860" s="1" t="s">
        <v>23</v>
      </c>
      <c r="K860" s="1" t="s">
        <v>24</v>
      </c>
      <c r="L860" s="2">
        <v>44927</v>
      </c>
      <c r="M860" s="6">
        <f>T_SALES[[#This Row],[Profit]]/T_SALES[[#This Row],[Amount]]</f>
        <v>0.38596491228070173</v>
      </c>
    </row>
    <row r="861" spans="1:13" x14ac:dyDescent="0.25">
      <c r="A861" s="1" t="s">
        <v>942</v>
      </c>
      <c r="B861" s="7">
        <v>798</v>
      </c>
      <c r="C861" s="8">
        <v>308</v>
      </c>
      <c r="D861">
        <v>10</v>
      </c>
      <c r="E861" s="1" t="s">
        <v>13</v>
      </c>
      <c r="F861" s="1" t="s">
        <v>70</v>
      </c>
      <c r="G861" s="1" t="s">
        <v>29</v>
      </c>
      <c r="H861" s="2">
        <v>45065</v>
      </c>
      <c r="I861" s="1" t="s">
        <v>944</v>
      </c>
      <c r="J861" s="1" t="s">
        <v>82</v>
      </c>
      <c r="K861" s="1" t="s">
        <v>97</v>
      </c>
      <c r="L861" s="2">
        <v>45047</v>
      </c>
      <c r="M861" s="6">
        <f>T_SALES[[#This Row],[Profit]]/T_SALES[[#This Row],[Amount]]</f>
        <v>0.38596491228070173</v>
      </c>
    </row>
    <row r="862" spans="1:13" x14ac:dyDescent="0.25">
      <c r="A862" s="1" t="s">
        <v>942</v>
      </c>
      <c r="B862" s="7">
        <v>7967</v>
      </c>
      <c r="C862" s="8">
        <v>2504</v>
      </c>
      <c r="D862">
        <v>13</v>
      </c>
      <c r="E862" s="1" t="s">
        <v>13</v>
      </c>
      <c r="F862" s="1" t="s">
        <v>25</v>
      </c>
      <c r="G862" s="1" t="s">
        <v>35</v>
      </c>
      <c r="H862" s="2">
        <v>44938</v>
      </c>
      <c r="I862" s="1" t="s">
        <v>943</v>
      </c>
      <c r="J862" s="1" t="s">
        <v>23</v>
      </c>
      <c r="K862" s="1" t="s">
        <v>24</v>
      </c>
      <c r="L862" s="2">
        <v>44927</v>
      </c>
      <c r="M862" s="6">
        <f>T_SALES[[#This Row],[Profit]]/T_SALES[[#This Row],[Amount]]</f>
        <v>0.31429647295092256</v>
      </c>
    </row>
    <row r="863" spans="1:13" x14ac:dyDescent="0.25">
      <c r="A863" s="1" t="s">
        <v>942</v>
      </c>
      <c r="B863" s="7">
        <v>7967</v>
      </c>
      <c r="C863" s="8">
        <v>2504</v>
      </c>
      <c r="D863">
        <v>13</v>
      </c>
      <c r="E863" s="1" t="s">
        <v>13</v>
      </c>
      <c r="F863" s="1" t="s">
        <v>25</v>
      </c>
      <c r="G863" s="1" t="s">
        <v>35</v>
      </c>
      <c r="H863" s="2">
        <v>45065</v>
      </c>
      <c r="I863" s="1" t="s">
        <v>944</v>
      </c>
      <c r="J863" s="1" t="s">
        <v>82</v>
      </c>
      <c r="K863" s="1" t="s">
        <v>97</v>
      </c>
      <c r="L863" s="2">
        <v>45047</v>
      </c>
      <c r="M863" s="6">
        <f>T_SALES[[#This Row],[Profit]]/T_SALES[[#This Row],[Amount]]</f>
        <v>0.31429647295092256</v>
      </c>
    </row>
    <row r="864" spans="1:13" x14ac:dyDescent="0.25">
      <c r="A864" s="1" t="s">
        <v>945</v>
      </c>
      <c r="B864" s="7">
        <v>3756</v>
      </c>
      <c r="C864" s="8">
        <v>1318</v>
      </c>
      <c r="D864">
        <v>5</v>
      </c>
      <c r="E864" s="1" t="s">
        <v>39</v>
      </c>
      <c r="F864" s="1" t="s">
        <v>40</v>
      </c>
      <c r="G864" s="1" t="s">
        <v>15</v>
      </c>
      <c r="H864" s="2">
        <v>45341</v>
      </c>
      <c r="I864" s="1" t="s">
        <v>946</v>
      </c>
      <c r="J864" s="1" t="s">
        <v>17</v>
      </c>
      <c r="K864" s="1" t="s">
        <v>18</v>
      </c>
      <c r="L864" s="2">
        <v>45323</v>
      </c>
      <c r="M864" s="6">
        <f>T_SALES[[#This Row],[Profit]]/T_SALES[[#This Row],[Amount]]</f>
        <v>0.35090521831735888</v>
      </c>
    </row>
    <row r="865" spans="1:13" x14ac:dyDescent="0.25">
      <c r="A865" s="1" t="s">
        <v>947</v>
      </c>
      <c r="B865" s="7">
        <v>5196</v>
      </c>
      <c r="C865" s="8">
        <v>2477</v>
      </c>
      <c r="D865">
        <v>1</v>
      </c>
      <c r="E865" s="1" t="s">
        <v>27</v>
      </c>
      <c r="F865" s="1" t="s">
        <v>49</v>
      </c>
      <c r="G865" s="1" t="s">
        <v>15</v>
      </c>
      <c r="H865" s="2">
        <v>44531</v>
      </c>
      <c r="I865" s="1" t="s">
        <v>948</v>
      </c>
      <c r="J865" s="1" t="s">
        <v>62</v>
      </c>
      <c r="K865" s="1" t="s">
        <v>74</v>
      </c>
      <c r="L865" s="2">
        <v>44531</v>
      </c>
      <c r="M865" s="6">
        <f>T_SALES[[#This Row],[Profit]]/T_SALES[[#This Row],[Amount]]</f>
        <v>0.47671285604311009</v>
      </c>
    </row>
    <row r="866" spans="1:13" x14ac:dyDescent="0.25">
      <c r="A866" s="1" t="s">
        <v>947</v>
      </c>
      <c r="B866" s="7">
        <v>6586</v>
      </c>
      <c r="C866" s="8">
        <v>1794</v>
      </c>
      <c r="D866">
        <v>19</v>
      </c>
      <c r="E866" s="1" t="s">
        <v>39</v>
      </c>
      <c r="F866" s="1" t="s">
        <v>90</v>
      </c>
      <c r="G866" s="1" t="s">
        <v>29</v>
      </c>
      <c r="H866" s="2">
        <v>44531</v>
      </c>
      <c r="I866" s="1" t="s">
        <v>948</v>
      </c>
      <c r="J866" s="1" t="s">
        <v>62</v>
      </c>
      <c r="K866" s="1" t="s">
        <v>74</v>
      </c>
      <c r="L866" s="2">
        <v>44531</v>
      </c>
      <c r="M866" s="6">
        <f>T_SALES[[#This Row],[Profit]]/T_SALES[[#This Row],[Amount]]</f>
        <v>0.27239599149711508</v>
      </c>
    </row>
    <row r="867" spans="1:13" x14ac:dyDescent="0.25">
      <c r="A867" s="1" t="s">
        <v>949</v>
      </c>
      <c r="B867" s="7">
        <v>6673</v>
      </c>
      <c r="C867" s="8">
        <v>950</v>
      </c>
      <c r="D867">
        <v>19</v>
      </c>
      <c r="E867" s="1" t="s">
        <v>27</v>
      </c>
      <c r="F867" s="1" t="s">
        <v>49</v>
      </c>
      <c r="G867" s="1" t="s">
        <v>35</v>
      </c>
      <c r="H867" s="2">
        <v>45645</v>
      </c>
      <c r="I867" s="1" t="s">
        <v>950</v>
      </c>
      <c r="J867" s="1" t="s">
        <v>23</v>
      </c>
      <c r="K867" s="1" t="s">
        <v>24</v>
      </c>
      <c r="L867" s="2">
        <v>45627</v>
      </c>
      <c r="M867" s="6">
        <f>T_SALES[[#This Row],[Profit]]/T_SALES[[#This Row],[Amount]]</f>
        <v>0.14236475348419003</v>
      </c>
    </row>
    <row r="868" spans="1:13" x14ac:dyDescent="0.25">
      <c r="A868" s="1" t="s">
        <v>951</v>
      </c>
      <c r="B868" s="7">
        <v>714</v>
      </c>
      <c r="C868" s="8">
        <v>232</v>
      </c>
      <c r="D868">
        <v>14</v>
      </c>
      <c r="E868" s="1" t="s">
        <v>39</v>
      </c>
      <c r="F868" s="1" t="s">
        <v>40</v>
      </c>
      <c r="G868" s="1" t="s">
        <v>15</v>
      </c>
      <c r="H868" s="2">
        <v>44944</v>
      </c>
      <c r="I868" s="1" t="s">
        <v>952</v>
      </c>
      <c r="J868" s="1" t="s">
        <v>82</v>
      </c>
      <c r="K868" s="1" t="s">
        <v>83</v>
      </c>
      <c r="L868" s="2">
        <v>44927</v>
      </c>
      <c r="M868" s="6">
        <f>T_SALES[[#This Row],[Profit]]/T_SALES[[#This Row],[Amount]]</f>
        <v>0.32492997198879553</v>
      </c>
    </row>
    <row r="869" spans="1:13" x14ac:dyDescent="0.25">
      <c r="A869" s="1" t="s">
        <v>951</v>
      </c>
      <c r="B869" s="7">
        <v>714</v>
      </c>
      <c r="C869" s="8">
        <v>232</v>
      </c>
      <c r="D869">
        <v>14</v>
      </c>
      <c r="E869" s="1" t="s">
        <v>39</v>
      </c>
      <c r="F869" s="1" t="s">
        <v>40</v>
      </c>
      <c r="G869" s="1" t="s">
        <v>15</v>
      </c>
      <c r="H869" s="2">
        <v>44188</v>
      </c>
      <c r="I869" s="1" t="s">
        <v>953</v>
      </c>
      <c r="J869" s="1" t="s">
        <v>62</v>
      </c>
      <c r="K869" s="1" t="s">
        <v>74</v>
      </c>
      <c r="L869" s="2">
        <v>44166</v>
      </c>
      <c r="M869" s="6">
        <f>T_SALES[[#This Row],[Profit]]/T_SALES[[#This Row],[Amount]]</f>
        <v>0.32492997198879553</v>
      </c>
    </row>
    <row r="870" spans="1:13" x14ac:dyDescent="0.25">
      <c r="A870" s="1" t="s">
        <v>954</v>
      </c>
      <c r="B870" s="7">
        <v>1083</v>
      </c>
      <c r="C870" s="8">
        <v>501</v>
      </c>
      <c r="D870">
        <v>6</v>
      </c>
      <c r="E870" s="1" t="s">
        <v>27</v>
      </c>
      <c r="F870" s="1" t="s">
        <v>28</v>
      </c>
      <c r="G870" s="1" t="s">
        <v>56</v>
      </c>
      <c r="H870" s="2">
        <v>44255</v>
      </c>
      <c r="I870" s="1" t="s">
        <v>955</v>
      </c>
      <c r="J870" s="1" t="s">
        <v>62</v>
      </c>
      <c r="K870" s="1" t="s">
        <v>74</v>
      </c>
      <c r="L870" s="2">
        <v>44228</v>
      </c>
      <c r="M870" s="6">
        <f>T_SALES[[#This Row],[Profit]]/T_SALES[[#This Row],[Amount]]</f>
        <v>0.46260387811634351</v>
      </c>
    </row>
    <row r="871" spans="1:13" x14ac:dyDescent="0.25">
      <c r="A871" s="1" t="s">
        <v>956</v>
      </c>
      <c r="B871" s="7">
        <v>2401</v>
      </c>
      <c r="C871" s="8">
        <v>1163</v>
      </c>
      <c r="D871">
        <v>10</v>
      </c>
      <c r="E871" s="1" t="s">
        <v>39</v>
      </c>
      <c r="F871" s="1" t="s">
        <v>90</v>
      </c>
      <c r="G871" s="1" t="s">
        <v>15</v>
      </c>
      <c r="H871" s="2">
        <v>45050</v>
      </c>
      <c r="I871" s="1" t="s">
        <v>957</v>
      </c>
      <c r="J871" s="1" t="s">
        <v>82</v>
      </c>
      <c r="K871" s="1" t="s">
        <v>97</v>
      </c>
      <c r="L871" s="2">
        <v>45047</v>
      </c>
      <c r="M871" s="6">
        <f>T_SALES[[#This Row],[Profit]]/T_SALES[[#This Row],[Amount]]</f>
        <v>0.48438150770512284</v>
      </c>
    </row>
    <row r="872" spans="1:13" x14ac:dyDescent="0.25">
      <c r="A872" s="1" t="s">
        <v>956</v>
      </c>
      <c r="B872" s="7">
        <v>2401</v>
      </c>
      <c r="C872" s="8">
        <v>1163</v>
      </c>
      <c r="D872">
        <v>10</v>
      </c>
      <c r="E872" s="1" t="s">
        <v>39</v>
      </c>
      <c r="F872" s="1" t="s">
        <v>90</v>
      </c>
      <c r="G872" s="1" t="s">
        <v>15</v>
      </c>
      <c r="H872" s="2">
        <v>43943</v>
      </c>
      <c r="I872" s="1" t="s">
        <v>958</v>
      </c>
      <c r="J872" s="1" t="s">
        <v>37</v>
      </c>
      <c r="K872" s="1" t="s">
        <v>38</v>
      </c>
      <c r="L872" s="2">
        <v>43922</v>
      </c>
      <c r="M872" s="6">
        <f>T_SALES[[#This Row],[Profit]]/T_SALES[[#This Row],[Amount]]</f>
        <v>0.48438150770512284</v>
      </c>
    </row>
    <row r="873" spans="1:13" x14ac:dyDescent="0.25">
      <c r="A873" s="1" t="s">
        <v>956</v>
      </c>
      <c r="B873" s="7">
        <v>2401</v>
      </c>
      <c r="C873" s="8">
        <v>1163</v>
      </c>
      <c r="D873">
        <v>10</v>
      </c>
      <c r="E873" s="1" t="s">
        <v>39</v>
      </c>
      <c r="F873" s="1" t="s">
        <v>90</v>
      </c>
      <c r="G873" s="1" t="s">
        <v>15</v>
      </c>
      <c r="H873" s="2">
        <v>44421</v>
      </c>
      <c r="I873" s="1" t="s">
        <v>959</v>
      </c>
      <c r="J873" s="1" t="s">
        <v>23</v>
      </c>
      <c r="K873" s="1" t="s">
        <v>59</v>
      </c>
      <c r="L873" s="2">
        <v>44409</v>
      </c>
      <c r="M873" s="6">
        <f>T_SALES[[#This Row],[Profit]]/T_SALES[[#This Row],[Amount]]</f>
        <v>0.48438150770512284</v>
      </c>
    </row>
    <row r="874" spans="1:13" x14ac:dyDescent="0.25">
      <c r="A874" s="1" t="s">
        <v>956</v>
      </c>
      <c r="B874" s="7">
        <v>1045</v>
      </c>
      <c r="C874" s="8">
        <v>267</v>
      </c>
      <c r="D874">
        <v>11</v>
      </c>
      <c r="E874" s="1" t="s">
        <v>13</v>
      </c>
      <c r="F874" s="1" t="s">
        <v>70</v>
      </c>
      <c r="G874" s="1" t="s">
        <v>29</v>
      </c>
      <c r="H874" s="2">
        <v>45050</v>
      </c>
      <c r="I874" s="1" t="s">
        <v>957</v>
      </c>
      <c r="J874" s="1" t="s">
        <v>82</v>
      </c>
      <c r="K874" s="1" t="s">
        <v>97</v>
      </c>
      <c r="L874" s="2">
        <v>45047</v>
      </c>
      <c r="M874" s="6">
        <f>T_SALES[[#This Row],[Profit]]/T_SALES[[#This Row],[Amount]]</f>
        <v>0.25550239234449762</v>
      </c>
    </row>
    <row r="875" spans="1:13" x14ac:dyDescent="0.25">
      <c r="A875" s="1" t="s">
        <v>956</v>
      </c>
      <c r="B875" s="7">
        <v>1045</v>
      </c>
      <c r="C875" s="8">
        <v>267</v>
      </c>
      <c r="D875">
        <v>11</v>
      </c>
      <c r="E875" s="1" t="s">
        <v>13</v>
      </c>
      <c r="F875" s="1" t="s">
        <v>70</v>
      </c>
      <c r="G875" s="1" t="s">
        <v>29</v>
      </c>
      <c r="H875" s="2">
        <v>43943</v>
      </c>
      <c r="I875" s="1" t="s">
        <v>958</v>
      </c>
      <c r="J875" s="1" t="s">
        <v>37</v>
      </c>
      <c r="K875" s="1" t="s">
        <v>38</v>
      </c>
      <c r="L875" s="2">
        <v>43922</v>
      </c>
      <c r="M875" s="6">
        <f>T_SALES[[#This Row],[Profit]]/T_SALES[[#This Row],[Amount]]</f>
        <v>0.25550239234449762</v>
      </c>
    </row>
    <row r="876" spans="1:13" x14ac:dyDescent="0.25">
      <c r="A876" s="1" t="s">
        <v>956</v>
      </c>
      <c r="B876" s="7">
        <v>1045</v>
      </c>
      <c r="C876" s="8">
        <v>267</v>
      </c>
      <c r="D876">
        <v>11</v>
      </c>
      <c r="E876" s="1" t="s">
        <v>13</v>
      </c>
      <c r="F876" s="1" t="s">
        <v>70</v>
      </c>
      <c r="G876" s="1" t="s">
        <v>29</v>
      </c>
      <c r="H876" s="2">
        <v>44421</v>
      </c>
      <c r="I876" s="1" t="s">
        <v>959</v>
      </c>
      <c r="J876" s="1" t="s">
        <v>23</v>
      </c>
      <c r="K876" s="1" t="s">
        <v>59</v>
      </c>
      <c r="L876" s="2">
        <v>44409</v>
      </c>
      <c r="M876" s="6">
        <f>T_SALES[[#This Row],[Profit]]/T_SALES[[#This Row],[Amount]]</f>
        <v>0.25550239234449762</v>
      </c>
    </row>
    <row r="877" spans="1:13" x14ac:dyDescent="0.25">
      <c r="A877" s="1" t="s">
        <v>960</v>
      </c>
      <c r="B877" s="7">
        <v>7806</v>
      </c>
      <c r="C877" s="8">
        <v>1127</v>
      </c>
      <c r="D877">
        <v>1</v>
      </c>
      <c r="E877" s="1" t="s">
        <v>27</v>
      </c>
      <c r="F877" s="1" t="s">
        <v>49</v>
      </c>
      <c r="G877" s="1" t="s">
        <v>41</v>
      </c>
      <c r="H877" s="2">
        <v>45127</v>
      </c>
      <c r="I877" s="1" t="s">
        <v>961</v>
      </c>
      <c r="J877" s="1" t="s">
        <v>62</v>
      </c>
      <c r="K877" s="1" t="s">
        <v>63</v>
      </c>
      <c r="L877" s="2">
        <v>45108</v>
      </c>
      <c r="M877" s="6">
        <f>T_SALES[[#This Row],[Profit]]/T_SALES[[#This Row],[Amount]]</f>
        <v>0.14437612093261593</v>
      </c>
    </row>
    <row r="878" spans="1:13" x14ac:dyDescent="0.25">
      <c r="A878" s="1" t="s">
        <v>962</v>
      </c>
      <c r="B878" s="7">
        <v>5263</v>
      </c>
      <c r="C878" s="8">
        <v>1743</v>
      </c>
      <c r="D878">
        <v>19</v>
      </c>
      <c r="E878" s="1" t="s">
        <v>39</v>
      </c>
      <c r="F878" s="1" t="s">
        <v>51</v>
      </c>
      <c r="G878" s="1" t="s">
        <v>41</v>
      </c>
      <c r="H878" s="2">
        <v>44801</v>
      </c>
      <c r="I878" s="1" t="s">
        <v>963</v>
      </c>
      <c r="J878" s="1" t="s">
        <v>17</v>
      </c>
      <c r="K878" s="1" t="s">
        <v>18</v>
      </c>
      <c r="L878" s="2">
        <v>44774</v>
      </c>
      <c r="M878" s="6">
        <f>T_SALES[[#This Row],[Profit]]/T_SALES[[#This Row],[Amount]]</f>
        <v>0.33117993539806195</v>
      </c>
    </row>
    <row r="879" spans="1:13" x14ac:dyDescent="0.25">
      <c r="A879" s="1" t="s">
        <v>964</v>
      </c>
      <c r="B879" s="7">
        <v>6147</v>
      </c>
      <c r="C879" s="8">
        <v>2526</v>
      </c>
      <c r="D879">
        <v>6</v>
      </c>
      <c r="E879" s="1" t="s">
        <v>27</v>
      </c>
      <c r="F879" s="1" t="s">
        <v>28</v>
      </c>
      <c r="G879" s="1" t="s">
        <v>29</v>
      </c>
      <c r="H879" s="2">
        <v>44999</v>
      </c>
      <c r="I879" s="1" t="s">
        <v>965</v>
      </c>
      <c r="J879" s="1" t="s">
        <v>62</v>
      </c>
      <c r="K879" s="1" t="s">
        <v>63</v>
      </c>
      <c r="L879" s="2">
        <v>44986</v>
      </c>
      <c r="M879" s="6">
        <f>T_SALES[[#This Row],[Profit]]/T_SALES[[#This Row],[Amount]]</f>
        <v>0.41093216203025867</v>
      </c>
    </row>
    <row r="880" spans="1:13" x14ac:dyDescent="0.25">
      <c r="A880" s="1" t="s">
        <v>966</v>
      </c>
      <c r="B880" s="7">
        <v>7484</v>
      </c>
      <c r="C880" s="8">
        <v>2871</v>
      </c>
      <c r="D880">
        <v>15</v>
      </c>
      <c r="E880" s="1" t="s">
        <v>13</v>
      </c>
      <c r="F880" s="1" t="s">
        <v>70</v>
      </c>
      <c r="G880" s="1" t="s">
        <v>15</v>
      </c>
      <c r="H880" s="2">
        <v>45237</v>
      </c>
      <c r="I880" s="1" t="s">
        <v>967</v>
      </c>
      <c r="J880" s="1" t="s">
        <v>17</v>
      </c>
      <c r="K880" s="1" t="s">
        <v>31</v>
      </c>
      <c r="L880" s="2">
        <v>45231</v>
      </c>
      <c r="M880" s="6">
        <f>T_SALES[[#This Row],[Profit]]/T_SALES[[#This Row],[Amount]]</f>
        <v>0.38361838588989844</v>
      </c>
    </row>
    <row r="881" spans="1:13" x14ac:dyDescent="0.25">
      <c r="A881" s="1" t="s">
        <v>966</v>
      </c>
      <c r="B881" s="7">
        <v>7484</v>
      </c>
      <c r="C881" s="8">
        <v>2871</v>
      </c>
      <c r="D881">
        <v>15</v>
      </c>
      <c r="E881" s="1" t="s">
        <v>13</v>
      </c>
      <c r="F881" s="1" t="s">
        <v>70</v>
      </c>
      <c r="G881" s="1" t="s">
        <v>15</v>
      </c>
      <c r="H881" s="2">
        <v>45398</v>
      </c>
      <c r="I881" s="1" t="s">
        <v>968</v>
      </c>
      <c r="J881" s="1" t="s">
        <v>20</v>
      </c>
      <c r="K881" s="1" t="s">
        <v>21</v>
      </c>
      <c r="L881" s="2">
        <v>45383</v>
      </c>
      <c r="M881" s="6">
        <f>T_SALES[[#This Row],[Profit]]/T_SALES[[#This Row],[Amount]]</f>
        <v>0.38361838588989844</v>
      </c>
    </row>
    <row r="882" spans="1:13" x14ac:dyDescent="0.25">
      <c r="A882" s="1" t="s">
        <v>966</v>
      </c>
      <c r="B882" s="7">
        <v>7700</v>
      </c>
      <c r="C882" s="8">
        <v>2712</v>
      </c>
      <c r="D882">
        <v>1</v>
      </c>
      <c r="E882" s="1" t="s">
        <v>39</v>
      </c>
      <c r="F882" s="1" t="s">
        <v>51</v>
      </c>
      <c r="G882" s="1" t="s">
        <v>41</v>
      </c>
      <c r="H882" s="2">
        <v>45237</v>
      </c>
      <c r="I882" s="1" t="s">
        <v>967</v>
      </c>
      <c r="J882" s="1" t="s">
        <v>17</v>
      </c>
      <c r="K882" s="1" t="s">
        <v>31</v>
      </c>
      <c r="L882" s="2">
        <v>45231</v>
      </c>
      <c r="M882" s="6">
        <f>T_SALES[[#This Row],[Profit]]/T_SALES[[#This Row],[Amount]]</f>
        <v>0.35220779220779219</v>
      </c>
    </row>
    <row r="883" spans="1:13" x14ac:dyDescent="0.25">
      <c r="A883" s="1" t="s">
        <v>966</v>
      </c>
      <c r="B883" s="7">
        <v>7700</v>
      </c>
      <c r="C883" s="8">
        <v>2712</v>
      </c>
      <c r="D883">
        <v>1</v>
      </c>
      <c r="E883" s="1" t="s">
        <v>39</v>
      </c>
      <c r="F883" s="1" t="s">
        <v>51</v>
      </c>
      <c r="G883" s="1" t="s">
        <v>41</v>
      </c>
      <c r="H883" s="2">
        <v>45398</v>
      </c>
      <c r="I883" s="1" t="s">
        <v>968</v>
      </c>
      <c r="J883" s="1" t="s">
        <v>20</v>
      </c>
      <c r="K883" s="1" t="s">
        <v>21</v>
      </c>
      <c r="L883" s="2">
        <v>45383</v>
      </c>
      <c r="M883" s="6">
        <f>T_SALES[[#This Row],[Profit]]/T_SALES[[#This Row],[Amount]]</f>
        <v>0.35220779220779219</v>
      </c>
    </row>
    <row r="884" spans="1:13" x14ac:dyDescent="0.25">
      <c r="A884" s="1" t="s">
        <v>969</v>
      </c>
      <c r="B884" s="7">
        <v>8537</v>
      </c>
      <c r="C884" s="8">
        <v>3586</v>
      </c>
      <c r="D884">
        <v>13</v>
      </c>
      <c r="E884" s="1" t="s">
        <v>27</v>
      </c>
      <c r="F884" s="1" t="s">
        <v>49</v>
      </c>
      <c r="G884" s="1" t="s">
        <v>15</v>
      </c>
      <c r="H884" s="2">
        <v>44820</v>
      </c>
      <c r="I884" s="1" t="s">
        <v>970</v>
      </c>
      <c r="J884" s="1" t="s">
        <v>23</v>
      </c>
      <c r="K884" s="1" t="s">
        <v>59</v>
      </c>
      <c r="L884" s="2">
        <v>44805</v>
      </c>
      <c r="M884" s="6">
        <f>T_SALES[[#This Row],[Profit]]/T_SALES[[#This Row],[Amount]]</f>
        <v>0.42005388309710673</v>
      </c>
    </row>
    <row r="885" spans="1:13" x14ac:dyDescent="0.25">
      <c r="A885" s="1" t="s">
        <v>971</v>
      </c>
      <c r="B885" s="7">
        <v>8858</v>
      </c>
      <c r="C885" s="8">
        <v>3394</v>
      </c>
      <c r="D885">
        <v>6</v>
      </c>
      <c r="E885" s="1" t="s">
        <v>39</v>
      </c>
      <c r="F885" s="1" t="s">
        <v>43</v>
      </c>
      <c r="G885" s="1" t="s">
        <v>56</v>
      </c>
      <c r="H885" s="2">
        <v>45596</v>
      </c>
      <c r="I885" s="1" t="s">
        <v>972</v>
      </c>
      <c r="J885" s="1" t="s">
        <v>37</v>
      </c>
      <c r="K885" s="1" t="s">
        <v>65</v>
      </c>
      <c r="L885" s="2">
        <v>45566</v>
      </c>
      <c r="M885" s="6">
        <f>T_SALES[[#This Row],[Profit]]/T_SALES[[#This Row],[Amount]]</f>
        <v>0.38315646872883269</v>
      </c>
    </row>
    <row r="886" spans="1:13" x14ac:dyDescent="0.25">
      <c r="A886" s="1" t="s">
        <v>973</v>
      </c>
      <c r="B886" s="7">
        <v>5313</v>
      </c>
      <c r="C886" s="8">
        <v>2037</v>
      </c>
      <c r="D886">
        <v>7</v>
      </c>
      <c r="E886" s="1" t="s">
        <v>13</v>
      </c>
      <c r="F886" s="1" t="s">
        <v>25</v>
      </c>
      <c r="G886" s="1" t="s">
        <v>29</v>
      </c>
      <c r="H886" s="2">
        <v>45621</v>
      </c>
      <c r="I886" s="1" t="s">
        <v>974</v>
      </c>
      <c r="J886" s="1" t="s">
        <v>37</v>
      </c>
      <c r="K886" s="1" t="s">
        <v>78</v>
      </c>
      <c r="L886" s="2">
        <v>45597</v>
      </c>
      <c r="M886" s="6">
        <f>T_SALES[[#This Row],[Profit]]/T_SALES[[#This Row],[Amount]]</f>
        <v>0.38339920948616601</v>
      </c>
    </row>
    <row r="887" spans="1:13" x14ac:dyDescent="0.25">
      <c r="A887" s="1" t="s">
        <v>973</v>
      </c>
      <c r="B887" s="7">
        <v>5313</v>
      </c>
      <c r="C887" s="8">
        <v>2037</v>
      </c>
      <c r="D887">
        <v>7</v>
      </c>
      <c r="E887" s="1" t="s">
        <v>13</v>
      </c>
      <c r="F887" s="1" t="s">
        <v>25</v>
      </c>
      <c r="G887" s="1" t="s">
        <v>29</v>
      </c>
      <c r="H887" s="2">
        <v>44498</v>
      </c>
      <c r="I887" s="1" t="s">
        <v>975</v>
      </c>
      <c r="J887" s="1" t="s">
        <v>62</v>
      </c>
      <c r="K887" s="1" t="s">
        <v>111</v>
      </c>
      <c r="L887" s="2">
        <v>44470</v>
      </c>
      <c r="M887" s="6">
        <f>T_SALES[[#This Row],[Profit]]/T_SALES[[#This Row],[Amount]]</f>
        <v>0.38339920948616601</v>
      </c>
    </row>
    <row r="888" spans="1:13" x14ac:dyDescent="0.25">
      <c r="A888" s="1" t="s">
        <v>976</v>
      </c>
      <c r="B888" s="7">
        <v>3281</v>
      </c>
      <c r="C888" s="8">
        <v>471</v>
      </c>
      <c r="D888">
        <v>7</v>
      </c>
      <c r="E888" s="1" t="s">
        <v>39</v>
      </c>
      <c r="F888" s="1" t="s">
        <v>51</v>
      </c>
      <c r="G888" s="1" t="s">
        <v>35</v>
      </c>
      <c r="H888" s="2">
        <v>45287</v>
      </c>
      <c r="I888" s="1" t="s">
        <v>977</v>
      </c>
      <c r="J888" s="1" t="s">
        <v>37</v>
      </c>
      <c r="K888" s="1" t="s">
        <v>38</v>
      </c>
      <c r="L888" s="2">
        <v>45261</v>
      </c>
      <c r="M888" s="6">
        <f>T_SALES[[#This Row],[Profit]]/T_SALES[[#This Row],[Amount]]</f>
        <v>0.14355379457482476</v>
      </c>
    </row>
    <row r="889" spans="1:13" x14ac:dyDescent="0.25">
      <c r="A889" s="1" t="s">
        <v>976</v>
      </c>
      <c r="B889" s="7">
        <v>3281</v>
      </c>
      <c r="C889" s="8">
        <v>471</v>
      </c>
      <c r="D889">
        <v>7</v>
      </c>
      <c r="E889" s="1" t="s">
        <v>39</v>
      </c>
      <c r="F889" s="1" t="s">
        <v>51</v>
      </c>
      <c r="G889" s="1" t="s">
        <v>35</v>
      </c>
      <c r="H889" s="2">
        <v>45102</v>
      </c>
      <c r="I889" s="1" t="s">
        <v>978</v>
      </c>
      <c r="J889" s="1" t="s">
        <v>20</v>
      </c>
      <c r="K889" s="1" t="s">
        <v>137</v>
      </c>
      <c r="L889" s="2">
        <v>45078</v>
      </c>
      <c r="M889" s="6">
        <f>T_SALES[[#This Row],[Profit]]/T_SALES[[#This Row],[Amount]]</f>
        <v>0.14355379457482476</v>
      </c>
    </row>
    <row r="890" spans="1:13" x14ac:dyDescent="0.25">
      <c r="A890" s="1" t="s">
        <v>979</v>
      </c>
      <c r="B890" s="7">
        <v>8681</v>
      </c>
      <c r="C890" s="8">
        <v>2458</v>
      </c>
      <c r="D890">
        <v>9</v>
      </c>
      <c r="E890" s="1" t="s">
        <v>27</v>
      </c>
      <c r="F890" s="1" t="s">
        <v>28</v>
      </c>
      <c r="G890" s="1" t="s">
        <v>41</v>
      </c>
      <c r="H890" s="2">
        <v>44075</v>
      </c>
      <c r="I890" s="1" t="s">
        <v>980</v>
      </c>
      <c r="J890" s="1" t="s">
        <v>23</v>
      </c>
      <c r="K890" s="1" t="s">
        <v>45</v>
      </c>
      <c r="L890" s="2">
        <v>44075</v>
      </c>
      <c r="M890" s="6">
        <f>T_SALES[[#This Row],[Profit]]/T_SALES[[#This Row],[Amount]]</f>
        <v>0.28314710286833317</v>
      </c>
    </row>
    <row r="891" spans="1:13" x14ac:dyDescent="0.25">
      <c r="A891" s="1" t="s">
        <v>981</v>
      </c>
      <c r="B891" s="7">
        <v>6195</v>
      </c>
      <c r="C891" s="8">
        <v>1556</v>
      </c>
      <c r="D891">
        <v>18</v>
      </c>
      <c r="E891" s="1" t="s">
        <v>39</v>
      </c>
      <c r="F891" s="1" t="s">
        <v>51</v>
      </c>
      <c r="G891" s="1" t="s">
        <v>35</v>
      </c>
      <c r="H891" s="2">
        <v>45689</v>
      </c>
      <c r="I891" s="1" t="s">
        <v>982</v>
      </c>
      <c r="J891" s="1" t="s">
        <v>20</v>
      </c>
      <c r="K891" s="1" t="s">
        <v>54</v>
      </c>
      <c r="L891" s="2">
        <v>45689</v>
      </c>
      <c r="M891" s="6">
        <f>T_SALES[[#This Row],[Profit]]/T_SALES[[#This Row],[Amount]]</f>
        <v>0.25117029862792573</v>
      </c>
    </row>
    <row r="892" spans="1:13" x14ac:dyDescent="0.25">
      <c r="A892" s="1" t="s">
        <v>983</v>
      </c>
      <c r="B892" s="7">
        <v>3877</v>
      </c>
      <c r="C892" s="8">
        <v>481</v>
      </c>
      <c r="D892">
        <v>16</v>
      </c>
      <c r="E892" s="1" t="s">
        <v>39</v>
      </c>
      <c r="F892" s="1" t="s">
        <v>43</v>
      </c>
      <c r="G892" s="1" t="s">
        <v>29</v>
      </c>
      <c r="H892" s="2">
        <v>45129</v>
      </c>
      <c r="I892" s="1" t="s">
        <v>984</v>
      </c>
      <c r="J892" s="1" t="s">
        <v>23</v>
      </c>
      <c r="K892" s="1" t="s">
        <v>59</v>
      </c>
      <c r="L892" s="2">
        <v>45108</v>
      </c>
      <c r="M892" s="6">
        <f>T_SALES[[#This Row],[Profit]]/T_SALES[[#This Row],[Amount]]</f>
        <v>0.12406499871034304</v>
      </c>
    </row>
    <row r="893" spans="1:13" x14ac:dyDescent="0.25">
      <c r="A893" s="1" t="s">
        <v>983</v>
      </c>
      <c r="B893" s="7">
        <v>3877</v>
      </c>
      <c r="C893" s="8">
        <v>481</v>
      </c>
      <c r="D893">
        <v>16</v>
      </c>
      <c r="E893" s="1" t="s">
        <v>39</v>
      </c>
      <c r="F893" s="1" t="s">
        <v>43</v>
      </c>
      <c r="G893" s="1" t="s">
        <v>29</v>
      </c>
      <c r="H893" s="2">
        <v>44596</v>
      </c>
      <c r="I893" s="1" t="s">
        <v>985</v>
      </c>
      <c r="J893" s="1" t="s">
        <v>23</v>
      </c>
      <c r="K893" s="1" t="s">
        <v>45</v>
      </c>
      <c r="L893" s="2">
        <v>44593</v>
      </c>
      <c r="M893" s="6">
        <f>T_SALES[[#This Row],[Profit]]/T_SALES[[#This Row],[Amount]]</f>
        <v>0.12406499871034304</v>
      </c>
    </row>
    <row r="894" spans="1:13" x14ac:dyDescent="0.25">
      <c r="A894" s="1" t="s">
        <v>986</v>
      </c>
      <c r="B894" s="7">
        <v>9369</v>
      </c>
      <c r="C894" s="8">
        <v>3297</v>
      </c>
      <c r="D894">
        <v>6</v>
      </c>
      <c r="E894" s="1" t="s">
        <v>13</v>
      </c>
      <c r="F894" s="1" t="s">
        <v>25</v>
      </c>
      <c r="G894" s="1" t="s">
        <v>29</v>
      </c>
      <c r="H894" s="2">
        <v>45196</v>
      </c>
      <c r="I894" s="1" t="s">
        <v>987</v>
      </c>
      <c r="J894" s="1" t="s">
        <v>17</v>
      </c>
      <c r="K894" s="1" t="s">
        <v>31</v>
      </c>
      <c r="L894" s="2">
        <v>45170</v>
      </c>
      <c r="M894" s="6">
        <f>T_SALES[[#This Row],[Profit]]/T_SALES[[#This Row],[Amount]]</f>
        <v>0.35190521934037783</v>
      </c>
    </row>
    <row r="895" spans="1:13" x14ac:dyDescent="0.25">
      <c r="A895" s="1" t="s">
        <v>986</v>
      </c>
      <c r="B895" s="7">
        <v>9369</v>
      </c>
      <c r="C895" s="8">
        <v>3297</v>
      </c>
      <c r="D895">
        <v>6</v>
      </c>
      <c r="E895" s="1" t="s">
        <v>13</v>
      </c>
      <c r="F895" s="1" t="s">
        <v>25</v>
      </c>
      <c r="G895" s="1" t="s">
        <v>29</v>
      </c>
      <c r="H895" s="2">
        <v>45687</v>
      </c>
      <c r="I895" s="1" t="s">
        <v>988</v>
      </c>
      <c r="J895" s="1" t="s">
        <v>23</v>
      </c>
      <c r="K895" s="1" t="s">
        <v>45</v>
      </c>
      <c r="L895" s="2">
        <v>45658</v>
      </c>
      <c r="M895" s="6">
        <f>T_SALES[[#This Row],[Profit]]/T_SALES[[#This Row],[Amount]]</f>
        <v>0.35190521934037783</v>
      </c>
    </row>
    <row r="896" spans="1:13" x14ac:dyDescent="0.25">
      <c r="A896" s="1" t="s">
        <v>986</v>
      </c>
      <c r="B896" s="7">
        <v>8680</v>
      </c>
      <c r="C896" s="8">
        <v>4068</v>
      </c>
      <c r="D896">
        <v>20</v>
      </c>
      <c r="E896" s="1" t="s">
        <v>13</v>
      </c>
      <c r="F896" s="1" t="s">
        <v>25</v>
      </c>
      <c r="G896" s="1" t="s">
        <v>41</v>
      </c>
      <c r="H896" s="2">
        <v>45196</v>
      </c>
      <c r="I896" s="1" t="s">
        <v>987</v>
      </c>
      <c r="J896" s="1" t="s">
        <v>17</v>
      </c>
      <c r="K896" s="1" t="s">
        <v>31</v>
      </c>
      <c r="L896" s="2">
        <v>45170</v>
      </c>
      <c r="M896" s="6">
        <f>T_SALES[[#This Row],[Profit]]/T_SALES[[#This Row],[Amount]]</f>
        <v>0.46866359447004607</v>
      </c>
    </row>
    <row r="897" spans="1:13" x14ac:dyDescent="0.25">
      <c r="A897" s="1" t="s">
        <v>986</v>
      </c>
      <c r="B897" s="7">
        <v>8680</v>
      </c>
      <c r="C897" s="8">
        <v>4068</v>
      </c>
      <c r="D897">
        <v>20</v>
      </c>
      <c r="E897" s="1" t="s">
        <v>13</v>
      </c>
      <c r="F897" s="1" t="s">
        <v>25</v>
      </c>
      <c r="G897" s="1" t="s">
        <v>41</v>
      </c>
      <c r="H897" s="2">
        <v>45687</v>
      </c>
      <c r="I897" s="1" t="s">
        <v>988</v>
      </c>
      <c r="J897" s="1" t="s">
        <v>23</v>
      </c>
      <c r="K897" s="1" t="s">
        <v>45</v>
      </c>
      <c r="L897" s="2">
        <v>45658</v>
      </c>
      <c r="M897" s="6">
        <f>T_SALES[[#This Row],[Profit]]/T_SALES[[#This Row],[Amount]]</f>
        <v>0.46866359447004607</v>
      </c>
    </row>
    <row r="898" spans="1:13" x14ac:dyDescent="0.25">
      <c r="A898" s="1" t="s">
        <v>986</v>
      </c>
      <c r="B898" s="7">
        <v>3067</v>
      </c>
      <c r="C898" s="8">
        <v>1475</v>
      </c>
      <c r="D898">
        <v>8</v>
      </c>
      <c r="E898" s="1" t="s">
        <v>13</v>
      </c>
      <c r="F898" s="1" t="s">
        <v>34</v>
      </c>
      <c r="G898" s="1" t="s">
        <v>15</v>
      </c>
      <c r="H898" s="2">
        <v>45196</v>
      </c>
      <c r="I898" s="1" t="s">
        <v>987</v>
      </c>
      <c r="J898" s="1" t="s">
        <v>17</v>
      </c>
      <c r="K898" s="1" t="s">
        <v>31</v>
      </c>
      <c r="L898" s="2">
        <v>45170</v>
      </c>
      <c r="M898" s="6">
        <f>T_SALES[[#This Row],[Profit]]/T_SALES[[#This Row],[Amount]]</f>
        <v>0.48092598630583633</v>
      </c>
    </row>
    <row r="899" spans="1:13" x14ac:dyDescent="0.25">
      <c r="A899" s="1" t="s">
        <v>986</v>
      </c>
      <c r="B899" s="7">
        <v>3067</v>
      </c>
      <c r="C899" s="8">
        <v>1475</v>
      </c>
      <c r="D899">
        <v>8</v>
      </c>
      <c r="E899" s="1" t="s">
        <v>13</v>
      </c>
      <c r="F899" s="1" t="s">
        <v>34</v>
      </c>
      <c r="G899" s="1" t="s">
        <v>15</v>
      </c>
      <c r="H899" s="2">
        <v>45687</v>
      </c>
      <c r="I899" s="1" t="s">
        <v>988</v>
      </c>
      <c r="J899" s="1" t="s">
        <v>23</v>
      </c>
      <c r="K899" s="1" t="s">
        <v>45</v>
      </c>
      <c r="L899" s="2">
        <v>45658</v>
      </c>
      <c r="M899" s="6">
        <f>T_SALES[[#This Row],[Profit]]/T_SALES[[#This Row],[Amount]]</f>
        <v>0.48092598630583633</v>
      </c>
    </row>
    <row r="900" spans="1:13" x14ac:dyDescent="0.25">
      <c r="A900" s="1" t="s">
        <v>989</v>
      </c>
      <c r="B900" s="7">
        <v>9002</v>
      </c>
      <c r="C900" s="8">
        <v>4197</v>
      </c>
      <c r="D900">
        <v>2</v>
      </c>
      <c r="E900" s="1" t="s">
        <v>27</v>
      </c>
      <c r="F900" s="1" t="s">
        <v>49</v>
      </c>
      <c r="G900" s="1" t="s">
        <v>35</v>
      </c>
      <c r="H900" s="2">
        <v>45672</v>
      </c>
      <c r="I900" s="1" t="s">
        <v>990</v>
      </c>
      <c r="J900" s="1" t="s">
        <v>82</v>
      </c>
      <c r="K900" s="1" t="s">
        <v>89</v>
      </c>
      <c r="L900" s="2">
        <v>45658</v>
      </c>
      <c r="M900" s="6">
        <f>T_SALES[[#This Row],[Profit]]/T_SALES[[#This Row],[Amount]]</f>
        <v>0.46622972672739393</v>
      </c>
    </row>
    <row r="901" spans="1:13" x14ac:dyDescent="0.25">
      <c r="A901" s="1" t="s">
        <v>989</v>
      </c>
      <c r="B901" s="7">
        <v>9002</v>
      </c>
      <c r="C901" s="8">
        <v>4197</v>
      </c>
      <c r="D901">
        <v>2</v>
      </c>
      <c r="E901" s="1" t="s">
        <v>27</v>
      </c>
      <c r="F901" s="1" t="s">
        <v>49</v>
      </c>
      <c r="G901" s="1" t="s">
        <v>35</v>
      </c>
      <c r="H901" s="2">
        <v>44283</v>
      </c>
      <c r="I901" s="1" t="s">
        <v>991</v>
      </c>
      <c r="J901" s="1" t="s">
        <v>82</v>
      </c>
      <c r="K901" s="1" t="s">
        <v>83</v>
      </c>
      <c r="L901" s="2">
        <v>44256</v>
      </c>
      <c r="M901" s="6">
        <f>T_SALES[[#This Row],[Profit]]/T_SALES[[#This Row],[Amount]]</f>
        <v>0.46622972672739393</v>
      </c>
    </row>
    <row r="902" spans="1:13" x14ac:dyDescent="0.25">
      <c r="A902" s="1" t="s">
        <v>992</v>
      </c>
      <c r="B902" s="7">
        <v>7105</v>
      </c>
      <c r="C902" s="8">
        <v>2782</v>
      </c>
      <c r="D902">
        <v>19</v>
      </c>
      <c r="E902" s="1" t="s">
        <v>27</v>
      </c>
      <c r="F902" s="1" t="s">
        <v>28</v>
      </c>
      <c r="G902" s="1" t="s">
        <v>56</v>
      </c>
      <c r="H902" s="2">
        <v>44555</v>
      </c>
      <c r="I902" s="1" t="s">
        <v>993</v>
      </c>
      <c r="J902" s="1" t="s">
        <v>82</v>
      </c>
      <c r="K902" s="1" t="s">
        <v>83</v>
      </c>
      <c r="L902" s="2">
        <v>44531</v>
      </c>
      <c r="M902" s="6">
        <f>T_SALES[[#This Row],[Profit]]/T_SALES[[#This Row],[Amount]]</f>
        <v>0.3915552427867699</v>
      </c>
    </row>
    <row r="903" spans="1:13" x14ac:dyDescent="0.25">
      <c r="A903" s="1" t="s">
        <v>994</v>
      </c>
      <c r="B903" s="7">
        <v>5317</v>
      </c>
      <c r="C903" s="8">
        <v>1345</v>
      </c>
      <c r="D903">
        <v>18</v>
      </c>
      <c r="E903" s="1" t="s">
        <v>39</v>
      </c>
      <c r="F903" s="1" t="s">
        <v>43</v>
      </c>
      <c r="G903" s="1" t="s">
        <v>29</v>
      </c>
      <c r="H903" s="2">
        <v>44960</v>
      </c>
      <c r="I903" s="1" t="s">
        <v>995</v>
      </c>
      <c r="J903" s="1" t="s">
        <v>82</v>
      </c>
      <c r="K903" s="1" t="s">
        <v>83</v>
      </c>
      <c r="L903" s="2">
        <v>44958</v>
      </c>
      <c r="M903" s="6">
        <f>T_SALES[[#This Row],[Profit]]/T_SALES[[#This Row],[Amount]]</f>
        <v>0.25296219672747788</v>
      </c>
    </row>
    <row r="904" spans="1:13" x14ac:dyDescent="0.25">
      <c r="A904" s="1" t="s">
        <v>994</v>
      </c>
      <c r="B904" s="7">
        <v>5317</v>
      </c>
      <c r="C904" s="8">
        <v>1345</v>
      </c>
      <c r="D904">
        <v>18</v>
      </c>
      <c r="E904" s="1" t="s">
        <v>39</v>
      </c>
      <c r="F904" s="1" t="s">
        <v>43</v>
      </c>
      <c r="G904" s="1" t="s">
        <v>29</v>
      </c>
      <c r="H904" s="2">
        <v>45044</v>
      </c>
      <c r="I904" s="1" t="s">
        <v>996</v>
      </c>
      <c r="J904" s="1" t="s">
        <v>17</v>
      </c>
      <c r="K904" s="1" t="s">
        <v>31</v>
      </c>
      <c r="L904" s="2">
        <v>45017</v>
      </c>
      <c r="M904" s="6">
        <f>T_SALES[[#This Row],[Profit]]/T_SALES[[#This Row],[Amount]]</f>
        <v>0.25296219672747788</v>
      </c>
    </row>
    <row r="905" spans="1:13" x14ac:dyDescent="0.25">
      <c r="A905" s="1" t="s">
        <v>994</v>
      </c>
      <c r="B905" s="7">
        <v>5317</v>
      </c>
      <c r="C905" s="8">
        <v>1345</v>
      </c>
      <c r="D905">
        <v>18</v>
      </c>
      <c r="E905" s="1" t="s">
        <v>39</v>
      </c>
      <c r="F905" s="1" t="s">
        <v>43</v>
      </c>
      <c r="G905" s="1" t="s">
        <v>29</v>
      </c>
      <c r="H905" s="2">
        <v>45618</v>
      </c>
      <c r="I905" s="1" t="s">
        <v>997</v>
      </c>
      <c r="J905" s="1" t="s">
        <v>37</v>
      </c>
      <c r="K905" s="1" t="s">
        <v>78</v>
      </c>
      <c r="L905" s="2">
        <v>45597</v>
      </c>
      <c r="M905" s="6">
        <f>T_SALES[[#This Row],[Profit]]/T_SALES[[#This Row],[Amount]]</f>
        <v>0.25296219672747788</v>
      </c>
    </row>
    <row r="906" spans="1:13" x14ac:dyDescent="0.25">
      <c r="A906" s="1" t="s">
        <v>994</v>
      </c>
      <c r="B906" s="7">
        <v>6304</v>
      </c>
      <c r="C906" s="8">
        <v>766</v>
      </c>
      <c r="D906">
        <v>14</v>
      </c>
      <c r="E906" s="1" t="s">
        <v>39</v>
      </c>
      <c r="F906" s="1" t="s">
        <v>40</v>
      </c>
      <c r="G906" s="1" t="s">
        <v>35</v>
      </c>
      <c r="H906" s="2">
        <v>44960</v>
      </c>
      <c r="I906" s="1" t="s">
        <v>995</v>
      </c>
      <c r="J906" s="1" t="s">
        <v>82</v>
      </c>
      <c r="K906" s="1" t="s">
        <v>83</v>
      </c>
      <c r="L906" s="2">
        <v>44958</v>
      </c>
      <c r="M906" s="6">
        <f>T_SALES[[#This Row],[Profit]]/T_SALES[[#This Row],[Amount]]</f>
        <v>0.12151015228426396</v>
      </c>
    </row>
    <row r="907" spans="1:13" x14ac:dyDescent="0.25">
      <c r="A907" s="1" t="s">
        <v>994</v>
      </c>
      <c r="B907" s="7">
        <v>6304</v>
      </c>
      <c r="C907" s="8">
        <v>766</v>
      </c>
      <c r="D907">
        <v>14</v>
      </c>
      <c r="E907" s="1" t="s">
        <v>39</v>
      </c>
      <c r="F907" s="1" t="s">
        <v>40</v>
      </c>
      <c r="G907" s="1" t="s">
        <v>35</v>
      </c>
      <c r="H907" s="2">
        <v>45044</v>
      </c>
      <c r="I907" s="1" t="s">
        <v>996</v>
      </c>
      <c r="J907" s="1" t="s">
        <v>17</v>
      </c>
      <c r="K907" s="1" t="s">
        <v>31</v>
      </c>
      <c r="L907" s="2">
        <v>45017</v>
      </c>
      <c r="M907" s="6">
        <f>T_SALES[[#This Row],[Profit]]/T_SALES[[#This Row],[Amount]]</f>
        <v>0.12151015228426396</v>
      </c>
    </row>
    <row r="908" spans="1:13" x14ac:dyDescent="0.25">
      <c r="A908" s="1" t="s">
        <v>994</v>
      </c>
      <c r="B908" s="7">
        <v>6304</v>
      </c>
      <c r="C908" s="8">
        <v>766</v>
      </c>
      <c r="D908">
        <v>14</v>
      </c>
      <c r="E908" s="1" t="s">
        <v>39</v>
      </c>
      <c r="F908" s="1" t="s">
        <v>40</v>
      </c>
      <c r="G908" s="1" t="s">
        <v>35</v>
      </c>
      <c r="H908" s="2">
        <v>45618</v>
      </c>
      <c r="I908" s="1" t="s">
        <v>997</v>
      </c>
      <c r="J908" s="1" t="s">
        <v>37</v>
      </c>
      <c r="K908" s="1" t="s">
        <v>78</v>
      </c>
      <c r="L908" s="2">
        <v>45597</v>
      </c>
      <c r="M908" s="6">
        <f>T_SALES[[#This Row],[Profit]]/T_SALES[[#This Row],[Amount]]</f>
        <v>0.12151015228426396</v>
      </c>
    </row>
    <row r="909" spans="1:13" x14ac:dyDescent="0.25">
      <c r="A909" s="1" t="s">
        <v>998</v>
      </c>
      <c r="B909" s="7">
        <v>9565</v>
      </c>
      <c r="C909" s="8">
        <v>1691</v>
      </c>
      <c r="D909">
        <v>3</v>
      </c>
      <c r="E909" s="1" t="s">
        <v>27</v>
      </c>
      <c r="F909" s="1" t="s">
        <v>55</v>
      </c>
      <c r="G909" s="1" t="s">
        <v>29</v>
      </c>
      <c r="H909" s="2">
        <v>45475</v>
      </c>
      <c r="I909" s="1" t="s">
        <v>999</v>
      </c>
      <c r="J909" s="1" t="s">
        <v>20</v>
      </c>
      <c r="K909" s="1" t="s">
        <v>54</v>
      </c>
      <c r="L909" s="2">
        <v>45474</v>
      </c>
      <c r="M909" s="6">
        <f>T_SALES[[#This Row],[Profit]]/T_SALES[[#This Row],[Amount]]</f>
        <v>0.1767903815995818</v>
      </c>
    </row>
    <row r="910" spans="1:13" x14ac:dyDescent="0.25">
      <c r="A910" s="1" t="s">
        <v>998</v>
      </c>
      <c r="B910" s="7">
        <v>8245</v>
      </c>
      <c r="C910" s="8">
        <v>324</v>
      </c>
      <c r="D910">
        <v>11</v>
      </c>
      <c r="E910" s="1" t="s">
        <v>27</v>
      </c>
      <c r="F910" s="1" t="s">
        <v>55</v>
      </c>
      <c r="G910" s="1" t="s">
        <v>35</v>
      </c>
      <c r="H910" s="2">
        <v>45475</v>
      </c>
      <c r="I910" s="1" t="s">
        <v>999</v>
      </c>
      <c r="J910" s="1" t="s">
        <v>20</v>
      </c>
      <c r="K910" s="1" t="s">
        <v>54</v>
      </c>
      <c r="L910" s="2">
        <v>45474</v>
      </c>
      <c r="M910" s="6">
        <f>T_SALES[[#This Row],[Profit]]/T_SALES[[#This Row],[Amount]]</f>
        <v>3.9296543359611885E-2</v>
      </c>
    </row>
    <row r="911" spans="1:13" x14ac:dyDescent="0.25">
      <c r="A911" s="1" t="s">
        <v>1000</v>
      </c>
      <c r="B911" s="7">
        <v>1592</v>
      </c>
      <c r="C911" s="8">
        <v>480</v>
      </c>
      <c r="D911">
        <v>13</v>
      </c>
      <c r="E911" s="1" t="s">
        <v>13</v>
      </c>
      <c r="F911" s="1" t="s">
        <v>34</v>
      </c>
      <c r="G911" s="1" t="s">
        <v>29</v>
      </c>
      <c r="H911" s="2">
        <v>44579</v>
      </c>
      <c r="I911" s="1" t="s">
        <v>1001</v>
      </c>
      <c r="J911" s="1" t="s">
        <v>82</v>
      </c>
      <c r="K911" s="1" t="s">
        <v>97</v>
      </c>
      <c r="L911" s="2">
        <v>44562</v>
      </c>
      <c r="M911" s="6">
        <f>T_SALES[[#This Row],[Profit]]/T_SALES[[#This Row],[Amount]]</f>
        <v>0.30150753768844218</v>
      </c>
    </row>
    <row r="912" spans="1:13" x14ac:dyDescent="0.25">
      <c r="A912" s="1" t="s">
        <v>1002</v>
      </c>
      <c r="B912" s="7">
        <v>8400</v>
      </c>
      <c r="C912" s="8">
        <v>267</v>
      </c>
      <c r="D912">
        <v>5</v>
      </c>
      <c r="E912" s="1" t="s">
        <v>13</v>
      </c>
      <c r="F912" s="1" t="s">
        <v>70</v>
      </c>
      <c r="G912" s="1" t="s">
        <v>29</v>
      </c>
      <c r="H912" s="2">
        <v>45573</v>
      </c>
      <c r="I912" s="1" t="s">
        <v>1003</v>
      </c>
      <c r="J912" s="1" t="s">
        <v>82</v>
      </c>
      <c r="K912" s="1" t="s">
        <v>83</v>
      </c>
      <c r="L912" s="2">
        <v>45566</v>
      </c>
      <c r="M912" s="6">
        <f>T_SALES[[#This Row],[Profit]]/T_SALES[[#This Row],[Amount]]</f>
        <v>3.1785714285714285E-2</v>
      </c>
    </row>
    <row r="913" spans="1:13" x14ac:dyDescent="0.25">
      <c r="A913" s="1" t="s">
        <v>1002</v>
      </c>
      <c r="B913" s="7">
        <v>4963</v>
      </c>
      <c r="C913" s="8">
        <v>1254</v>
      </c>
      <c r="D913">
        <v>15</v>
      </c>
      <c r="E913" s="1" t="s">
        <v>27</v>
      </c>
      <c r="F913" s="1" t="s">
        <v>55</v>
      </c>
      <c r="G913" s="1" t="s">
        <v>35</v>
      </c>
      <c r="H913" s="2">
        <v>45573</v>
      </c>
      <c r="I913" s="1" t="s">
        <v>1003</v>
      </c>
      <c r="J913" s="1" t="s">
        <v>82</v>
      </c>
      <c r="K913" s="1" t="s">
        <v>83</v>
      </c>
      <c r="L913" s="2">
        <v>45566</v>
      </c>
      <c r="M913" s="6">
        <f>T_SALES[[#This Row],[Profit]]/T_SALES[[#This Row],[Amount]]</f>
        <v>0.2526697561958493</v>
      </c>
    </row>
    <row r="914" spans="1:13" x14ac:dyDescent="0.25">
      <c r="A914" s="1" t="s">
        <v>1004</v>
      </c>
      <c r="B914" s="7">
        <v>2472</v>
      </c>
      <c r="C914" s="8">
        <v>211</v>
      </c>
      <c r="D914">
        <v>5</v>
      </c>
      <c r="E914" s="1" t="s">
        <v>13</v>
      </c>
      <c r="F914" s="1" t="s">
        <v>25</v>
      </c>
      <c r="G914" s="1" t="s">
        <v>56</v>
      </c>
      <c r="H914" s="2">
        <v>44003</v>
      </c>
      <c r="I914" s="1" t="s">
        <v>1005</v>
      </c>
      <c r="J914" s="1" t="s">
        <v>37</v>
      </c>
      <c r="K914" s="1" t="s">
        <v>65</v>
      </c>
      <c r="L914" s="2">
        <v>43983</v>
      </c>
      <c r="M914" s="6">
        <f>T_SALES[[#This Row],[Profit]]/T_SALES[[#This Row],[Amount]]</f>
        <v>8.535598705501618E-2</v>
      </c>
    </row>
    <row r="915" spans="1:13" x14ac:dyDescent="0.25">
      <c r="A915" s="1" t="s">
        <v>1006</v>
      </c>
      <c r="B915" s="7">
        <v>9132</v>
      </c>
      <c r="C915" s="8">
        <v>3096</v>
      </c>
      <c r="D915">
        <v>14</v>
      </c>
      <c r="E915" s="1" t="s">
        <v>39</v>
      </c>
      <c r="F915" s="1" t="s">
        <v>43</v>
      </c>
      <c r="G915" s="1" t="s">
        <v>29</v>
      </c>
      <c r="H915" s="2">
        <v>45274</v>
      </c>
      <c r="I915" s="1" t="s">
        <v>1007</v>
      </c>
      <c r="J915" s="1" t="s">
        <v>17</v>
      </c>
      <c r="K915" s="1" t="s">
        <v>121</v>
      </c>
      <c r="L915" s="2">
        <v>45261</v>
      </c>
      <c r="M915" s="6">
        <f>T_SALES[[#This Row],[Profit]]/T_SALES[[#This Row],[Amount]]</f>
        <v>0.33902759526938236</v>
      </c>
    </row>
    <row r="916" spans="1:13" x14ac:dyDescent="0.25">
      <c r="A916" s="1" t="s">
        <v>1008</v>
      </c>
      <c r="B916" s="7">
        <v>8305</v>
      </c>
      <c r="C916" s="8">
        <v>1577</v>
      </c>
      <c r="D916">
        <v>6</v>
      </c>
      <c r="E916" s="1" t="s">
        <v>27</v>
      </c>
      <c r="F916" s="1" t="s">
        <v>67</v>
      </c>
      <c r="G916" s="1" t="s">
        <v>29</v>
      </c>
      <c r="H916" s="2">
        <v>44181</v>
      </c>
      <c r="I916" s="1" t="s">
        <v>1009</v>
      </c>
      <c r="J916" s="1" t="s">
        <v>23</v>
      </c>
      <c r="K916" s="1" t="s">
        <v>59</v>
      </c>
      <c r="L916" s="2">
        <v>44166</v>
      </c>
      <c r="M916" s="6">
        <f>T_SALES[[#This Row],[Profit]]/T_SALES[[#This Row],[Amount]]</f>
        <v>0.18988561107766405</v>
      </c>
    </row>
    <row r="917" spans="1:13" x14ac:dyDescent="0.25">
      <c r="A917" s="1" t="s">
        <v>1010</v>
      </c>
      <c r="B917" s="7">
        <v>1010</v>
      </c>
      <c r="C917" s="8">
        <v>58</v>
      </c>
      <c r="D917">
        <v>19</v>
      </c>
      <c r="E917" s="1" t="s">
        <v>13</v>
      </c>
      <c r="F917" s="1" t="s">
        <v>14</v>
      </c>
      <c r="G917" s="1" t="s">
        <v>56</v>
      </c>
      <c r="H917" s="2">
        <v>45731</v>
      </c>
      <c r="I917" s="1" t="s">
        <v>1011</v>
      </c>
      <c r="J917" s="1" t="s">
        <v>17</v>
      </c>
      <c r="K917" s="1" t="s">
        <v>121</v>
      </c>
      <c r="L917" s="2">
        <v>45717</v>
      </c>
      <c r="M917" s="6">
        <f>T_SALES[[#This Row],[Profit]]/T_SALES[[#This Row],[Amount]]</f>
        <v>5.7425742574257428E-2</v>
      </c>
    </row>
    <row r="918" spans="1:13" x14ac:dyDescent="0.25">
      <c r="A918" s="1" t="s">
        <v>1012</v>
      </c>
      <c r="B918" s="7">
        <v>4544</v>
      </c>
      <c r="C918" s="8">
        <v>1726</v>
      </c>
      <c r="D918">
        <v>9</v>
      </c>
      <c r="E918" s="1" t="s">
        <v>13</v>
      </c>
      <c r="F918" s="1" t="s">
        <v>70</v>
      </c>
      <c r="G918" s="1" t="s">
        <v>35</v>
      </c>
      <c r="H918" s="2">
        <v>45525</v>
      </c>
      <c r="I918" s="1" t="s">
        <v>1013</v>
      </c>
      <c r="J918" s="1" t="s">
        <v>62</v>
      </c>
      <c r="K918" s="1" t="s">
        <v>63</v>
      </c>
      <c r="L918" s="2">
        <v>45505</v>
      </c>
      <c r="M918" s="6">
        <f>T_SALES[[#This Row],[Profit]]/T_SALES[[#This Row],[Amount]]</f>
        <v>0.37984154929577463</v>
      </c>
    </row>
    <row r="919" spans="1:13" x14ac:dyDescent="0.25">
      <c r="A919" s="1" t="s">
        <v>1012</v>
      </c>
      <c r="B919" s="7">
        <v>5900</v>
      </c>
      <c r="C919" s="8">
        <v>1738</v>
      </c>
      <c r="D919">
        <v>20</v>
      </c>
      <c r="E919" s="1" t="s">
        <v>13</v>
      </c>
      <c r="F919" s="1" t="s">
        <v>70</v>
      </c>
      <c r="G919" s="1" t="s">
        <v>15</v>
      </c>
      <c r="H919" s="2">
        <v>45525</v>
      </c>
      <c r="I919" s="1" t="s">
        <v>1013</v>
      </c>
      <c r="J919" s="1" t="s">
        <v>62</v>
      </c>
      <c r="K919" s="1" t="s">
        <v>63</v>
      </c>
      <c r="L919" s="2">
        <v>45505</v>
      </c>
      <c r="M919" s="6">
        <f>T_SALES[[#This Row],[Profit]]/T_SALES[[#This Row],[Amount]]</f>
        <v>0.2945762711864407</v>
      </c>
    </row>
    <row r="920" spans="1:13" x14ac:dyDescent="0.25">
      <c r="A920" s="1" t="s">
        <v>1014</v>
      </c>
      <c r="B920" s="7">
        <v>8861</v>
      </c>
      <c r="C920" s="8">
        <v>3381</v>
      </c>
      <c r="D920">
        <v>19</v>
      </c>
      <c r="E920" s="1" t="s">
        <v>27</v>
      </c>
      <c r="F920" s="1" t="s">
        <v>49</v>
      </c>
      <c r="G920" s="1" t="s">
        <v>41</v>
      </c>
      <c r="H920" s="2">
        <v>44343</v>
      </c>
      <c r="I920" s="1" t="s">
        <v>1015</v>
      </c>
      <c r="J920" s="1" t="s">
        <v>37</v>
      </c>
      <c r="K920" s="1" t="s">
        <v>65</v>
      </c>
      <c r="L920" s="2">
        <v>44317</v>
      </c>
      <c r="M920" s="6">
        <f>T_SALES[[#This Row],[Profit]]/T_SALES[[#This Row],[Amount]]</f>
        <v>0.3815596433811082</v>
      </c>
    </row>
    <row r="921" spans="1:13" x14ac:dyDescent="0.25">
      <c r="A921" s="1" t="s">
        <v>1016</v>
      </c>
      <c r="B921" s="7">
        <v>8158</v>
      </c>
      <c r="C921" s="8">
        <v>2052</v>
      </c>
      <c r="D921">
        <v>13</v>
      </c>
      <c r="E921" s="1" t="s">
        <v>13</v>
      </c>
      <c r="F921" s="1" t="s">
        <v>70</v>
      </c>
      <c r="G921" s="1" t="s">
        <v>29</v>
      </c>
      <c r="H921" s="2">
        <v>44095</v>
      </c>
      <c r="I921" s="1" t="s">
        <v>1017</v>
      </c>
      <c r="J921" s="1" t="s">
        <v>82</v>
      </c>
      <c r="K921" s="1" t="s">
        <v>89</v>
      </c>
      <c r="L921" s="2">
        <v>44075</v>
      </c>
      <c r="M921" s="6">
        <f>T_SALES[[#This Row],[Profit]]/T_SALES[[#This Row],[Amount]]</f>
        <v>0.25153223829369942</v>
      </c>
    </row>
    <row r="922" spans="1:13" x14ac:dyDescent="0.25">
      <c r="A922" s="1" t="s">
        <v>1018</v>
      </c>
      <c r="B922" s="7">
        <v>3411</v>
      </c>
      <c r="C922" s="8">
        <v>1704</v>
      </c>
      <c r="D922">
        <v>14</v>
      </c>
      <c r="E922" s="1" t="s">
        <v>27</v>
      </c>
      <c r="F922" s="1" t="s">
        <v>28</v>
      </c>
      <c r="G922" s="1" t="s">
        <v>15</v>
      </c>
      <c r="H922" s="2">
        <v>45668</v>
      </c>
      <c r="I922" s="1" t="s">
        <v>1019</v>
      </c>
      <c r="J922" s="1" t="s">
        <v>37</v>
      </c>
      <c r="K922" s="1" t="s">
        <v>38</v>
      </c>
      <c r="L922" s="2">
        <v>45658</v>
      </c>
      <c r="M922" s="6">
        <f>T_SALES[[#This Row],[Profit]]/T_SALES[[#This Row],[Amount]]</f>
        <v>0.49956024626209322</v>
      </c>
    </row>
    <row r="923" spans="1:13" x14ac:dyDescent="0.25">
      <c r="A923" s="1" t="s">
        <v>1020</v>
      </c>
      <c r="B923" s="7">
        <v>9406</v>
      </c>
      <c r="C923" s="8">
        <v>1137</v>
      </c>
      <c r="D923">
        <v>16</v>
      </c>
      <c r="E923" s="1" t="s">
        <v>27</v>
      </c>
      <c r="F923" s="1" t="s">
        <v>49</v>
      </c>
      <c r="G923" s="1" t="s">
        <v>15</v>
      </c>
      <c r="H923" s="2">
        <v>44489</v>
      </c>
      <c r="I923" s="1" t="s">
        <v>1021</v>
      </c>
      <c r="J923" s="1" t="s">
        <v>62</v>
      </c>
      <c r="K923" s="1" t="s">
        <v>111</v>
      </c>
      <c r="L923" s="2">
        <v>44470</v>
      </c>
      <c r="M923" s="6">
        <f>T_SALES[[#This Row],[Profit]]/T_SALES[[#This Row],[Amount]]</f>
        <v>0.12088028917712099</v>
      </c>
    </row>
    <row r="924" spans="1:13" x14ac:dyDescent="0.25">
      <c r="A924" s="1" t="s">
        <v>1020</v>
      </c>
      <c r="B924" s="7">
        <v>1156</v>
      </c>
      <c r="C924" s="8">
        <v>74</v>
      </c>
      <c r="D924">
        <v>15</v>
      </c>
      <c r="E924" s="1" t="s">
        <v>13</v>
      </c>
      <c r="F924" s="1" t="s">
        <v>25</v>
      </c>
      <c r="G924" s="1" t="s">
        <v>35</v>
      </c>
      <c r="H924" s="2">
        <v>44489</v>
      </c>
      <c r="I924" s="1" t="s">
        <v>1021</v>
      </c>
      <c r="J924" s="1" t="s">
        <v>62</v>
      </c>
      <c r="K924" s="1" t="s">
        <v>111</v>
      </c>
      <c r="L924" s="2">
        <v>44470</v>
      </c>
      <c r="M924" s="6">
        <f>T_SALES[[#This Row],[Profit]]/T_SALES[[#This Row],[Amount]]</f>
        <v>6.4013840830449822E-2</v>
      </c>
    </row>
    <row r="925" spans="1:13" x14ac:dyDescent="0.25">
      <c r="A925" s="1" t="s">
        <v>1022</v>
      </c>
      <c r="B925" s="7">
        <v>5354</v>
      </c>
      <c r="C925" s="8">
        <v>743</v>
      </c>
      <c r="D925">
        <v>10</v>
      </c>
      <c r="E925" s="1" t="s">
        <v>39</v>
      </c>
      <c r="F925" s="1" t="s">
        <v>90</v>
      </c>
      <c r="G925" s="1" t="s">
        <v>15</v>
      </c>
      <c r="H925" s="2">
        <v>44488</v>
      </c>
      <c r="I925" s="1" t="s">
        <v>1023</v>
      </c>
      <c r="J925" s="1" t="s">
        <v>20</v>
      </c>
      <c r="K925" s="1" t="s">
        <v>54</v>
      </c>
      <c r="L925" s="2">
        <v>44470</v>
      </c>
      <c r="M925" s="6">
        <f>T_SALES[[#This Row],[Profit]]/T_SALES[[#This Row],[Amount]]</f>
        <v>0.13877474785207322</v>
      </c>
    </row>
    <row r="926" spans="1:13" x14ac:dyDescent="0.25">
      <c r="A926" s="1" t="s">
        <v>1024</v>
      </c>
      <c r="B926" s="7">
        <v>8780</v>
      </c>
      <c r="C926" s="8">
        <v>3430</v>
      </c>
      <c r="D926">
        <v>4</v>
      </c>
      <c r="E926" s="1" t="s">
        <v>13</v>
      </c>
      <c r="F926" s="1" t="s">
        <v>14</v>
      </c>
      <c r="G926" s="1" t="s">
        <v>41</v>
      </c>
      <c r="H926" s="2">
        <v>45480</v>
      </c>
      <c r="I926" s="1" t="s">
        <v>1025</v>
      </c>
      <c r="J926" s="1" t="s">
        <v>62</v>
      </c>
      <c r="K926" s="1" t="s">
        <v>74</v>
      </c>
      <c r="L926" s="2">
        <v>45474</v>
      </c>
      <c r="M926" s="6">
        <f>T_SALES[[#This Row],[Profit]]/T_SALES[[#This Row],[Amount]]</f>
        <v>0.39066059225512528</v>
      </c>
    </row>
    <row r="927" spans="1:13" x14ac:dyDescent="0.25">
      <c r="A927" s="1" t="s">
        <v>1024</v>
      </c>
      <c r="B927" s="7">
        <v>8780</v>
      </c>
      <c r="C927" s="8">
        <v>3430</v>
      </c>
      <c r="D927">
        <v>4</v>
      </c>
      <c r="E927" s="1" t="s">
        <v>13</v>
      </c>
      <c r="F927" s="1" t="s">
        <v>14</v>
      </c>
      <c r="G927" s="1" t="s">
        <v>41</v>
      </c>
      <c r="H927" s="2">
        <v>45132</v>
      </c>
      <c r="I927" s="1" t="s">
        <v>1026</v>
      </c>
      <c r="J927" s="1" t="s">
        <v>62</v>
      </c>
      <c r="K927" s="1" t="s">
        <v>74</v>
      </c>
      <c r="L927" s="2">
        <v>45108</v>
      </c>
      <c r="M927" s="6">
        <f>T_SALES[[#This Row],[Profit]]/T_SALES[[#This Row],[Amount]]</f>
        <v>0.39066059225512528</v>
      </c>
    </row>
    <row r="928" spans="1:13" x14ac:dyDescent="0.25">
      <c r="A928" s="1" t="s">
        <v>1027</v>
      </c>
      <c r="B928" s="7">
        <v>6783</v>
      </c>
      <c r="C928" s="8">
        <v>3306</v>
      </c>
      <c r="D928">
        <v>8</v>
      </c>
      <c r="E928" s="1" t="s">
        <v>39</v>
      </c>
      <c r="F928" s="1" t="s">
        <v>51</v>
      </c>
      <c r="G928" s="1" t="s">
        <v>29</v>
      </c>
      <c r="H928" s="2">
        <v>43937</v>
      </c>
      <c r="I928" s="1" t="s">
        <v>1028</v>
      </c>
      <c r="J928" s="1" t="s">
        <v>82</v>
      </c>
      <c r="K928" s="1" t="s">
        <v>83</v>
      </c>
      <c r="L928" s="2">
        <v>43922</v>
      </c>
      <c r="M928" s="6">
        <f>T_SALES[[#This Row],[Profit]]/T_SALES[[#This Row],[Amount]]</f>
        <v>0.48739495798319327</v>
      </c>
    </row>
    <row r="929" spans="1:13" x14ac:dyDescent="0.25">
      <c r="A929" s="1" t="s">
        <v>1029</v>
      </c>
      <c r="B929" s="7">
        <v>1778</v>
      </c>
      <c r="C929" s="8">
        <v>285</v>
      </c>
      <c r="D929">
        <v>4</v>
      </c>
      <c r="E929" s="1" t="s">
        <v>27</v>
      </c>
      <c r="F929" s="1" t="s">
        <v>28</v>
      </c>
      <c r="G929" s="1" t="s">
        <v>41</v>
      </c>
      <c r="H929" s="2">
        <v>44016</v>
      </c>
      <c r="I929" s="1" t="s">
        <v>1030</v>
      </c>
      <c r="J929" s="1" t="s">
        <v>23</v>
      </c>
      <c r="K929" s="1" t="s">
        <v>45</v>
      </c>
      <c r="L929" s="2">
        <v>44013</v>
      </c>
      <c r="M929" s="6">
        <f>T_SALES[[#This Row],[Profit]]/T_SALES[[#This Row],[Amount]]</f>
        <v>0.16029246344206974</v>
      </c>
    </row>
    <row r="930" spans="1:13" x14ac:dyDescent="0.25">
      <c r="A930" s="1" t="s">
        <v>1031</v>
      </c>
      <c r="B930" s="7">
        <v>9399</v>
      </c>
      <c r="C930" s="8">
        <v>1949</v>
      </c>
      <c r="D930">
        <v>12</v>
      </c>
      <c r="E930" s="1" t="s">
        <v>13</v>
      </c>
      <c r="F930" s="1" t="s">
        <v>25</v>
      </c>
      <c r="G930" s="1" t="s">
        <v>15</v>
      </c>
      <c r="H930" s="2">
        <v>44697</v>
      </c>
      <c r="I930" s="1" t="s">
        <v>1032</v>
      </c>
      <c r="J930" s="1" t="s">
        <v>23</v>
      </c>
      <c r="K930" s="1" t="s">
        <v>59</v>
      </c>
      <c r="L930" s="2">
        <v>44682</v>
      </c>
      <c r="M930" s="6">
        <f>T_SALES[[#This Row],[Profit]]/T_SALES[[#This Row],[Amount]]</f>
        <v>0.20736248537078414</v>
      </c>
    </row>
    <row r="931" spans="1:13" x14ac:dyDescent="0.25">
      <c r="A931" s="1" t="s">
        <v>1031</v>
      </c>
      <c r="B931" s="7">
        <v>7957</v>
      </c>
      <c r="C931" s="8">
        <v>965</v>
      </c>
      <c r="D931">
        <v>4</v>
      </c>
      <c r="E931" s="1" t="s">
        <v>39</v>
      </c>
      <c r="F931" s="1" t="s">
        <v>51</v>
      </c>
      <c r="G931" s="1" t="s">
        <v>41</v>
      </c>
      <c r="H931" s="2">
        <v>44697</v>
      </c>
      <c r="I931" s="1" t="s">
        <v>1032</v>
      </c>
      <c r="J931" s="1" t="s">
        <v>23</v>
      </c>
      <c r="K931" s="1" t="s">
        <v>59</v>
      </c>
      <c r="L931" s="2">
        <v>44682</v>
      </c>
      <c r="M931" s="6">
        <f>T_SALES[[#This Row],[Profit]]/T_SALES[[#This Row],[Amount]]</f>
        <v>0.12127686313937414</v>
      </c>
    </row>
    <row r="932" spans="1:13" x14ac:dyDescent="0.25">
      <c r="A932" s="1" t="s">
        <v>1033</v>
      </c>
      <c r="B932" s="7">
        <v>1638</v>
      </c>
      <c r="C932" s="8">
        <v>661</v>
      </c>
      <c r="D932">
        <v>13</v>
      </c>
      <c r="E932" s="1" t="s">
        <v>39</v>
      </c>
      <c r="F932" s="1" t="s">
        <v>43</v>
      </c>
      <c r="G932" s="1" t="s">
        <v>35</v>
      </c>
      <c r="H932" s="2">
        <v>45255</v>
      </c>
      <c r="I932" s="1" t="s">
        <v>1034</v>
      </c>
      <c r="J932" s="1" t="s">
        <v>20</v>
      </c>
      <c r="K932" s="1" t="s">
        <v>54</v>
      </c>
      <c r="L932" s="2">
        <v>45231</v>
      </c>
      <c r="M932" s="6">
        <f>T_SALES[[#This Row],[Profit]]/T_SALES[[#This Row],[Amount]]</f>
        <v>0.40354090354090355</v>
      </c>
    </row>
    <row r="933" spans="1:13" x14ac:dyDescent="0.25">
      <c r="A933" s="1" t="s">
        <v>1035</v>
      </c>
      <c r="B933" s="7">
        <v>1786</v>
      </c>
      <c r="C933" s="8">
        <v>224</v>
      </c>
      <c r="D933">
        <v>4</v>
      </c>
      <c r="E933" s="1" t="s">
        <v>39</v>
      </c>
      <c r="F933" s="1" t="s">
        <v>40</v>
      </c>
      <c r="G933" s="1" t="s">
        <v>56</v>
      </c>
      <c r="H933" s="2">
        <v>44425</v>
      </c>
      <c r="I933" s="1" t="s">
        <v>1036</v>
      </c>
      <c r="J933" s="1" t="s">
        <v>62</v>
      </c>
      <c r="K933" s="1" t="s">
        <v>63</v>
      </c>
      <c r="L933" s="2">
        <v>44409</v>
      </c>
      <c r="M933" s="6">
        <f>T_SALES[[#This Row],[Profit]]/T_SALES[[#This Row],[Amount]]</f>
        <v>0.12541993281075028</v>
      </c>
    </row>
    <row r="934" spans="1:13" x14ac:dyDescent="0.25">
      <c r="A934" s="1" t="s">
        <v>1037</v>
      </c>
      <c r="B934" s="7">
        <v>4751</v>
      </c>
      <c r="C934" s="8">
        <v>781</v>
      </c>
      <c r="D934">
        <v>9</v>
      </c>
      <c r="E934" s="1" t="s">
        <v>27</v>
      </c>
      <c r="F934" s="1" t="s">
        <v>55</v>
      </c>
      <c r="G934" s="1" t="s">
        <v>35</v>
      </c>
      <c r="H934" s="2">
        <v>45109</v>
      </c>
      <c r="I934" s="1" t="s">
        <v>1038</v>
      </c>
      <c r="J934" s="1" t="s">
        <v>23</v>
      </c>
      <c r="K934" s="1" t="s">
        <v>24</v>
      </c>
      <c r="L934" s="2">
        <v>45108</v>
      </c>
      <c r="M934" s="6">
        <f>T_SALES[[#This Row],[Profit]]/T_SALES[[#This Row],[Amount]]</f>
        <v>0.16438644495895602</v>
      </c>
    </row>
    <row r="935" spans="1:13" x14ac:dyDescent="0.25">
      <c r="A935" s="1" t="s">
        <v>1039</v>
      </c>
      <c r="B935" s="7">
        <v>8979</v>
      </c>
      <c r="C935" s="8">
        <v>4477</v>
      </c>
      <c r="D935">
        <v>4</v>
      </c>
      <c r="E935" s="1" t="s">
        <v>27</v>
      </c>
      <c r="F935" s="1" t="s">
        <v>55</v>
      </c>
      <c r="G935" s="1" t="s">
        <v>41</v>
      </c>
      <c r="H935" s="2">
        <v>44067</v>
      </c>
      <c r="I935" s="1" t="s">
        <v>1040</v>
      </c>
      <c r="J935" s="1" t="s">
        <v>20</v>
      </c>
      <c r="K935" s="1" t="s">
        <v>21</v>
      </c>
      <c r="L935" s="2">
        <v>44044</v>
      </c>
      <c r="M935" s="6">
        <f>T_SALES[[#This Row],[Profit]]/T_SALES[[#This Row],[Amount]]</f>
        <v>0.4986078627909567</v>
      </c>
    </row>
    <row r="936" spans="1:13" x14ac:dyDescent="0.25">
      <c r="A936" s="1" t="s">
        <v>1041</v>
      </c>
      <c r="B936" s="7">
        <v>2727</v>
      </c>
      <c r="C936" s="8">
        <v>663</v>
      </c>
      <c r="D936">
        <v>8</v>
      </c>
      <c r="E936" s="1" t="s">
        <v>13</v>
      </c>
      <c r="F936" s="1" t="s">
        <v>70</v>
      </c>
      <c r="G936" s="1" t="s">
        <v>41</v>
      </c>
      <c r="H936" s="2">
        <v>44872</v>
      </c>
      <c r="I936" s="1" t="s">
        <v>1042</v>
      </c>
      <c r="J936" s="1" t="s">
        <v>17</v>
      </c>
      <c r="K936" s="1" t="s">
        <v>18</v>
      </c>
      <c r="L936" s="2">
        <v>44866</v>
      </c>
      <c r="M936" s="6">
        <f>T_SALES[[#This Row],[Profit]]/T_SALES[[#This Row],[Amount]]</f>
        <v>0.24312431243124313</v>
      </c>
    </row>
    <row r="937" spans="1:13" x14ac:dyDescent="0.25">
      <c r="A937" s="1" t="s">
        <v>1043</v>
      </c>
      <c r="B937" s="7">
        <v>1093</v>
      </c>
      <c r="C937" s="8">
        <v>397</v>
      </c>
      <c r="D937">
        <v>17</v>
      </c>
      <c r="E937" s="1" t="s">
        <v>13</v>
      </c>
      <c r="F937" s="1" t="s">
        <v>25</v>
      </c>
      <c r="G937" s="1" t="s">
        <v>41</v>
      </c>
      <c r="H937" s="2">
        <v>45378</v>
      </c>
      <c r="I937" s="1" t="s">
        <v>1044</v>
      </c>
      <c r="J937" s="1" t="s">
        <v>20</v>
      </c>
      <c r="K937" s="1" t="s">
        <v>137</v>
      </c>
      <c r="L937" s="2">
        <v>45352</v>
      </c>
      <c r="M937" s="6">
        <f>T_SALES[[#This Row],[Profit]]/T_SALES[[#This Row],[Amount]]</f>
        <v>0.36322049405306495</v>
      </c>
    </row>
    <row r="938" spans="1:13" x14ac:dyDescent="0.25">
      <c r="A938" s="1" t="s">
        <v>1043</v>
      </c>
      <c r="B938" s="7">
        <v>1093</v>
      </c>
      <c r="C938" s="8">
        <v>397</v>
      </c>
      <c r="D938">
        <v>17</v>
      </c>
      <c r="E938" s="1" t="s">
        <v>13</v>
      </c>
      <c r="F938" s="1" t="s">
        <v>25</v>
      </c>
      <c r="G938" s="1" t="s">
        <v>41</v>
      </c>
      <c r="H938" s="2">
        <v>45536</v>
      </c>
      <c r="I938" s="1" t="s">
        <v>1045</v>
      </c>
      <c r="J938" s="1" t="s">
        <v>23</v>
      </c>
      <c r="K938" s="1" t="s">
        <v>24</v>
      </c>
      <c r="L938" s="2">
        <v>45536</v>
      </c>
      <c r="M938" s="6">
        <f>T_SALES[[#This Row],[Profit]]/T_SALES[[#This Row],[Amount]]</f>
        <v>0.36322049405306495</v>
      </c>
    </row>
    <row r="939" spans="1:13" x14ac:dyDescent="0.25">
      <c r="A939" s="1" t="s">
        <v>1043</v>
      </c>
      <c r="B939" s="7">
        <v>1093</v>
      </c>
      <c r="C939" s="8">
        <v>397</v>
      </c>
      <c r="D939">
        <v>17</v>
      </c>
      <c r="E939" s="1" t="s">
        <v>13</v>
      </c>
      <c r="F939" s="1" t="s">
        <v>25</v>
      </c>
      <c r="G939" s="1" t="s">
        <v>41</v>
      </c>
      <c r="H939" s="2">
        <v>44614</v>
      </c>
      <c r="I939" s="1" t="s">
        <v>1046</v>
      </c>
      <c r="J939" s="1" t="s">
        <v>82</v>
      </c>
      <c r="K939" s="1" t="s">
        <v>83</v>
      </c>
      <c r="L939" s="2">
        <v>44593</v>
      </c>
      <c r="M939" s="6">
        <f>T_SALES[[#This Row],[Profit]]/T_SALES[[#This Row],[Amount]]</f>
        <v>0.36322049405306495</v>
      </c>
    </row>
    <row r="940" spans="1:13" x14ac:dyDescent="0.25">
      <c r="A940" s="1" t="s">
        <v>1043</v>
      </c>
      <c r="B940" s="7">
        <v>2636</v>
      </c>
      <c r="C940" s="8">
        <v>88</v>
      </c>
      <c r="D940">
        <v>11</v>
      </c>
      <c r="E940" s="1" t="s">
        <v>27</v>
      </c>
      <c r="F940" s="1" t="s">
        <v>55</v>
      </c>
      <c r="G940" s="1" t="s">
        <v>29</v>
      </c>
      <c r="H940" s="2">
        <v>45378</v>
      </c>
      <c r="I940" s="1" t="s">
        <v>1044</v>
      </c>
      <c r="J940" s="1" t="s">
        <v>20</v>
      </c>
      <c r="K940" s="1" t="s">
        <v>137</v>
      </c>
      <c r="L940" s="2">
        <v>45352</v>
      </c>
      <c r="M940" s="6">
        <f>T_SALES[[#This Row],[Profit]]/T_SALES[[#This Row],[Amount]]</f>
        <v>3.3383915022761758E-2</v>
      </c>
    </row>
    <row r="941" spans="1:13" x14ac:dyDescent="0.25">
      <c r="A941" s="1" t="s">
        <v>1043</v>
      </c>
      <c r="B941" s="7">
        <v>2636</v>
      </c>
      <c r="C941" s="8">
        <v>88</v>
      </c>
      <c r="D941">
        <v>11</v>
      </c>
      <c r="E941" s="1" t="s">
        <v>27</v>
      </c>
      <c r="F941" s="1" t="s">
        <v>55</v>
      </c>
      <c r="G941" s="1" t="s">
        <v>29</v>
      </c>
      <c r="H941" s="2">
        <v>45536</v>
      </c>
      <c r="I941" s="1" t="s">
        <v>1045</v>
      </c>
      <c r="J941" s="1" t="s">
        <v>23</v>
      </c>
      <c r="K941" s="1" t="s">
        <v>24</v>
      </c>
      <c r="L941" s="2">
        <v>45536</v>
      </c>
      <c r="M941" s="6">
        <f>T_SALES[[#This Row],[Profit]]/T_SALES[[#This Row],[Amount]]</f>
        <v>3.3383915022761758E-2</v>
      </c>
    </row>
    <row r="942" spans="1:13" x14ac:dyDescent="0.25">
      <c r="A942" s="1" t="s">
        <v>1043</v>
      </c>
      <c r="B942" s="7">
        <v>2636</v>
      </c>
      <c r="C942" s="8">
        <v>88</v>
      </c>
      <c r="D942">
        <v>11</v>
      </c>
      <c r="E942" s="1" t="s">
        <v>27</v>
      </c>
      <c r="F942" s="1" t="s">
        <v>55</v>
      </c>
      <c r="G942" s="1" t="s">
        <v>29</v>
      </c>
      <c r="H942" s="2">
        <v>44614</v>
      </c>
      <c r="I942" s="1" t="s">
        <v>1046</v>
      </c>
      <c r="J942" s="1" t="s">
        <v>82</v>
      </c>
      <c r="K942" s="1" t="s">
        <v>83</v>
      </c>
      <c r="L942" s="2">
        <v>44593</v>
      </c>
      <c r="M942" s="6">
        <f>T_SALES[[#This Row],[Profit]]/T_SALES[[#This Row],[Amount]]</f>
        <v>3.3383915022761758E-2</v>
      </c>
    </row>
    <row r="943" spans="1:13" x14ac:dyDescent="0.25">
      <c r="A943" s="1" t="s">
        <v>1047</v>
      </c>
      <c r="B943" s="7">
        <v>7344</v>
      </c>
      <c r="C943" s="8">
        <v>2251</v>
      </c>
      <c r="D943">
        <v>7</v>
      </c>
      <c r="E943" s="1" t="s">
        <v>13</v>
      </c>
      <c r="F943" s="1" t="s">
        <v>14</v>
      </c>
      <c r="G943" s="1" t="s">
        <v>29</v>
      </c>
      <c r="H943" s="2">
        <v>44603</v>
      </c>
      <c r="I943" s="1" t="s">
        <v>1048</v>
      </c>
      <c r="J943" s="1" t="s">
        <v>17</v>
      </c>
      <c r="K943" s="1" t="s">
        <v>18</v>
      </c>
      <c r="L943" s="2">
        <v>44593</v>
      </c>
      <c r="M943" s="6">
        <f>T_SALES[[#This Row],[Profit]]/T_SALES[[#This Row],[Amount]]</f>
        <v>0.30650871459694989</v>
      </c>
    </row>
    <row r="944" spans="1:13" x14ac:dyDescent="0.25">
      <c r="A944" s="1" t="s">
        <v>1047</v>
      </c>
      <c r="B944" s="7">
        <v>7306</v>
      </c>
      <c r="C944" s="8">
        <v>1547</v>
      </c>
      <c r="D944">
        <v>3</v>
      </c>
      <c r="E944" s="1" t="s">
        <v>27</v>
      </c>
      <c r="F944" s="1" t="s">
        <v>55</v>
      </c>
      <c r="G944" s="1" t="s">
        <v>56</v>
      </c>
      <c r="H944" s="2">
        <v>44603</v>
      </c>
      <c r="I944" s="1" t="s">
        <v>1048</v>
      </c>
      <c r="J944" s="1" t="s">
        <v>17</v>
      </c>
      <c r="K944" s="1" t="s">
        <v>18</v>
      </c>
      <c r="L944" s="2">
        <v>44593</v>
      </c>
      <c r="M944" s="6">
        <f>T_SALES[[#This Row],[Profit]]/T_SALES[[#This Row],[Amount]]</f>
        <v>0.21174377224199289</v>
      </c>
    </row>
    <row r="945" spans="1:13" x14ac:dyDescent="0.25">
      <c r="A945" s="1" t="s">
        <v>1047</v>
      </c>
      <c r="B945" s="7">
        <v>5832</v>
      </c>
      <c r="C945" s="8">
        <v>2588</v>
      </c>
      <c r="D945">
        <v>10</v>
      </c>
      <c r="E945" s="1" t="s">
        <v>13</v>
      </c>
      <c r="F945" s="1" t="s">
        <v>25</v>
      </c>
      <c r="G945" s="1" t="s">
        <v>56</v>
      </c>
      <c r="H945" s="2">
        <v>44603</v>
      </c>
      <c r="I945" s="1" t="s">
        <v>1048</v>
      </c>
      <c r="J945" s="1" t="s">
        <v>17</v>
      </c>
      <c r="K945" s="1" t="s">
        <v>18</v>
      </c>
      <c r="L945" s="2">
        <v>44593</v>
      </c>
      <c r="M945" s="6">
        <f>T_SALES[[#This Row],[Profit]]/T_SALES[[#This Row],[Amount]]</f>
        <v>0.44375857338820301</v>
      </c>
    </row>
    <row r="946" spans="1:13" x14ac:dyDescent="0.25">
      <c r="A946" s="1" t="s">
        <v>1049</v>
      </c>
      <c r="B946" s="7">
        <v>8572</v>
      </c>
      <c r="C946" s="8">
        <v>2041</v>
      </c>
      <c r="D946">
        <v>8</v>
      </c>
      <c r="E946" s="1" t="s">
        <v>39</v>
      </c>
      <c r="F946" s="1" t="s">
        <v>40</v>
      </c>
      <c r="G946" s="1" t="s">
        <v>35</v>
      </c>
      <c r="H946" s="2">
        <v>44343</v>
      </c>
      <c r="I946" s="1" t="s">
        <v>1050</v>
      </c>
      <c r="J946" s="1" t="s">
        <v>20</v>
      </c>
      <c r="K946" s="1" t="s">
        <v>54</v>
      </c>
      <c r="L946" s="2">
        <v>44317</v>
      </c>
      <c r="M946" s="6">
        <f>T_SALES[[#This Row],[Profit]]/T_SALES[[#This Row],[Amount]]</f>
        <v>0.23810079328044798</v>
      </c>
    </row>
    <row r="947" spans="1:13" x14ac:dyDescent="0.25">
      <c r="A947" s="1" t="s">
        <v>1049</v>
      </c>
      <c r="B947" s="7">
        <v>8572</v>
      </c>
      <c r="C947" s="8">
        <v>2041</v>
      </c>
      <c r="D947">
        <v>8</v>
      </c>
      <c r="E947" s="1" t="s">
        <v>39</v>
      </c>
      <c r="F947" s="1" t="s">
        <v>40</v>
      </c>
      <c r="G947" s="1" t="s">
        <v>35</v>
      </c>
      <c r="H947" s="2">
        <v>45112</v>
      </c>
      <c r="I947" s="1" t="s">
        <v>1051</v>
      </c>
      <c r="J947" s="1" t="s">
        <v>20</v>
      </c>
      <c r="K947" s="1" t="s">
        <v>54</v>
      </c>
      <c r="L947" s="2">
        <v>45108</v>
      </c>
      <c r="M947" s="6">
        <f>T_SALES[[#This Row],[Profit]]/T_SALES[[#This Row],[Amount]]</f>
        <v>0.23810079328044798</v>
      </c>
    </row>
    <row r="948" spans="1:13" x14ac:dyDescent="0.25">
      <c r="A948" s="1" t="s">
        <v>1049</v>
      </c>
      <c r="B948" s="7">
        <v>8572</v>
      </c>
      <c r="C948" s="8">
        <v>2041</v>
      </c>
      <c r="D948">
        <v>8</v>
      </c>
      <c r="E948" s="1" t="s">
        <v>39</v>
      </c>
      <c r="F948" s="1" t="s">
        <v>40</v>
      </c>
      <c r="G948" s="1" t="s">
        <v>35</v>
      </c>
      <c r="H948" s="2">
        <v>44131</v>
      </c>
      <c r="I948" s="1" t="s">
        <v>1052</v>
      </c>
      <c r="J948" s="1" t="s">
        <v>37</v>
      </c>
      <c r="K948" s="1" t="s">
        <v>65</v>
      </c>
      <c r="L948" s="2">
        <v>44105</v>
      </c>
      <c r="M948" s="6">
        <f>T_SALES[[#This Row],[Profit]]/T_SALES[[#This Row],[Amount]]</f>
        <v>0.23810079328044798</v>
      </c>
    </row>
    <row r="949" spans="1:13" x14ac:dyDescent="0.25">
      <c r="A949" s="1" t="s">
        <v>1049</v>
      </c>
      <c r="B949" s="7">
        <v>8059</v>
      </c>
      <c r="C949" s="8">
        <v>1834</v>
      </c>
      <c r="D949">
        <v>10</v>
      </c>
      <c r="E949" s="1" t="s">
        <v>13</v>
      </c>
      <c r="F949" s="1" t="s">
        <v>25</v>
      </c>
      <c r="G949" s="1" t="s">
        <v>41</v>
      </c>
      <c r="H949" s="2">
        <v>44343</v>
      </c>
      <c r="I949" s="1" t="s">
        <v>1050</v>
      </c>
      <c r="J949" s="1" t="s">
        <v>20</v>
      </c>
      <c r="K949" s="1" t="s">
        <v>54</v>
      </c>
      <c r="L949" s="2">
        <v>44317</v>
      </c>
      <c r="M949" s="6">
        <f>T_SALES[[#This Row],[Profit]]/T_SALES[[#This Row],[Amount]]</f>
        <v>0.22757165901476609</v>
      </c>
    </row>
    <row r="950" spans="1:13" x14ac:dyDescent="0.25">
      <c r="A950" s="1" t="s">
        <v>1049</v>
      </c>
      <c r="B950" s="7">
        <v>8059</v>
      </c>
      <c r="C950" s="8">
        <v>1834</v>
      </c>
      <c r="D950">
        <v>10</v>
      </c>
      <c r="E950" s="1" t="s">
        <v>13</v>
      </c>
      <c r="F950" s="1" t="s">
        <v>25</v>
      </c>
      <c r="G950" s="1" t="s">
        <v>41</v>
      </c>
      <c r="H950" s="2">
        <v>45112</v>
      </c>
      <c r="I950" s="1" t="s">
        <v>1051</v>
      </c>
      <c r="J950" s="1" t="s">
        <v>20</v>
      </c>
      <c r="K950" s="1" t="s">
        <v>54</v>
      </c>
      <c r="L950" s="2">
        <v>45108</v>
      </c>
      <c r="M950" s="6">
        <f>T_SALES[[#This Row],[Profit]]/T_SALES[[#This Row],[Amount]]</f>
        <v>0.22757165901476609</v>
      </c>
    </row>
    <row r="951" spans="1:13" x14ac:dyDescent="0.25">
      <c r="A951" s="1" t="s">
        <v>1049</v>
      </c>
      <c r="B951" s="7">
        <v>8059</v>
      </c>
      <c r="C951" s="8">
        <v>1834</v>
      </c>
      <c r="D951">
        <v>10</v>
      </c>
      <c r="E951" s="1" t="s">
        <v>13</v>
      </c>
      <c r="F951" s="1" t="s">
        <v>25</v>
      </c>
      <c r="G951" s="1" t="s">
        <v>41</v>
      </c>
      <c r="H951" s="2">
        <v>44131</v>
      </c>
      <c r="I951" s="1" t="s">
        <v>1052</v>
      </c>
      <c r="J951" s="1" t="s">
        <v>37</v>
      </c>
      <c r="K951" s="1" t="s">
        <v>65</v>
      </c>
      <c r="L951" s="2">
        <v>44105</v>
      </c>
      <c r="M951" s="6">
        <f>T_SALES[[#This Row],[Profit]]/T_SALES[[#This Row],[Amount]]</f>
        <v>0.22757165901476609</v>
      </c>
    </row>
    <row r="952" spans="1:13" x14ac:dyDescent="0.25">
      <c r="A952" s="1" t="s">
        <v>1053</v>
      </c>
      <c r="B952" s="7">
        <v>3661</v>
      </c>
      <c r="C952" s="8">
        <v>436</v>
      </c>
      <c r="D952">
        <v>13</v>
      </c>
      <c r="E952" s="1" t="s">
        <v>39</v>
      </c>
      <c r="F952" s="1" t="s">
        <v>51</v>
      </c>
      <c r="G952" s="1" t="s">
        <v>35</v>
      </c>
      <c r="H952" s="2">
        <v>44952</v>
      </c>
      <c r="I952" s="1" t="s">
        <v>1054</v>
      </c>
      <c r="J952" s="1" t="s">
        <v>62</v>
      </c>
      <c r="K952" s="1" t="s">
        <v>74</v>
      </c>
      <c r="L952" s="2">
        <v>44927</v>
      </c>
      <c r="M952" s="6">
        <f>T_SALES[[#This Row],[Profit]]/T_SALES[[#This Row],[Amount]]</f>
        <v>0.11909314394974051</v>
      </c>
    </row>
    <row r="953" spans="1:13" x14ac:dyDescent="0.25">
      <c r="A953" s="1" t="s">
        <v>1055</v>
      </c>
      <c r="B953" s="7">
        <v>2451</v>
      </c>
      <c r="C953" s="8">
        <v>342</v>
      </c>
      <c r="D953">
        <v>8</v>
      </c>
      <c r="E953" s="1" t="s">
        <v>27</v>
      </c>
      <c r="F953" s="1" t="s">
        <v>55</v>
      </c>
      <c r="G953" s="1" t="s">
        <v>35</v>
      </c>
      <c r="H953" s="2">
        <v>44445</v>
      </c>
      <c r="I953" s="1" t="s">
        <v>1056</v>
      </c>
      <c r="J953" s="1" t="s">
        <v>37</v>
      </c>
      <c r="K953" s="1" t="s">
        <v>38</v>
      </c>
      <c r="L953" s="2">
        <v>44440</v>
      </c>
      <c r="M953" s="6">
        <f>T_SALES[[#This Row],[Profit]]/T_SALES[[#This Row],[Amount]]</f>
        <v>0.13953488372093023</v>
      </c>
    </row>
    <row r="954" spans="1:13" x14ac:dyDescent="0.25">
      <c r="A954" s="1" t="s">
        <v>1055</v>
      </c>
      <c r="B954" s="7">
        <v>2451</v>
      </c>
      <c r="C954" s="8">
        <v>342</v>
      </c>
      <c r="D954">
        <v>8</v>
      </c>
      <c r="E954" s="1" t="s">
        <v>27</v>
      </c>
      <c r="F954" s="1" t="s">
        <v>55</v>
      </c>
      <c r="G954" s="1" t="s">
        <v>35</v>
      </c>
      <c r="H954" s="2">
        <v>44512</v>
      </c>
      <c r="I954" s="1" t="s">
        <v>1057</v>
      </c>
      <c r="J954" s="1" t="s">
        <v>82</v>
      </c>
      <c r="K954" s="1" t="s">
        <v>89</v>
      </c>
      <c r="L954" s="2">
        <v>44501</v>
      </c>
      <c r="M954" s="6">
        <f>T_SALES[[#This Row],[Profit]]/T_SALES[[#This Row],[Amount]]</f>
        <v>0.13953488372093023</v>
      </c>
    </row>
    <row r="955" spans="1:13" x14ac:dyDescent="0.25">
      <c r="A955" s="1" t="s">
        <v>1055</v>
      </c>
      <c r="B955" s="7">
        <v>2451</v>
      </c>
      <c r="C955" s="8">
        <v>342</v>
      </c>
      <c r="D955">
        <v>8</v>
      </c>
      <c r="E955" s="1" t="s">
        <v>27</v>
      </c>
      <c r="F955" s="1" t="s">
        <v>55</v>
      </c>
      <c r="G955" s="1" t="s">
        <v>35</v>
      </c>
      <c r="H955" s="2">
        <v>45503</v>
      </c>
      <c r="I955" s="1" t="s">
        <v>1058</v>
      </c>
      <c r="J955" s="1" t="s">
        <v>62</v>
      </c>
      <c r="K955" s="1" t="s">
        <v>111</v>
      </c>
      <c r="L955" s="2">
        <v>45474</v>
      </c>
      <c r="M955" s="6">
        <f>T_SALES[[#This Row],[Profit]]/T_SALES[[#This Row],[Amount]]</f>
        <v>0.13953488372093023</v>
      </c>
    </row>
    <row r="956" spans="1:13" x14ac:dyDescent="0.25">
      <c r="A956" s="1" t="s">
        <v>1059</v>
      </c>
      <c r="B956" s="7">
        <v>7067</v>
      </c>
      <c r="C956" s="8">
        <v>1943</v>
      </c>
      <c r="D956">
        <v>16</v>
      </c>
      <c r="E956" s="1" t="s">
        <v>39</v>
      </c>
      <c r="F956" s="1" t="s">
        <v>40</v>
      </c>
      <c r="G956" s="1" t="s">
        <v>41</v>
      </c>
      <c r="H956" s="2">
        <v>44635</v>
      </c>
      <c r="I956" s="1" t="s">
        <v>1060</v>
      </c>
      <c r="J956" s="1" t="s">
        <v>37</v>
      </c>
      <c r="K956" s="1" t="s">
        <v>78</v>
      </c>
      <c r="L956" s="2">
        <v>44621</v>
      </c>
      <c r="M956" s="6">
        <f>T_SALES[[#This Row],[Profit]]/T_SALES[[#This Row],[Amount]]</f>
        <v>0.27493986132729586</v>
      </c>
    </row>
    <row r="957" spans="1:13" x14ac:dyDescent="0.25">
      <c r="A957" s="1" t="s">
        <v>1061</v>
      </c>
      <c r="B957" s="7">
        <v>4307</v>
      </c>
      <c r="C957" s="8">
        <v>615</v>
      </c>
      <c r="D957">
        <v>3</v>
      </c>
      <c r="E957" s="1" t="s">
        <v>13</v>
      </c>
      <c r="F957" s="1" t="s">
        <v>14</v>
      </c>
      <c r="G957" s="1" t="s">
        <v>15</v>
      </c>
      <c r="H957" s="2">
        <v>45366</v>
      </c>
      <c r="I957" s="1" t="s">
        <v>1062</v>
      </c>
      <c r="J957" s="1" t="s">
        <v>23</v>
      </c>
      <c r="K957" s="1" t="s">
        <v>45</v>
      </c>
      <c r="L957" s="2">
        <v>45352</v>
      </c>
      <c r="M957" s="6">
        <f>T_SALES[[#This Row],[Profit]]/T_SALES[[#This Row],[Amount]]</f>
        <v>0.1427908056651962</v>
      </c>
    </row>
    <row r="958" spans="1:13" x14ac:dyDescent="0.25">
      <c r="A958" s="1" t="s">
        <v>1061</v>
      </c>
      <c r="B958" s="7">
        <v>4307</v>
      </c>
      <c r="C958" s="8">
        <v>615</v>
      </c>
      <c r="D958">
        <v>3</v>
      </c>
      <c r="E958" s="1" t="s">
        <v>13</v>
      </c>
      <c r="F958" s="1" t="s">
        <v>14</v>
      </c>
      <c r="G958" s="1" t="s">
        <v>15</v>
      </c>
      <c r="H958" s="2">
        <v>44145</v>
      </c>
      <c r="I958" s="1" t="s">
        <v>1063</v>
      </c>
      <c r="J958" s="1" t="s">
        <v>20</v>
      </c>
      <c r="K958" s="1" t="s">
        <v>54</v>
      </c>
      <c r="L958" s="2">
        <v>44136</v>
      </c>
      <c r="M958" s="6">
        <f>T_SALES[[#This Row],[Profit]]/T_SALES[[#This Row],[Amount]]</f>
        <v>0.1427908056651962</v>
      </c>
    </row>
    <row r="959" spans="1:13" x14ac:dyDescent="0.25">
      <c r="A959" s="1" t="s">
        <v>1061</v>
      </c>
      <c r="B959" s="7">
        <v>5694</v>
      </c>
      <c r="C959" s="8">
        <v>1134</v>
      </c>
      <c r="D959">
        <v>5</v>
      </c>
      <c r="E959" s="1" t="s">
        <v>39</v>
      </c>
      <c r="F959" s="1" t="s">
        <v>43</v>
      </c>
      <c r="G959" s="1" t="s">
        <v>35</v>
      </c>
      <c r="H959" s="2">
        <v>45366</v>
      </c>
      <c r="I959" s="1" t="s">
        <v>1062</v>
      </c>
      <c r="J959" s="1" t="s">
        <v>23</v>
      </c>
      <c r="K959" s="1" t="s">
        <v>45</v>
      </c>
      <c r="L959" s="2">
        <v>45352</v>
      </c>
      <c r="M959" s="6">
        <f>T_SALES[[#This Row],[Profit]]/T_SALES[[#This Row],[Amount]]</f>
        <v>0.19915700737618547</v>
      </c>
    </row>
    <row r="960" spans="1:13" x14ac:dyDescent="0.25">
      <c r="A960" s="1" t="s">
        <v>1061</v>
      </c>
      <c r="B960" s="7">
        <v>5694</v>
      </c>
      <c r="C960" s="8">
        <v>1134</v>
      </c>
      <c r="D960">
        <v>5</v>
      </c>
      <c r="E960" s="1" t="s">
        <v>39</v>
      </c>
      <c r="F960" s="1" t="s">
        <v>43</v>
      </c>
      <c r="G960" s="1" t="s">
        <v>35</v>
      </c>
      <c r="H960" s="2">
        <v>44145</v>
      </c>
      <c r="I960" s="1" t="s">
        <v>1063</v>
      </c>
      <c r="J960" s="1" t="s">
        <v>20</v>
      </c>
      <c r="K960" s="1" t="s">
        <v>54</v>
      </c>
      <c r="L960" s="2">
        <v>44136</v>
      </c>
      <c r="M960" s="6">
        <f>T_SALES[[#This Row],[Profit]]/T_SALES[[#This Row],[Amount]]</f>
        <v>0.19915700737618547</v>
      </c>
    </row>
    <row r="961" spans="1:13" x14ac:dyDescent="0.25">
      <c r="A961" s="1" t="s">
        <v>1064</v>
      </c>
      <c r="B961" s="7">
        <v>962</v>
      </c>
      <c r="C961" s="8">
        <v>298</v>
      </c>
      <c r="D961">
        <v>18</v>
      </c>
      <c r="E961" s="1" t="s">
        <v>27</v>
      </c>
      <c r="F961" s="1" t="s">
        <v>67</v>
      </c>
      <c r="G961" s="1" t="s">
        <v>41</v>
      </c>
      <c r="H961" s="2">
        <v>44765</v>
      </c>
      <c r="I961" s="1" t="s">
        <v>1065</v>
      </c>
      <c r="J961" s="1" t="s">
        <v>20</v>
      </c>
      <c r="K961" s="1" t="s">
        <v>54</v>
      </c>
      <c r="L961" s="2">
        <v>44743</v>
      </c>
      <c r="M961" s="6">
        <f>T_SALES[[#This Row],[Profit]]/T_SALES[[#This Row],[Amount]]</f>
        <v>0.30977130977130979</v>
      </c>
    </row>
    <row r="962" spans="1:13" x14ac:dyDescent="0.25">
      <c r="A962" s="1" t="s">
        <v>1066</v>
      </c>
      <c r="B962" s="7">
        <v>2995</v>
      </c>
      <c r="C962" s="8">
        <v>220</v>
      </c>
      <c r="D962">
        <v>14</v>
      </c>
      <c r="E962" s="1" t="s">
        <v>39</v>
      </c>
      <c r="F962" s="1" t="s">
        <v>90</v>
      </c>
      <c r="G962" s="1" t="s">
        <v>41</v>
      </c>
      <c r="H962" s="2">
        <v>45548</v>
      </c>
      <c r="I962" s="1" t="s">
        <v>1067</v>
      </c>
      <c r="J962" s="1" t="s">
        <v>23</v>
      </c>
      <c r="K962" s="1" t="s">
        <v>24</v>
      </c>
      <c r="L962" s="2">
        <v>45536</v>
      </c>
      <c r="M962" s="6">
        <f>T_SALES[[#This Row],[Profit]]/T_SALES[[#This Row],[Amount]]</f>
        <v>7.3455759599332218E-2</v>
      </c>
    </row>
    <row r="963" spans="1:13" x14ac:dyDescent="0.25">
      <c r="A963" s="1" t="s">
        <v>1066</v>
      </c>
      <c r="B963" s="7">
        <v>2047</v>
      </c>
      <c r="C963" s="8">
        <v>914</v>
      </c>
      <c r="D963">
        <v>5</v>
      </c>
      <c r="E963" s="1" t="s">
        <v>27</v>
      </c>
      <c r="F963" s="1" t="s">
        <v>49</v>
      </c>
      <c r="G963" s="1" t="s">
        <v>29</v>
      </c>
      <c r="H963" s="2">
        <v>45548</v>
      </c>
      <c r="I963" s="1" t="s">
        <v>1067</v>
      </c>
      <c r="J963" s="1" t="s">
        <v>23</v>
      </c>
      <c r="K963" s="1" t="s">
        <v>24</v>
      </c>
      <c r="L963" s="2">
        <v>45536</v>
      </c>
      <c r="M963" s="6">
        <f>T_SALES[[#This Row],[Profit]]/T_SALES[[#This Row],[Amount]]</f>
        <v>0.44650708353688323</v>
      </c>
    </row>
    <row r="964" spans="1:13" x14ac:dyDescent="0.25">
      <c r="A964" s="1" t="s">
        <v>1068</v>
      </c>
      <c r="B964" s="7">
        <v>2078</v>
      </c>
      <c r="C964" s="8">
        <v>612</v>
      </c>
      <c r="D964">
        <v>6</v>
      </c>
      <c r="E964" s="1" t="s">
        <v>13</v>
      </c>
      <c r="F964" s="1" t="s">
        <v>34</v>
      </c>
      <c r="G964" s="1" t="s">
        <v>56</v>
      </c>
      <c r="H964" s="2">
        <v>44586</v>
      </c>
      <c r="I964" s="1" t="s">
        <v>1069</v>
      </c>
      <c r="J964" s="1" t="s">
        <v>62</v>
      </c>
      <c r="K964" s="1" t="s">
        <v>74</v>
      </c>
      <c r="L964" s="2">
        <v>44562</v>
      </c>
      <c r="M964" s="6">
        <f>T_SALES[[#This Row],[Profit]]/T_SALES[[#This Row],[Amount]]</f>
        <v>0.29451395572666023</v>
      </c>
    </row>
    <row r="965" spans="1:13" x14ac:dyDescent="0.25">
      <c r="A965" s="1" t="s">
        <v>1070</v>
      </c>
      <c r="B965" s="7">
        <v>2737</v>
      </c>
      <c r="C965" s="8">
        <v>1253</v>
      </c>
      <c r="D965">
        <v>3</v>
      </c>
      <c r="E965" s="1" t="s">
        <v>13</v>
      </c>
      <c r="F965" s="1" t="s">
        <v>25</v>
      </c>
      <c r="G965" s="1" t="s">
        <v>35</v>
      </c>
      <c r="H965" s="2">
        <v>44305</v>
      </c>
      <c r="I965" s="1" t="s">
        <v>1071</v>
      </c>
      <c r="J965" s="1" t="s">
        <v>23</v>
      </c>
      <c r="K965" s="1" t="s">
        <v>45</v>
      </c>
      <c r="L965" s="2">
        <v>44287</v>
      </c>
      <c r="M965" s="6">
        <f>T_SALES[[#This Row],[Profit]]/T_SALES[[#This Row],[Amount]]</f>
        <v>0.4578005115089514</v>
      </c>
    </row>
    <row r="966" spans="1:13" x14ac:dyDescent="0.25">
      <c r="A966" s="1" t="s">
        <v>1072</v>
      </c>
      <c r="B966" s="7">
        <v>8194</v>
      </c>
      <c r="C966" s="8">
        <v>2881</v>
      </c>
      <c r="D966">
        <v>6</v>
      </c>
      <c r="E966" s="1" t="s">
        <v>27</v>
      </c>
      <c r="F966" s="1" t="s">
        <v>55</v>
      </c>
      <c r="G966" s="1" t="s">
        <v>29</v>
      </c>
      <c r="H966" s="2">
        <v>44395</v>
      </c>
      <c r="I966" s="1" t="s">
        <v>1073</v>
      </c>
      <c r="J966" s="1" t="s">
        <v>62</v>
      </c>
      <c r="K966" s="1" t="s">
        <v>111</v>
      </c>
      <c r="L966" s="2">
        <v>44378</v>
      </c>
      <c r="M966" s="6">
        <f>T_SALES[[#This Row],[Profit]]/T_SALES[[#This Row],[Amount]]</f>
        <v>0.35159873077861853</v>
      </c>
    </row>
    <row r="967" spans="1:13" x14ac:dyDescent="0.25">
      <c r="A967" s="1" t="s">
        <v>1074</v>
      </c>
      <c r="B967" s="7">
        <v>9914</v>
      </c>
      <c r="C967" s="8">
        <v>3858</v>
      </c>
      <c r="D967">
        <v>16</v>
      </c>
      <c r="E967" s="1" t="s">
        <v>39</v>
      </c>
      <c r="F967" s="1" t="s">
        <v>51</v>
      </c>
      <c r="G967" s="1" t="s">
        <v>41</v>
      </c>
      <c r="H967" s="2">
        <v>44736</v>
      </c>
      <c r="I967" s="1" t="s">
        <v>1075</v>
      </c>
      <c r="J967" s="1" t="s">
        <v>23</v>
      </c>
      <c r="K967" s="1" t="s">
        <v>24</v>
      </c>
      <c r="L967" s="2">
        <v>44713</v>
      </c>
      <c r="M967" s="6">
        <f>T_SALES[[#This Row],[Profit]]/T_SALES[[#This Row],[Amount]]</f>
        <v>0.38914666128706882</v>
      </c>
    </row>
    <row r="968" spans="1:13" x14ac:dyDescent="0.25">
      <c r="A968" s="1" t="s">
        <v>1074</v>
      </c>
      <c r="B968" s="7">
        <v>9914</v>
      </c>
      <c r="C968" s="8">
        <v>3858</v>
      </c>
      <c r="D968">
        <v>16</v>
      </c>
      <c r="E968" s="1" t="s">
        <v>39</v>
      </c>
      <c r="F968" s="1" t="s">
        <v>51</v>
      </c>
      <c r="G968" s="1" t="s">
        <v>41</v>
      </c>
      <c r="H968" s="2">
        <v>45451</v>
      </c>
      <c r="I968" s="1" t="s">
        <v>1076</v>
      </c>
      <c r="J968" s="1" t="s">
        <v>23</v>
      </c>
      <c r="K968" s="1" t="s">
        <v>59</v>
      </c>
      <c r="L968" s="2">
        <v>45444</v>
      </c>
      <c r="M968" s="6">
        <f>T_SALES[[#This Row],[Profit]]/T_SALES[[#This Row],[Amount]]</f>
        <v>0.38914666128706882</v>
      </c>
    </row>
    <row r="969" spans="1:13" x14ac:dyDescent="0.25">
      <c r="A969" s="1" t="s">
        <v>1074</v>
      </c>
      <c r="B969" s="7">
        <v>5470</v>
      </c>
      <c r="C969" s="8">
        <v>292</v>
      </c>
      <c r="D969">
        <v>7</v>
      </c>
      <c r="E969" s="1" t="s">
        <v>27</v>
      </c>
      <c r="F969" s="1" t="s">
        <v>28</v>
      </c>
      <c r="G969" s="1" t="s">
        <v>29</v>
      </c>
      <c r="H969" s="2">
        <v>44736</v>
      </c>
      <c r="I969" s="1" t="s">
        <v>1075</v>
      </c>
      <c r="J969" s="1" t="s">
        <v>23</v>
      </c>
      <c r="K969" s="1" t="s">
        <v>24</v>
      </c>
      <c r="L969" s="2">
        <v>44713</v>
      </c>
      <c r="M969" s="6">
        <f>T_SALES[[#This Row],[Profit]]/T_SALES[[#This Row],[Amount]]</f>
        <v>5.3382084095063988E-2</v>
      </c>
    </row>
    <row r="970" spans="1:13" x14ac:dyDescent="0.25">
      <c r="A970" s="1" t="s">
        <v>1074</v>
      </c>
      <c r="B970" s="7">
        <v>5470</v>
      </c>
      <c r="C970" s="8">
        <v>292</v>
      </c>
      <c r="D970">
        <v>7</v>
      </c>
      <c r="E970" s="1" t="s">
        <v>27</v>
      </c>
      <c r="F970" s="1" t="s">
        <v>28</v>
      </c>
      <c r="G970" s="1" t="s">
        <v>29</v>
      </c>
      <c r="H970" s="2">
        <v>45451</v>
      </c>
      <c r="I970" s="1" t="s">
        <v>1076</v>
      </c>
      <c r="J970" s="1" t="s">
        <v>23</v>
      </c>
      <c r="K970" s="1" t="s">
        <v>59</v>
      </c>
      <c r="L970" s="2">
        <v>45444</v>
      </c>
      <c r="M970" s="6">
        <f>T_SALES[[#This Row],[Profit]]/T_SALES[[#This Row],[Amount]]</f>
        <v>5.3382084095063988E-2</v>
      </c>
    </row>
    <row r="971" spans="1:13" x14ac:dyDescent="0.25">
      <c r="A971" s="1" t="s">
        <v>1074</v>
      </c>
      <c r="B971" s="7">
        <v>1496</v>
      </c>
      <c r="C971" s="8">
        <v>662</v>
      </c>
      <c r="D971">
        <v>17</v>
      </c>
      <c r="E971" s="1" t="s">
        <v>39</v>
      </c>
      <c r="F971" s="1" t="s">
        <v>90</v>
      </c>
      <c r="G971" s="1" t="s">
        <v>15</v>
      </c>
      <c r="H971" s="2">
        <v>44736</v>
      </c>
      <c r="I971" s="1" t="s">
        <v>1075</v>
      </c>
      <c r="J971" s="1" t="s">
        <v>23</v>
      </c>
      <c r="K971" s="1" t="s">
        <v>24</v>
      </c>
      <c r="L971" s="2">
        <v>44713</v>
      </c>
      <c r="M971" s="6">
        <f>T_SALES[[#This Row],[Profit]]/T_SALES[[#This Row],[Amount]]</f>
        <v>0.44251336898395721</v>
      </c>
    </row>
    <row r="972" spans="1:13" x14ac:dyDescent="0.25">
      <c r="A972" s="1" t="s">
        <v>1074</v>
      </c>
      <c r="B972" s="7">
        <v>1496</v>
      </c>
      <c r="C972" s="8">
        <v>662</v>
      </c>
      <c r="D972">
        <v>17</v>
      </c>
      <c r="E972" s="1" t="s">
        <v>39</v>
      </c>
      <c r="F972" s="1" t="s">
        <v>90</v>
      </c>
      <c r="G972" s="1" t="s">
        <v>15</v>
      </c>
      <c r="H972" s="2">
        <v>45451</v>
      </c>
      <c r="I972" s="1" t="s">
        <v>1076</v>
      </c>
      <c r="J972" s="1" t="s">
        <v>23</v>
      </c>
      <c r="K972" s="1" t="s">
        <v>59</v>
      </c>
      <c r="L972" s="2">
        <v>45444</v>
      </c>
      <c r="M972" s="6">
        <f>T_SALES[[#This Row],[Profit]]/T_SALES[[#This Row],[Amount]]</f>
        <v>0.44251336898395721</v>
      </c>
    </row>
    <row r="973" spans="1:13" x14ac:dyDescent="0.25">
      <c r="A973" s="1" t="s">
        <v>1077</v>
      </c>
      <c r="B973" s="7">
        <v>3228</v>
      </c>
      <c r="C973" s="8">
        <v>476</v>
      </c>
      <c r="D973">
        <v>9</v>
      </c>
      <c r="E973" s="1" t="s">
        <v>27</v>
      </c>
      <c r="F973" s="1" t="s">
        <v>55</v>
      </c>
      <c r="G973" s="1" t="s">
        <v>56</v>
      </c>
      <c r="H973" s="2">
        <v>44833</v>
      </c>
      <c r="I973" s="1" t="s">
        <v>1078</v>
      </c>
      <c r="J973" s="1" t="s">
        <v>23</v>
      </c>
      <c r="K973" s="1" t="s">
        <v>45</v>
      </c>
      <c r="L973" s="2">
        <v>44805</v>
      </c>
      <c r="M973" s="6">
        <f>T_SALES[[#This Row],[Profit]]/T_SALES[[#This Row],[Amount]]</f>
        <v>0.14745972738537794</v>
      </c>
    </row>
    <row r="974" spans="1:13" x14ac:dyDescent="0.25">
      <c r="A974" s="1" t="s">
        <v>1079</v>
      </c>
      <c r="B974" s="7">
        <v>3918</v>
      </c>
      <c r="C974" s="8">
        <v>749</v>
      </c>
      <c r="D974">
        <v>8</v>
      </c>
      <c r="E974" s="1" t="s">
        <v>13</v>
      </c>
      <c r="F974" s="1" t="s">
        <v>34</v>
      </c>
      <c r="G974" s="1" t="s">
        <v>41</v>
      </c>
      <c r="H974" s="2">
        <v>45056</v>
      </c>
      <c r="I974" s="1" t="s">
        <v>1080</v>
      </c>
      <c r="J974" s="1" t="s">
        <v>37</v>
      </c>
      <c r="K974" s="1" t="s">
        <v>65</v>
      </c>
      <c r="L974" s="2">
        <v>45047</v>
      </c>
      <c r="M974" s="6">
        <f>T_SALES[[#This Row],[Profit]]/T_SALES[[#This Row],[Amount]]</f>
        <v>0.19116896375701889</v>
      </c>
    </row>
    <row r="975" spans="1:13" x14ac:dyDescent="0.25">
      <c r="A975" s="1" t="s">
        <v>1079</v>
      </c>
      <c r="B975" s="7">
        <v>3918</v>
      </c>
      <c r="C975" s="8">
        <v>749</v>
      </c>
      <c r="D975">
        <v>8</v>
      </c>
      <c r="E975" s="1" t="s">
        <v>13</v>
      </c>
      <c r="F975" s="1" t="s">
        <v>34</v>
      </c>
      <c r="G975" s="1" t="s">
        <v>41</v>
      </c>
      <c r="H975" s="2">
        <v>43953</v>
      </c>
      <c r="I975" s="1" t="s">
        <v>1081</v>
      </c>
      <c r="J975" s="1" t="s">
        <v>62</v>
      </c>
      <c r="K975" s="1" t="s">
        <v>111</v>
      </c>
      <c r="L975" s="2">
        <v>43952</v>
      </c>
      <c r="M975" s="6">
        <f>T_SALES[[#This Row],[Profit]]/T_SALES[[#This Row],[Amount]]</f>
        <v>0.19116896375701889</v>
      </c>
    </row>
    <row r="976" spans="1:13" x14ac:dyDescent="0.25">
      <c r="A976" s="1" t="s">
        <v>1082</v>
      </c>
      <c r="B976" s="7">
        <v>9921</v>
      </c>
      <c r="C976" s="8">
        <v>1451</v>
      </c>
      <c r="D976">
        <v>15</v>
      </c>
      <c r="E976" s="1" t="s">
        <v>39</v>
      </c>
      <c r="F976" s="1" t="s">
        <v>51</v>
      </c>
      <c r="G976" s="1" t="s">
        <v>35</v>
      </c>
      <c r="H976" s="2">
        <v>44298</v>
      </c>
      <c r="I976" s="1" t="s">
        <v>1083</v>
      </c>
      <c r="J976" s="1" t="s">
        <v>20</v>
      </c>
      <c r="K976" s="1" t="s">
        <v>21</v>
      </c>
      <c r="L976" s="2">
        <v>44287</v>
      </c>
      <c r="M976" s="6">
        <f>T_SALES[[#This Row],[Profit]]/T_SALES[[#This Row],[Amount]]</f>
        <v>0.14625541780062493</v>
      </c>
    </row>
    <row r="977" spans="1:13" x14ac:dyDescent="0.25">
      <c r="A977" s="1" t="s">
        <v>1084</v>
      </c>
      <c r="B977" s="7">
        <v>9694</v>
      </c>
      <c r="C977" s="8">
        <v>4361</v>
      </c>
      <c r="D977">
        <v>1</v>
      </c>
      <c r="E977" s="1" t="s">
        <v>39</v>
      </c>
      <c r="F977" s="1" t="s">
        <v>43</v>
      </c>
      <c r="G977" s="1" t="s">
        <v>35</v>
      </c>
      <c r="H977" s="2">
        <v>45234</v>
      </c>
      <c r="I977" s="1" t="s">
        <v>1085</v>
      </c>
      <c r="J977" s="1" t="s">
        <v>20</v>
      </c>
      <c r="K977" s="1" t="s">
        <v>54</v>
      </c>
      <c r="L977" s="2">
        <v>45231</v>
      </c>
      <c r="M977" s="6">
        <f>T_SALES[[#This Row],[Profit]]/T_SALES[[#This Row],[Amount]]</f>
        <v>0.44986589643078195</v>
      </c>
    </row>
    <row r="978" spans="1:13" x14ac:dyDescent="0.25">
      <c r="A978" s="1" t="s">
        <v>1086</v>
      </c>
      <c r="B978" s="7">
        <v>5028</v>
      </c>
      <c r="C978" s="8">
        <v>1553</v>
      </c>
      <c r="D978">
        <v>13</v>
      </c>
      <c r="E978" s="1" t="s">
        <v>27</v>
      </c>
      <c r="F978" s="1" t="s">
        <v>55</v>
      </c>
      <c r="G978" s="1" t="s">
        <v>35</v>
      </c>
      <c r="H978" s="2">
        <v>43955</v>
      </c>
      <c r="I978" s="1" t="s">
        <v>1087</v>
      </c>
      <c r="J978" s="1" t="s">
        <v>17</v>
      </c>
      <c r="K978" s="1" t="s">
        <v>121</v>
      </c>
      <c r="L978" s="2">
        <v>43952</v>
      </c>
      <c r="M978" s="6">
        <f>T_SALES[[#This Row],[Profit]]/T_SALES[[#This Row],[Amount]]</f>
        <v>0.3088703261734288</v>
      </c>
    </row>
    <row r="979" spans="1:13" x14ac:dyDescent="0.25">
      <c r="A979" s="1" t="s">
        <v>1088</v>
      </c>
      <c r="B979" s="7">
        <v>594</v>
      </c>
      <c r="C979" s="8">
        <v>67</v>
      </c>
      <c r="D979">
        <v>19</v>
      </c>
      <c r="E979" s="1" t="s">
        <v>27</v>
      </c>
      <c r="F979" s="1" t="s">
        <v>55</v>
      </c>
      <c r="G979" s="1" t="s">
        <v>29</v>
      </c>
      <c r="H979" s="2">
        <v>45179</v>
      </c>
      <c r="I979" s="1" t="s">
        <v>1089</v>
      </c>
      <c r="J979" s="1" t="s">
        <v>23</v>
      </c>
      <c r="K979" s="1" t="s">
        <v>24</v>
      </c>
      <c r="L979" s="2">
        <v>45170</v>
      </c>
      <c r="M979" s="6">
        <f>T_SALES[[#This Row],[Profit]]/T_SALES[[#This Row],[Amount]]</f>
        <v>0.11279461279461279</v>
      </c>
    </row>
    <row r="980" spans="1:13" x14ac:dyDescent="0.25">
      <c r="A980" s="1" t="s">
        <v>1088</v>
      </c>
      <c r="B980" s="7">
        <v>594</v>
      </c>
      <c r="C980" s="8">
        <v>67</v>
      </c>
      <c r="D980">
        <v>19</v>
      </c>
      <c r="E980" s="1" t="s">
        <v>27</v>
      </c>
      <c r="F980" s="1" t="s">
        <v>55</v>
      </c>
      <c r="G980" s="1" t="s">
        <v>29</v>
      </c>
      <c r="H980" s="2">
        <v>45296</v>
      </c>
      <c r="I980" s="1" t="s">
        <v>1090</v>
      </c>
      <c r="J980" s="1" t="s">
        <v>17</v>
      </c>
      <c r="K980" s="1" t="s">
        <v>18</v>
      </c>
      <c r="L980" s="2">
        <v>45292</v>
      </c>
      <c r="M980" s="6">
        <f>T_SALES[[#This Row],[Profit]]/T_SALES[[#This Row],[Amount]]</f>
        <v>0.11279461279461279</v>
      </c>
    </row>
    <row r="981" spans="1:13" x14ac:dyDescent="0.25">
      <c r="A981" s="1" t="s">
        <v>1088</v>
      </c>
      <c r="B981" s="7">
        <v>594</v>
      </c>
      <c r="C981" s="8">
        <v>67</v>
      </c>
      <c r="D981">
        <v>19</v>
      </c>
      <c r="E981" s="1" t="s">
        <v>27</v>
      </c>
      <c r="F981" s="1" t="s">
        <v>55</v>
      </c>
      <c r="G981" s="1" t="s">
        <v>29</v>
      </c>
      <c r="H981" s="2">
        <v>45420</v>
      </c>
      <c r="I981" s="1" t="s">
        <v>1091</v>
      </c>
      <c r="J981" s="1" t="s">
        <v>62</v>
      </c>
      <c r="K981" s="1" t="s">
        <v>74</v>
      </c>
      <c r="L981" s="2">
        <v>45413</v>
      </c>
      <c r="M981" s="6">
        <f>T_SALES[[#This Row],[Profit]]/T_SALES[[#This Row],[Amount]]</f>
        <v>0.11279461279461279</v>
      </c>
    </row>
    <row r="982" spans="1:13" x14ac:dyDescent="0.25">
      <c r="A982" s="1" t="s">
        <v>1092</v>
      </c>
      <c r="B982" s="7">
        <v>5954</v>
      </c>
      <c r="C982" s="8">
        <v>2618</v>
      </c>
      <c r="D982">
        <v>11</v>
      </c>
      <c r="E982" s="1" t="s">
        <v>39</v>
      </c>
      <c r="F982" s="1" t="s">
        <v>40</v>
      </c>
      <c r="G982" s="1" t="s">
        <v>56</v>
      </c>
      <c r="H982" s="2">
        <v>45381</v>
      </c>
      <c r="I982" s="1" t="s">
        <v>1093</v>
      </c>
      <c r="J982" s="1" t="s">
        <v>82</v>
      </c>
      <c r="K982" s="1" t="s">
        <v>89</v>
      </c>
      <c r="L982" s="2">
        <v>45352</v>
      </c>
      <c r="M982" s="6">
        <f>T_SALES[[#This Row],[Profit]]/T_SALES[[#This Row],[Amount]]</f>
        <v>0.43970440040309033</v>
      </c>
    </row>
    <row r="983" spans="1:13" x14ac:dyDescent="0.25">
      <c r="A983" s="1" t="s">
        <v>1094</v>
      </c>
      <c r="B983" s="7">
        <v>3518</v>
      </c>
      <c r="C983" s="8">
        <v>1051</v>
      </c>
      <c r="D983">
        <v>3</v>
      </c>
      <c r="E983" s="1" t="s">
        <v>39</v>
      </c>
      <c r="F983" s="1" t="s">
        <v>90</v>
      </c>
      <c r="G983" s="1" t="s">
        <v>15</v>
      </c>
      <c r="H983" s="2">
        <v>44084</v>
      </c>
      <c r="I983" s="1" t="s">
        <v>1095</v>
      </c>
      <c r="J983" s="1" t="s">
        <v>37</v>
      </c>
      <c r="K983" s="1" t="s">
        <v>78</v>
      </c>
      <c r="L983" s="2">
        <v>44075</v>
      </c>
      <c r="M983" s="6">
        <f>T_SALES[[#This Row],[Profit]]/T_SALES[[#This Row],[Amount]]</f>
        <v>0.29874928936895961</v>
      </c>
    </row>
    <row r="984" spans="1:13" x14ac:dyDescent="0.25">
      <c r="A984" s="1" t="s">
        <v>1094</v>
      </c>
      <c r="B984" s="7">
        <v>4157</v>
      </c>
      <c r="C984" s="8">
        <v>1874</v>
      </c>
      <c r="D984">
        <v>8</v>
      </c>
      <c r="E984" s="1" t="s">
        <v>13</v>
      </c>
      <c r="F984" s="1" t="s">
        <v>34</v>
      </c>
      <c r="G984" s="1" t="s">
        <v>35</v>
      </c>
      <c r="H984" s="2">
        <v>44084</v>
      </c>
      <c r="I984" s="1" t="s">
        <v>1095</v>
      </c>
      <c r="J984" s="1" t="s">
        <v>37</v>
      </c>
      <c r="K984" s="1" t="s">
        <v>78</v>
      </c>
      <c r="L984" s="2">
        <v>44075</v>
      </c>
      <c r="M984" s="6">
        <f>T_SALES[[#This Row],[Profit]]/T_SALES[[#This Row],[Amount]]</f>
        <v>0.45080586961751262</v>
      </c>
    </row>
    <row r="985" spans="1:13" x14ac:dyDescent="0.25">
      <c r="A985" s="1" t="s">
        <v>1096</v>
      </c>
      <c r="B985" s="7">
        <v>3747</v>
      </c>
      <c r="C985" s="8">
        <v>410</v>
      </c>
      <c r="D985">
        <v>5</v>
      </c>
      <c r="E985" s="1" t="s">
        <v>27</v>
      </c>
      <c r="F985" s="1" t="s">
        <v>49</v>
      </c>
      <c r="G985" s="1" t="s">
        <v>41</v>
      </c>
      <c r="H985" s="2">
        <v>44024</v>
      </c>
      <c r="I985" s="1" t="s">
        <v>1097</v>
      </c>
      <c r="J985" s="1" t="s">
        <v>20</v>
      </c>
      <c r="K985" s="1" t="s">
        <v>54</v>
      </c>
      <c r="L985" s="2">
        <v>44013</v>
      </c>
      <c r="M985" s="6">
        <f>T_SALES[[#This Row],[Profit]]/T_SALES[[#This Row],[Amount]]</f>
        <v>0.10942087002935681</v>
      </c>
    </row>
    <row r="986" spans="1:13" x14ac:dyDescent="0.25">
      <c r="A986" s="1" t="s">
        <v>1096</v>
      </c>
      <c r="B986" s="7">
        <v>3747</v>
      </c>
      <c r="C986" s="8">
        <v>410</v>
      </c>
      <c r="D986">
        <v>5</v>
      </c>
      <c r="E986" s="1" t="s">
        <v>27</v>
      </c>
      <c r="F986" s="1" t="s">
        <v>49</v>
      </c>
      <c r="G986" s="1" t="s">
        <v>41</v>
      </c>
      <c r="H986" s="2">
        <v>44903</v>
      </c>
      <c r="I986" s="1" t="s">
        <v>1098</v>
      </c>
      <c r="J986" s="1" t="s">
        <v>23</v>
      </c>
      <c r="K986" s="1" t="s">
        <v>24</v>
      </c>
      <c r="L986" s="2">
        <v>44896</v>
      </c>
      <c r="M986" s="6">
        <f>T_SALES[[#This Row],[Profit]]/T_SALES[[#This Row],[Amount]]</f>
        <v>0.10942087002935681</v>
      </c>
    </row>
    <row r="987" spans="1:13" x14ac:dyDescent="0.25">
      <c r="A987" s="1" t="s">
        <v>1096</v>
      </c>
      <c r="B987" s="7">
        <v>3747</v>
      </c>
      <c r="C987" s="8">
        <v>410</v>
      </c>
      <c r="D987">
        <v>5</v>
      </c>
      <c r="E987" s="1" t="s">
        <v>27</v>
      </c>
      <c r="F987" s="1" t="s">
        <v>49</v>
      </c>
      <c r="G987" s="1" t="s">
        <v>41</v>
      </c>
      <c r="H987" s="2">
        <v>45378</v>
      </c>
      <c r="I987" s="1" t="s">
        <v>1099</v>
      </c>
      <c r="J987" s="1" t="s">
        <v>82</v>
      </c>
      <c r="K987" s="1" t="s">
        <v>83</v>
      </c>
      <c r="L987" s="2">
        <v>45352</v>
      </c>
      <c r="M987" s="6">
        <f>T_SALES[[#This Row],[Profit]]/T_SALES[[#This Row],[Amount]]</f>
        <v>0.10942087002935681</v>
      </c>
    </row>
    <row r="988" spans="1:13" x14ac:dyDescent="0.25">
      <c r="A988" s="1" t="s">
        <v>1096</v>
      </c>
      <c r="B988" s="7">
        <v>3747</v>
      </c>
      <c r="C988" s="8">
        <v>410</v>
      </c>
      <c r="D988">
        <v>5</v>
      </c>
      <c r="E988" s="1" t="s">
        <v>27</v>
      </c>
      <c r="F988" s="1" t="s">
        <v>49</v>
      </c>
      <c r="G988" s="1" t="s">
        <v>41</v>
      </c>
      <c r="H988" s="2">
        <v>44974</v>
      </c>
      <c r="I988" s="1" t="s">
        <v>1100</v>
      </c>
      <c r="J988" s="1" t="s">
        <v>20</v>
      </c>
      <c r="K988" s="1" t="s">
        <v>21</v>
      </c>
      <c r="L988" s="2">
        <v>44958</v>
      </c>
      <c r="M988" s="6">
        <f>T_SALES[[#This Row],[Profit]]/T_SALES[[#This Row],[Amount]]</f>
        <v>0.10942087002935681</v>
      </c>
    </row>
    <row r="989" spans="1:13" x14ac:dyDescent="0.25">
      <c r="A989" s="1" t="s">
        <v>1096</v>
      </c>
      <c r="B989" s="7">
        <v>3747</v>
      </c>
      <c r="C989" s="8">
        <v>410</v>
      </c>
      <c r="D989">
        <v>5</v>
      </c>
      <c r="E989" s="1" t="s">
        <v>27</v>
      </c>
      <c r="F989" s="1" t="s">
        <v>49</v>
      </c>
      <c r="G989" s="1" t="s">
        <v>41</v>
      </c>
      <c r="H989" s="2">
        <v>44398</v>
      </c>
      <c r="I989" s="1" t="s">
        <v>1101</v>
      </c>
      <c r="J989" s="1" t="s">
        <v>37</v>
      </c>
      <c r="K989" s="1" t="s">
        <v>38</v>
      </c>
      <c r="L989" s="2">
        <v>44378</v>
      </c>
      <c r="M989" s="6">
        <f>T_SALES[[#This Row],[Profit]]/T_SALES[[#This Row],[Amount]]</f>
        <v>0.10942087002935681</v>
      </c>
    </row>
    <row r="990" spans="1:13" x14ac:dyDescent="0.25">
      <c r="A990" s="1" t="s">
        <v>1096</v>
      </c>
      <c r="B990" s="7">
        <v>3194</v>
      </c>
      <c r="C990" s="8">
        <v>534</v>
      </c>
      <c r="D990">
        <v>4</v>
      </c>
      <c r="E990" s="1" t="s">
        <v>27</v>
      </c>
      <c r="F990" s="1" t="s">
        <v>67</v>
      </c>
      <c r="G990" s="1" t="s">
        <v>15</v>
      </c>
      <c r="H990" s="2">
        <v>44024</v>
      </c>
      <c r="I990" s="1" t="s">
        <v>1097</v>
      </c>
      <c r="J990" s="1" t="s">
        <v>20</v>
      </c>
      <c r="K990" s="1" t="s">
        <v>54</v>
      </c>
      <c r="L990" s="2">
        <v>44013</v>
      </c>
      <c r="M990" s="6">
        <f>T_SALES[[#This Row],[Profit]]/T_SALES[[#This Row],[Amount]]</f>
        <v>0.16718847839699436</v>
      </c>
    </row>
    <row r="991" spans="1:13" x14ac:dyDescent="0.25">
      <c r="A991" s="1" t="s">
        <v>1096</v>
      </c>
      <c r="B991" s="7">
        <v>3194</v>
      </c>
      <c r="C991" s="8">
        <v>534</v>
      </c>
      <c r="D991">
        <v>4</v>
      </c>
      <c r="E991" s="1" t="s">
        <v>27</v>
      </c>
      <c r="F991" s="1" t="s">
        <v>67</v>
      </c>
      <c r="G991" s="1" t="s">
        <v>15</v>
      </c>
      <c r="H991" s="2">
        <v>44903</v>
      </c>
      <c r="I991" s="1" t="s">
        <v>1098</v>
      </c>
      <c r="J991" s="1" t="s">
        <v>23</v>
      </c>
      <c r="K991" s="1" t="s">
        <v>24</v>
      </c>
      <c r="L991" s="2">
        <v>44896</v>
      </c>
      <c r="M991" s="6">
        <f>T_SALES[[#This Row],[Profit]]/T_SALES[[#This Row],[Amount]]</f>
        <v>0.16718847839699436</v>
      </c>
    </row>
    <row r="992" spans="1:13" x14ac:dyDescent="0.25">
      <c r="A992" s="1" t="s">
        <v>1096</v>
      </c>
      <c r="B992" s="7">
        <v>3194</v>
      </c>
      <c r="C992" s="8">
        <v>534</v>
      </c>
      <c r="D992">
        <v>4</v>
      </c>
      <c r="E992" s="1" t="s">
        <v>27</v>
      </c>
      <c r="F992" s="1" t="s">
        <v>67</v>
      </c>
      <c r="G992" s="1" t="s">
        <v>15</v>
      </c>
      <c r="H992" s="2">
        <v>45378</v>
      </c>
      <c r="I992" s="1" t="s">
        <v>1099</v>
      </c>
      <c r="J992" s="1" t="s">
        <v>82</v>
      </c>
      <c r="K992" s="1" t="s">
        <v>83</v>
      </c>
      <c r="L992" s="2">
        <v>45352</v>
      </c>
      <c r="M992" s="6">
        <f>T_SALES[[#This Row],[Profit]]/T_SALES[[#This Row],[Amount]]</f>
        <v>0.16718847839699436</v>
      </c>
    </row>
    <row r="993" spans="1:13" x14ac:dyDescent="0.25">
      <c r="A993" s="1" t="s">
        <v>1096</v>
      </c>
      <c r="B993" s="7">
        <v>3194</v>
      </c>
      <c r="C993" s="8">
        <v>534</v>
      </c>
      <c r="D993">
        <v>4</v>
      </c>
      <c r="E993" s="1" t="s">
        <v>27</v>
      </c>
      <c r="F993" s="1" t="s">
        <v>67</v>
      </c>
      <c r="G993" s="1" t="s">
        <v>15</v>
      </c>
      <c r="H993" s="2">
        <v>44974</v>
      </c>
      <c r="I993" s="1" t="s">
        <v>1100</v>
      </c>
      <c r="J993" s="1" t="s">
        <v>20</v>
      </c>
      <c r="K993" s="1" t="s">
        <v>21</v>
      </c>
      <c r="L993" s="2">
        <v>44958</v>
      </c>
      <c r="M993" s="6">
        <f>T_SALES[[#This Row],[Profit]]/T_SALES[[#This Row],[Amount]]</f>
        <v>0.16718847839699436</v>
      </c>
    </row>
    <row r="994" spans="1:13" x14ac:dyDescent="0.25">
      <c r="A994" s="1" t="s">
        <v>1096</v>
      </c>
      <c r="B994" s="7">
        <v>3194</v>
      </c>
      <c r="C994" s="8">
        <v>534</v>
      </c>
      <c r="D994">
        <v>4</v>
      </c>
      <c r="E994" s="1" t="s">
        <v>27</v>
      </c>
      <c r="F994" s="1" t="s">
        <v>67</v>
      </c>
      <c r="G994" s="1" t="s">
        <v>15</v>
      </c>
      <c r="H994" s="2">
        <v>44398</v>
      </c>
      <c r="I994" s="1" t="s">
        <v>1101</v>
      </c>
      <c r="J994" s="1" t="s">
        <v>37</v>
      </c>
      <c r="K994" s="1" t="s">
        <v>38</v>
      </c>
      <c r="L994" s="2">
        <v>44378</v>
      </c>
      <c r="M994" s="6">
        <f>T_SALES[[#This Row],[Profit]]/T_SALES[[#This Row],[Amount]]</f>
        <v>0.16718847839699436</v>
      </c>
    </row>
    <row r="995" spans="1:13" x14ac:dyDescent="0.25">
      <c r="A995" s="1" t="s">
        <v>1102</v>
      </c>
      <c r="B995" s="7">
        <v>8548</v>
      </c>
      <c r="C995" s="8">
        <v>2305</v>
      </c>
      <c r="D995">
        <v>1</v>
      </c>
      <c r="E995" s="1" t="s">
        <v>27</v>
      </c>
      <c r="F995" s="1" t="s">
        <v>67</v>
      </c>
      <c r="G995" s="1" t="s">
        <v>56</v>
      </c>
      <c r="H995" s="2">
        <v>44864</v>
      </c>
      <c r="I995" s="1" t="s">
        <v>1103</v>
      </c>
      <c r="J995" s="1" t="s">
        <v>17</v>
      </c>
      <c r="K995" s="1" t="s">
        <v>121</v>
      </c>
      <c r="L995" s="2">
        <v>44835</v>
      </c>
      <c r="M995" s="6">
        <f>T_SALES[[#This Row],[Profit]]/T_SALES[[#This Row],[Amount]]</f>
        <v>0.26965372016846045</v>
      </c>
    </row>
    <row r="996" spans="1:13" x14ac:dyDescent="0.25">
      <c r="A996" s="1" t="s">
        <v>1104</v>
      </c>
      <c r="B996" s="7">
        <v>6089</v>
      </c>
      <c r="C996" s="8">
        <v>139</v>
      </c>
      <c r="D996">
        <v>19</v>
      </c>
      <c r="E996" s="1" t="s">
        <v>39</v>
      </c>
      <c r="F996" s="1" t="s">
        <v>40</v>
      </c>
      <c r="G996" s="1" t="s">
        <v>29</v>
      </c>
      <c r="H996" s="2">
        <v>44196</v>
      </c>
      <c r="I996" s="1" t="s">
        <v>1105</v>
      </c>
      <c r="J996" s="1" t="s">
        <v>82</v>
      </c>
      <c r="K996" s="1" t="s">
        <v>89</v>
      </c>
      <c r="L996" s="2">
        <v>44166</v>
      </c>
      <c r="M996" s="6">
        <f>T_SALES[[#This Row],[Profit]]/T_SALES[[#This Row],[Amount]]</f>
        <v>2.282805058301856E-2</v>
      </c>
    </row>
    <row r="997" spans="1:13" x14ac:dyDescent="0.25">
      <c r="A997" s="1" t="s">
        <v>1104</v>
      </c>
      <c r="B997" s="7">
        <v>6089</v>
      </c>
      <c r="C997" s="8">
        <v>139</v>
      </c>
      <c r="D997">
        <v>19</v>
      </c>
      <c r="E997" s="1" t="s">
        <v>39</v>
      </c>
      <c r="F997" s="1" t="s">
        <v>40</v>
      </c>
      <c r="G997" s="1" t="s">
        <v>29</v>
      </c>
      <c r="H997" s="2">
        <v>44666</v>
      </c>
      <c r="I997" s="1" t="s">
        <v>1106</v>
      </c>
      <c r="J997" s="1" t="s">
        <v>82</v>
      </c>
      <c r="K997" s="1" t="s">
        <v>97</v>
      </c>
      <c r="L997" s="2">
        <v>44652</v>
      </c>
      <c r="M997" s="6">
        <f>T_SALES[[#This Row],[Profit]]/T_SALES[[#This Row],[Amount]]</f>
        <v>2.282805058301856E-2</v>
      </c>
    </row>
    <row r="998" spans="1:13" x14ac:dyDescent="0.25">
      <c r="A998" s="1" t="s">
        <v>1104</v>
      </c>
      <c r="B998" s="7">
        <v>6089</v>
      </c>
      <c r="C998" s="8">
        <v>139</v>
      </c>
      <c r="D998">
        <v>19</v>
      </c>
      <c r="E998" s="1" t="s">
        <v>39</v>
      </c>
      <c r="F998" s="1" t="s">
        <v>40</v>
      </c>
      <c r="G998" s="1" t="s">
        <v>29</v>
      </c>
      <c r="H998" s="2">
        <v>45021</v>
      </c>
      <c r="I998" s="1" t="s">
        <v>1107</v>
      </c>
      <c r="J998" s="1" t="s">
        <v>20</v>
      </c>
      <c r="K998" s="1" t="s">
        <v>21</v>
      </c>
      <c r="L998" s="2">
        <v>45017</v>
      </c>
      <c r="M998" s="6">
        <f>T_SALES[[#This Row],[Profit]]/T_SALES[[#This Row],[Amount]]</f>
        <v>2.282805058301856E-2</v>
      </c>
    </row>
    <row r="999" spans="1:13" x14ac:dyDescent="0.25">
      <c r="A999" s="1" t="s">
        <v>1104</v>
      </c>
      <c r="B999" s="7">
        <v>2586</v>
      </c>
      <c r="C999" s="8">
        <v>800</v>
      </c>
      <c r="D999">
        <v>16</v>
      </c>
      <c r="E999" s="1" t="s">
        <v>39</v>
      </c>
      <c r="F999" s="1" t="s">
        <v>40</v>
      </c>
      <c r="G999" s="1" t="s">
        <v>15</v>
      </c>
      <c r="H999" s="2">
        <v>44196</v>
      </c>
      <c r="I999" s="1" t="s">
        <v>1105</v>
      </c>
      <c r="J999" s="1" t="s">
        <v>82</v>
      </c>
      <c r="K999" s="1" t="s">
        <v>89</v>
      </c>
      <c r="L999" s="2">
        <v>44166</v>
      </c>
      <c r="M999" s="6">
        <f>T_SALES[[#This Row],[Profit]]/T_SALES[[#This Row],[Amount]]</f>
        <v>0.30935808197989173</v>
      </c>
    </row>
    <row r="1000" spans="1:13" x14ac:dyDescent="0.25">
      <c r="A1000" s="1" t="s">
        <v>1104</v>
      </c>
      <c r="B1000" s="7">
        <v>2586</v>
      </c>
      <c r="C1000" s="8">
        <v>800</v>
      </c>
      <c r="D1000">
        <v>16</v>
      </c>
      <c r="E1000" s="1" t="s">
        <v>39</v>
      </c>
      <c r="F1000" s="1" t="s">
        <v>40</v>
      </c>
      <c r="G1000" s="1" t="s">
        <v>15</v>
      </c>
      <c r="H1000" s="2">
        <v>44666</v>
      </c>
      <c r="I1000" s="1" t="s">
        <v>1106</v>
      </c>
      <c r="J1000" s="1" t="s">
        <v>82</v>
      </c>
      <c r="K1000" s="1" t="s">
        <v>97</v>
      </c>
      <c r="L1000" s="2">
        <v>44652</v>
      </c>
      <c r="M1000" s="6">
        <f>T_SALES[[#This Row],[Profit]]/T_SALES[[#This Row],[Amount]]</f>
        <v>0.30935808197989173</v>
      </c>
    </row>
    <row r="1001" spans="1:13" x14ac:dyDescent="0.25">
      <c r="A1001" s="1" t="s">
        <v>1104</v>
      </c>
      <c r="B1001" s="7">
        <v>2586</v>
      </c>
      <c r="C1001" s="8">
        <v>800</v>
      </c>
      <c r="D1001">
        <v>16</v>
      </c>
      <c r="E1001" s="1" t="s">
        <v>39</v>
      </c>
      <c r="F1001" s="1" t="s">
        <v>40</v>
      </c>
      <c r="G1001" s="1" t="s">
        <v>15</v>
      </c>
      <c r="H1001" s="2">
        <v>45021</v>
      </c>
      <c r="I1001" s="1" t="s">
        <v>1107</v>
      </c>
      <c r="J1001" s="1" t="s">
        <v>20</v>
      </c>
      <c r="K1001" s="1" t="s">
        <v>21</v>
      </c>
      <c r="L1001" s="2">
        <v>45017</v>
      </c>
      <c r="M1001" s="6">
        <f>T_SALES[[#This Row],[Profit]]/T_SALES[[#This Row],[Amount]]</f>
        <v>0.30935808197989173</v>
      </c>
    </row>
    <row r="1002" spans="1:13" x14ac:dyDescent="0.25">
      <c r="A1002" s="1" t="s">
        <v>1104</v>
      </c>
      <c r="B1002" s="7">
        <v>3757</v>
      </c>
      <c r="C1002" s="8">
        <v>1626</v>
      </c>
      <c r="D1002">
        <v>9</v>
      </c>
      <c r="E1002" s="1" t="s">
        <v>27</v>
      </c>
      <c r="F1002" s="1" t="s">
        <v>55</v>
      </c>
      <c r="G1002" s="1" t="s">
        <v>15</v>
      </c>
      <c r="H1002" s="2">
        <v>44196</v>
      </c>
      <c r="I1002" s="1" t="s">
        <v>1105</v>
      </c>
      <c r="J1002" s="1" t="s">
        <v>82</v>
      </c>
      <c r="K1002" s="1" t="s">
        <v>89</v>
      </c>
      <c r="L1002" s="2">
        <v>44166</v>
      </c>
      <c r="M1002" s="6">
        <f>T_SALES[[#This Row],[Profit]]/T_SALES[[#This Row],[Amount]]</f>
        <v>0.43279212137343626</v>
      </c>
    </row>
    <row r="1003" spans="1:13" x14ac:dyDescent="0.25">
      <c r="A1003" s="1" t="s">
        <v>1104</v>
      </c>
      <c r="B1003" s="7">
        <v>3757</v>
      </c>
      <c r="C1003" s="8">
        <v>1626</v>
      </c>
      <c r="D1003">
        <v>9</v>
      </c>
      <c r="E1003" s="1" t="s">
        <v>27</v>
      </c>
      <c r="F1003" s="1" t="s">
        <v>55</v>
      </c>
      <c r="G1003" s="1" t="s">
        <v>15</v>
      </c>
      <c r="H1003" s="2">
        <v>44666</v>
      </c>
      <c r="I1003" s="1" t="s">
        <v>1106</v>
      </c>
      <c r="J1003" s="1" t="s">
        <v>82</v>
      </c>
      <c r="K1003" s="1" t="s">
        <v>97</v>
      </c>
      <c r="L1003" s="2">
        <v>44652</v>
      </c>
      <c r="M1003" s="6">
        <f>T_SALES[[#This Row],[Profit]]/T_SALES[[#This Row],[Amount]]</f>
        <v>0.43279212137343626</v>
      </c>
    </row>
    <row r="1004" spans="1:13" x14ac:dyDescent="0.25">
      <c r="A1004" s="1" t="s">
        <v>1104</v>
      </c>
      <c r="B1004" s="7">
        <v>3757</v>
      </c>
      <c r="C1004" s="8">
        <v>1626</v>
      </c>
      <c r="D1004">
        <v>9</v>
      </c>
      <c r="E1004" s="1" t="s">
        <v>27</v>
      </c>
      <c r="F1004" s="1" t="s">
        <v>55</v>
      </c>
      <c r="G1004" s="1" t="s">
        <v>15</v>
      </c>
      <c r="H1004" s="2">
        <v>45021</v>
      </c>
      <c r="I1004" s="1" t="s">
        <v>1107</v>
      </c>
      <c r="J1004" s="1" t="s">
        <v>20</v>
      </c>
      <c r="K1004" s="1" t="s">
        <v>21</v>
      </c>
      <c r="L1004" s="2">
        <v>45017</v>
      </c>
      <c r="M1004" s="6">
        <f>T_SALES[[#This Row],[Profit]]/T_SALES[[#This Row],[Amount]]</f>
        <v>0.43279212137343626</v>
      </c>
    </row>
    <row r="1005" spans="1:13" x14ac:dyDescent="0.25">
      <c r="A1005" s="1" t="s">
        <v>1108</v>
      </c>
      <c r="B1005" s="7">
        <v>5193</v>
      </c>
      <c r="C1005" s="8">
        <v>2530</v>
      </c>
      <c r="D1005">
        <v>5</v>
      </c>
      <c r="E1005" s="1" t="s">
        <v>39</v>
      </c>
      <c r="F1005" s="1" t="s">
        <v>51</v>
      </c>
      <c r="G1005" s="1" t="s">
        <v>29</v>
      </c>
      <c r="H1005" s="2">
        <v>44498</v>
      </c>
      <c r="I1005" s="1" t="s">
        <v>1109</v>
      </c>
      <c r="J1005" s="1" t="s">
        <v>37</v>
      </c>
      <c r="K1005" s="1" t="s">
        <v>65</v>
      </c>
      <c r="L1005" s="2">
        <v>44470</v>
      </c>
      <c r="M1005" s="6">
        <f>T_SALES[[#This Row],[Profit]]/T_SALES[[#This Row],[Amount]]</f>
        <v>0.48719430001925668</v>
      </c>
    </row>
    <row r="1006" spans="1:13" x14ac:dyDescent="0.25">
      <c r="A1006" s="1" t="s">
        <v>1108</v>
      </c>
      <c r="B1006" s="7">
        <v>5193</v>
      </c>
      <c r="C1006" s="8">
        <v>2530</v>
      </c>
      <c r="D1006">
        <v>5</v>
      </c>
      <c r="E1006" s="1" t="s">
        <v>39</v>
      </c>
      <c r="F1006" s="1" t="s">
        <v>51</v>
      </c>
      <c r="G1006" s="1" t="s">
        <v>29</v>
      </c>
      <c r="H1006" s="2">
        <v>45655</v>
      </c>
      <c r="I1006" s="1" t="s">
        <v>1110</v>
      </c>
      <c r="J1006" s="1" t="s">
        <v>17</v>
      </c>
      <c r="K1006" s="1" t="s">
        <v>18</v>
      </c>
      <c r="L1006" s="2">
        <v>45627</v>
      </c>
      <c r="M1006" s="6">
        <f>T_SALES[[#This Row],[Profit]]/T_SALES[[#This Row],[Amount]]</f>
        <v>0.48719430001925668</v>
      </c>
    </row>
    <row r="1007" spans="1:13" x14ac:dyDescent="0.25">
      <c r="A1007" s="1" t="s">
        <v>1111</v>
      </c>
      <c r="B1007" s="7">
        <v>7493</v>
      </c>
      <c r="C1007" s="8">
        <v>96</v>
      </c>
      <c r="D1007">
        <v>3</v>
      </c>
      <c r="E1007" s="1" t="s">
        <v>13</v>
      </c>
      <c r="F1007" s="1" t="s">
        <v>14</v>
      </c>
      <c r="G1007" s="1" t="s">
        <v>15</v>
      </c>
      <c r="H1007" s="2">
        <v>44054</v>
      </c>
      <c r="I1007" s="1" t="s">
        <v>1112</v>
      </c>
      <c r="J1007" s="1" t="s">
        <v>82</v>
      </c>
      <c r="K1007" s="1" t="s">
        <v>97</v>
      </c>
      <c r="L1007" s="2">
        <v>44044</v>
      </c>
      <c r="M1007" s="6">
        <f>T_SALES[[#This Row],[Profit]]/T_SALES[[#This Row],[Amount]]</f>
        <v>1.2811957827305485E-2</v>
      </c>
    </row>
    <row r="1008" spans="1:13" x14ac:dyDescent="0.25">
      <c r="A1008" s="1" t="s">
        <v>1113</v>
      </c>
      <c r="B1008" s="7">
        <v>2062</v>
      </c>
      <c r="C1008" s="8">
        <v>848</v>
      </c>
      <c r="D1008">
        <v>6</v>
      </c>
      <c r="E1008" s="1" t="s">
        <v>27</v>
      </c>
      <c r="F1008" s="1" t="s">
        <v>49</v>
      </c>
      <c r="G1008" s="1" t="s">
        <v>41</v>
      </c>
      <c r="H1008" s="2">
        <v>45355</v>
      </c>
      <c r="I1008" s="1" t="s">
        <v>1114</v>
      </c>
      <c r="J1008" s="1" t="s">
        <v>17</v>
      </c>
      <c r="K1008" s="1" t="s">
        <v>121</v>
      </c>
      <c r="L1008" s="2">
        <v>45352</v>
      </c>
      <c r="M1008" s="6">
        <f>T_SALES[[#This Row],[Profit]]/T_SALES[[#This Row],[Amount]]</f>
        <v>0.41125121241513096</v>
      </c>
    </row>
    <row r="1009" spans="1:13" x14ac:dyDescent="0.25">
      <c r="A1009" s="1" t="s">
        <v>1115</v>
      </c>
      <c r="B1009" s="7">
        <v>7163</v>
      </c>
      <c r="C1009" s="8">
        <v>1536</v>
      </c>
      <c r="D1009">
        <v>1</v>
      </c>
      <c r="E1009" s="1" t="s">
        <v>13</v>
      </c>
      <c r="F1009" s="1" t="s">
        <v>70</v>
      </c>
      <c r="G1009" s="1" t="s">
        <v>35</v>
      </c>
      <c r="H1009" s="2">
        <v>45216</v>
      </c>
      <c r="I1009" s="1" t="s">
        <v>1116</v>
      </c>
      <c r="J1009" s="1" t="s">
        <v>37</v>
      </c>
      <c r="K1009" s="1" t="s">
        <v>65</v>
      </c>
      <c r="L1009" s="2">
        <v>45200</v>
      </c>
      <c r="M1009" s="6">
        <f>T_SALES[[#This Row],[Profit]]/T_SALES[[#This Row],[Amount]]</f>
        <v>0.21443529247521989</v>
      </c>
    </row>
    <row r="1010" spans="1:13" x14ac:dyDescent="0.25">
      <c r="A1010" s="1" t="s">
        <v>1117</v>
      </c>
      <c r="B1010" s="7">
        <v>4026</v>
      </c>
      <c r="C1010" s="8">
        <v>163</v>
      </c>
      <c r="D1010">
        <v>6</v>
      </c>
      <c r="E1010" s="1" t="s">
        <v>13</v>
      </c>
      <c r="F1010" s="1" t="s">
        <v>70</v>
      </c>
      <c r="G1010" s="1" t="s">
        <v>56</v>
      </c>
      <c r="H1010" s="2">
        <v>45135</v>
      </c>
      <c r="I1010" s="1" t="s">
        <v>1118</v>
      </c>
      <c r="J1010" s="1" t="s">
        <v>23</v>
      </c>
      <c r="K1010" s="1" t="s">
        <v>45</v>
      </c>
      <c r="L1010" s="2">
        <v>45108</v>
      </c>
      <c r="M1010" s="6">
        <f>T_SALES[[#This Row],[Profit]]/T_SALES[[#This Row],[Amount]]</f>
        <v>4.0486835568802781E-2</v>
      </c>
    </row>
    <row r="1011" spans="1:13" x14ac:dyDescent="0.25">
      <c r="A1011" s="1" t="s">
        <v>1119</v>
      </c>
      <c r="B1011" s="7">
        <v>1894</v>
      </c>
      <c r="C1011" s="8">
        <v>275</v>
      </c>
      <c r="D1011">
        <v>5</v>
      </c>
      <c r="E1011" s="1" t="s">
        <v>39</v>
      </c>
      <c r="F1011" s="1" t="s">
        <v>43</v>
      </c>
      <c r="G1011" s="1" t="s">
        <v>41</v>
      </c>
      <c r="H1011" s="2">
        <v>44527</v>
      </c>
      <c r="I1011" s="1" t="s">
        <v>1120</v>
      </c>
      <c r="J1011" s="1" t="s">
        <v>17</v>
      </c>
      <c r="K1011" s="1" t="s">
        <v>18</v>
      </c>
      <c r="L1011" s="2">
        <v>44501</v>
      </c>
      <c r="M1011" s="6">
        <f>T_SALES[[#This Row],[Profit]]/T_SALES[[#This Row],[Amount]]</f>
        <v>0.14519535374868003</v>
      </c>
    </row>
    <row r="1012" spans="1:13" x14ac:dyDescent="0.25">
      <c r="A1012" s="1" t="s">
        <v>1119</v>
      </c>
      <c r="B1012" s="7">
        <v>7144</v>
      </c>
      <c r="C1012" s="8">
        <v>192</v>
      </c>
      <c r="D1012">
        <v>13</v>
      </c>
      <c r="E1012" s="1" t="s">
        <v>13</v>
      </c>
      <c r="F1012" s="1" t="s">
        <v>14</v>
      </c>
      <c r="G1012" s="1" t="s">
        <v>41</v>
      </c>
      <c r="H1012" s="2">
        <v>44527</v>
      </c>
      <c r="I1012" s="1" t="s">
        <v>1120</v>
      </c>
      <c r="J1012" s="1" t="s">
        <v>17</v>
      </c>
      <c r="K1012" s="1" t="s">
        <v>18</v>
      </c>
      <c r="L1012" s="2">
        <v>44501</v>
      </c>
      <c r="M1012" s="6">
        <f>T_SALES[[#This Row],[Profit]]/T_SALES[[#This Row],[Amount]]</f>
        <v>2.6875699888017916E-2</v>
      </c>
    </row>
    <row r="1013" spans="1:13" x14ac:dyDescent="0.25">
      <c r="A1013" s="1" t="s">
        <v>1121</v>
      </c>
      <c r="B1013" s="7">
        <v>3482</v>
      </c>
      <c r="C1013" s="8">
        <v>1554</v>
      </c>
      <c r="D1013">
        <v>15</v>
      </c>
      <c r="E1013" s="1" t="s">
        <v>13</v>
      </c>
      <c r="F1013" s="1" t="s">
        <v>34</v>
      </c>
      <c r="G1013" s="1" t="s">
        <v>29</v>
      </c>
      <c r="H1013" s="2">
        <v>44083</v>
      </c>
      <c r="I1013" s="1" t="s">
        <v>1122</v>
      </c>
      <c r="J1013" s="1" t="s">
        <v>82</v>
      </c>
      <c r="K1013" s="1" t="s">
        <v>83</v>
      </c>
      <c r="L1013" s="2">
        <v>44075</v>
      </c>
      <c r="M1013" s="6">
        <f>T_SALES[[#This Row],[Profit]]/T_SALES[[#This Row],[Amount]]</f>
        <v>0.44629523262492821</v>
      </c>
    </row>
    <row r="1014" spans="1:13" x14ac:dyDescent="0.25">
      <c r="A1014" s="1" t="s">
        <v>1123</v>
      </c>
      <c r="B1014" s="7">
        <v>4172</v>
      </c>
      <c r="C1014" s="8">
        <v>235</v>
      </c>
      <c r="D1014">
        <v>5</v>
      </c>
      <c r="E1014" s="1" t="s">
        <v>27</v>
      </c>
      <c r="F1014" s="1" t="s">
        <v>55</v>
      </c>
      <c r="G1014" s="1" t="s">
        <v>35</v>
      </c>
      <c r="H1014" s="2">
        <v>44349</v>
      </c>
      <c r="I1014" s="1" t="s">
        <v>1124</v>
      </c>
      <c r="J1014" s="1" t="s">
        <v>82</v>
      </c>
      <c r="K1014" s="1" t="s">
        <v>97</v>
      </c>
      <c r="L1014" s="2">
        <v>44348</v>
      </c>
      <c r="M1014" s="6">
        <f>T_SALES[[#This Row],[Profit]]/T_SALES[[#This Row],[Amount]]</f>
        <v>5.6327900287631828E-2</v>
      </c>
    </row>
    <row r="1015" spans="1:13" x14ac:dyDescent="0.25">
      <c r="A1015" s="1" t="s">
        <v>1123</v>
      </c>
      <c r="B1015" s="7">
        <v>4172</v>
      </c>
      <c r="C1015" s="8">
        <v>235</v>
      </c>
      <c r="D1015">
        <v>5</v>
      </c>
      <c r="E1015" s="1" t="s">
        <v>27</v>
      </c>
      <c r="F1015" s="1" t="s">
        <v>55</v>
      </c>
      <c r="G1015" s="1" t="s">
        <v>35</v>
      </c>
      <c r="H1015" s="2">
        <v>44795</v>
      </c>
      <c r="I1015" s="1" t="s">
        <v>1125</v>
      </c>
      <c r="J1015" s="1" t="s">
        <v>17</v>
      </c>
      <c r="K1015" s="1" t="s">
        <v>31</v>
      </c>
      <c r="L1015" s="2">
        <v>44774</v>
      </c>
      <c r="M1015" s="6">
        <f>T_SALES[[#This Row],[Profit]]/T_SALES[[#This Row],[Amount]]</f>
        <v>5.6327900287631828E-2</v>
      </c>
    </row>
    <row r="1016" spans="1:13" x14ac:dyDescent="0.25">
      <c r="A1016" s="1" t="s">
        <v>1123</v>
      </c>
      <c r="B1016" s="7">
        <v>4172</v>
      </c>
      <c r="C1016" s="8">
        <v>235</v>
      </c>
      <c r="D1016">
        <v>5</v>
      </c>
      <c r="E1016" s="1" t="s">
        <v>27</v>
      </c>
      <c r="F1016" s="1" t="s">
        <v>55</v>
      </c>
      <c r="G1016" s="1" t="s">
        <v>35</v>
      </c>
      <c r="H1016" s="2">
        <v>45398</v>
      </c>
      <c r="I1016" s="1" t="s">
        <v>1126</v>
      </c>
      <c r="J1016" s="1" t="s">
        <v>20</v>
      </c>
      <c r="K1016" s="1" t="s">
        <v>54</v>
      </c>
      <c r="L1016" s="2">
        <v>45383</v>
      </c>
      <c r="M1016" s="6">
        <f>T_SALES[[#This Row],[Profit]]/T_SALES[[#This Row],[Amount]]</f>
        <v>5.6327900287631828E-2</v>
      </c>
    </row>
    <row r="1017" spans="1:13" x14ac:dyDescent="0.25">
      <c r="A1017" s="1" t="s">
        <v>1127</v>
      </c>
      <c r="B1017" s="7">
        <v>6265</v>
      </c>
      <c r="C1017" s="8">
        <v>155</v>
      </c>
      <c r="D1017">
        <v>8</v>
      </c>
      <c r="E1017" s="1" t="s">
        <v>39</v>
      </c>
      <c r="F1017" s="1" t="s">
        <v>51</v>
      </c>
      <c r="G1017" s="1" t="s">
        <v>56</v>
      </c>
      <c r="H1017" s="2">
        <v>44796</v>
      </c>
      <c r="I1017" s="1" t="s">
        <v>1128</v>
      </c>
      <c r="J1017" s="1" t="s">
        <v>82</v>
      </c>
      <c r="K1017" s="1" t="s">
        <v>89</v>
      </c>
      <c r="L1017" s="2">
        <v>44774</v>
      </c>
      <c r="M1017" s="6">
        <f>T_SALES[[#This Row],[Profit]]/T_SALES[[#This Row],[Amount]]</f>
        <v>2.4740622505985636E-2</v>
      </c>
    </row>
    <row r="1018" spans="1:13" x14ac:dyDescent="0.25">
      <c r="A1018" s="1" t="s">
        <v>1127</v>
      </c>
      <c r="B1018" s="7">
        <v>6265</v>
      </c>
      <c r="C1018" s="8">
        <v>155</v>
      </c>
      <c r="D1018">
        <v>8</v>
      </c>
      <c r="E1018" s="1" t="s">
        <v>39</v>
      </c>
      <c r="F1018" s="1" t="s">
        <v>51</v>
      </c>
      <c r="G1018" s="1" t="s">
        <v>56</v>
      </c>
      <c r="H1018" s="2">
        <v>44267</v>
      </c>
      <c r="I1018" s="1" t="s">
        <v>1129</v>
      </c>
      <c r="J1018" s="1" t="s">
        <v>82</v>
      </c>
      <c r="K1018" s="1" t="s">
        <v>97</v>
      </c>
      <c r="L1018" s="2">
        <v>44256</v>
      </c>
      <c r="M1018" s="6">
        <f>T_SALES[[#This Row],[Profit]]/T_SALES[[#This Row],[Amount]]</f>
        <v>2.4740622505985636E-2</v>
      </c>
    </row>
    <row r="1019" spans="1:13" x14ac:dyDescent="0.25">
      <c r="A1019" s="1" t="s">
        <v>1130</v>
      </c>
      <c r="B1019" s="7">
        <v>2931</v>
      </c>
      <c r="C1019" s="8">
        <v>212</v>
      </c>
      <c r="D1019">
        <v>7</v>
      </c>
      <c r="E1019" s="1" t="s">
        <v>13</v>
      </c>
      <c r="F1019" s="1" t="s">
        <v>14</v>
      </c>
      <c r="G1019" s="1" t="s">
        <v>41</v>
      </c>
      <c r="H1019" s="2">
        <v>45469</v>
      </c>
      <c r="I1019" s="1" t="s">
        <v>1131</v>
      </c>
      <c r="J1019" s="1" t="s">
        <v>20</v>
      </c>
      <c r="K1019" s="1" t="s">
        <v>137</v>
      </c>
      <c r="L1019" s="2">
        <v>45444</v>
      </c>
      <c r="M1019" s="6">
        <f>T_SALES[[#This Row],[Profit]]/T_SALES[[#This Row],[Amount]]</f>
        <v>7.2330262708973053E-2</v>
      </c>
    </row>
    <row r="1020" spans="1:13" x14ac:dyDescent="0.25">
      <c r="A1020" s="1" t="s">
        <v>1130</v>
      </c>
      <c r="B1020" s="7">
        <v>2931</v>
      </c>
      <c r="C1020" s="8">
        <v>212</v>
      </c>
      <c r="D1020">
        <v>7</v>
      </c>
      <c r="E1020" s="1" t="s">
        <v>13</v>
      </c>
      <c r="F1020" s="1" t="s">
        <v>14</v>
      </c>
      <c r="G1020" s="1" t="s">
        <v>41</v>
      </c>
      <c r="H1020" s="2">
        <v>45268</v>
      </c>
      <c r="I1020" s="1" t="s">
        <v>1132</v>
      </c>
      <c r="J1020" s="1" t="s">
        <v>17</v>
      </c>
      <c r="K1020" s="1" t="s">
        <v>121</v>
      </c>
      <c r="L1020" s="2">
        <v>45261</v>
      </c>
      <c r="M1020" s="6">
        <f>T_SALES[[#This Row],[Profit]]/T_SALES[[#This Row],[Amount]]</f>
        <v>7.2330262708973053E-2</v>
      </c>
    </row>
    <row r="1021" spans="1:13" x14ac:dyDescent="0.25">
      <c r="A1021" s="1" t="s">
        <v>1133</v>
      </c>
      <c r="B1021" s="7">
        <v>1146</v>
      </c>
      <c r="C1021" s="8">
        <v>188</v>
      </c>
      <c r="D1021">
        <v>9</v>
      </c>
      <c r="E1021" s="1" t="s">
        <v>39</v>
      </c>
      <c r="F1021" s="1" t="s">
        <v>43</v>
      </c>
      <c r="G1021" s="1" t="s">
        <v>29</v>
      </c>
      <c r="H1021" s="2">
        <v>45623</v>
      </c>
      <c r="I1021" s="1" t="s">
        <v>1134</v>
      </c>
      <c r="J1021" s="1" t="s">
        <v>17</v>
      </c>
      <c r="K1021" s="1" t="s">
        <v>121</v>
      </c>
      <c r="L1021" s="2">
        <v>45597</v>
      </c>
      <c r="M1021" s="6">
        <f>T_SALES[[#This Row],[Profit]]/T_SALES[[#This Row],[Amount]]</f>
        <v>0.16404886561954624</v>
      </c>
    </row>
    <row r="1022" spans="1:13" x14ac:dyDescent="0.25">
      <c r="A1022" s="1" t="s">
        <v>1135</v>
      </c>
      <c r="B1022" s="7">
        <v>9215</v>
      </c>
      <c r="C1022" s="8">
        <v>767</v>
      </c>
      <c r="D1022">
        <v>13</v>
      </c>
      <c r="E1022" s="1" t="s">
        <v>13</v>
      </c>
      <c r="F1022" s="1" t="s">
        <v>25</v>
      </c>
      <c r="G1022" s="1" t="s">
        <v>56</v>
      </c>
      <c r="H1022" s="2">
        <v>44571</v>
      </c>
      <c r="I1022" s="1" t="s">
        <v>1136</v>
      </c>
      <c r="J1022" s="1" t="s">
        <v>17</v>
      </c>
      <c r="K1022" s="1" t="s">
        <v>121</v>
      </c>
      <c r="L1022" s="2">
        <v>44562</v>
      </c>
      <c r="M1022" s="6">
        <f>T_SALES[[#This Row],[Profit]]/T_SALES[[#This Row],[Amount]]</f>
        <v>8.3233857840477488E-2</v>
      </c>
    </row>
    <row r="1023" spans="1:13" x14ac:dyDescent="0.25">
      <c r="A1023" s="1" t="s">
        <v>1135</v>
      </c>
      <c r="B1023" s="7">
        <v>9215</v>
      </c>
      <c r="C1023" s="8">
        <v>767</v>
      </c>
      <c r="D1023">
        <v>13</v>
      </c>
      <c r="E1023" s="1" t="s">
        <v>13</v>
      </c>
      <c r="F1023" s="1" t="s">
        <v>25</v>
      </c>
      <c r="G1023" s="1" t="s">
        <v>56</v>
      </c>
      <c r="H1023" s="2">
        <v>44501</v>
      </c>
      <c r="I1023" s="1" t="s">
        <v>1137</v>
      </c>
      <c r="J1023" s="1" t="s">
        <v>37</v>
      </c>
      <c r="K1023" s="1" t="s">
        <v>78</v>
      </c>
      <c r="L1023" s="2">
        <v>44501</v>
      </c>
      <c r="M1023" s="6">
        <f>T_SALES[[#This Row],[Profit]]/T_SALES[[#This Row],[Amount]]</f>
        <v>8.3233857840477488E-2</v>
      </c>
    </row>
    <row r="1024" spans="1:13" x14ac:dyDescent="0.25">
      <c r="A1024" s="1" t="s">
        <v>1138</v>
      </c>
      <c r="B1024" s="7">
        <v>7895</v>
      </c>
      <c r="C1024" s="8">
        <v>1005</v>
      </c>
      <c r="D1024">
        <v>1</v>
      </c>
      <c r="E1024" s="1" t="s">
        <v>39</v>
      </c>
      <c r="F1024" s="1" t="s">
        <v>43</v>
      </c>
      <c r="G1024" s="1" t="s">
        <v>41</v>
      </c>
      <c r="H1024" s="2">
        <v>45227</v>
      </c>
      <c r="I1024" s="1" t="s">
        <v>1139</v>
      </c>
      <c r="J1024" s="1" t="s">
        <v>82</v>
      </c>
      <c r="K1024" s="1" t="s">
        <v>89</v>
      </c>
      <c r="L1024" s="2">
        <v>45200</v>
      </c>
      <c r="M1024" s="6">
        <f>T_SALES[[#This Row],[Profit]]/T_SALES[[#This Row],[Amount]]</f>
        <v>0.1272957568081064</v>
      </c>
    </row>
    <row r="1025" spans="1:13" x14ac:dyDescent="0.25">
      <c r="A1025" s="1" t="s">
        <v>1138</v>
      </c>
      <c r="B1025" s="7">
        <v>7895</v>
      </c>
      <c r="C1025" s="8">
        <v>1005</v>
      </c>
      <c r="D1025">
        <v>1</v>
      </c>
      <c r="E1025" s="1" t="s">
        <v>39</v>
      </c>
      <c r="F1025" s="1" t="s">
        <v>43</v>
      </c>
      <c r="G1025" s="1" t="s">
        <v>41</v>
      </c>
      <c r="H1025" s="2">
        <v>45717</v>
      </c>
      <c r="I1025" s="1" t="s">
        <v>1140</v>
      </c>
      <c r="J1025" s="1" t="s">
        <v>37</v>
      </c>
      <c r="K1025" s="1" t="s">
        <v>65</v>
      </c>
      <c r="L1025" s="2">
        <v>45717</v>
      </c>
      <c r="M1025" s="6">
        <f>T_SALES[[#This Row],[Profit]]/T_SALES[[#This Row],[Amount]]</f>
        <v>0.1272957568081064</v>
      </c>
    </row>
    <row r="1026" spans="1:13" x14ac:dyDescent="0.25">
      <c r="A1026" s="1" t="s">
        <v>1138</v>
      </c>
      <c r="B1026" s="7">
        <v>2740</v>
      </c>
      <c r="C1026" s="8">
        <v>558</v>
      </c>
      <c r="D1026">
        <v>8</v>
      </c>
      <c r="E1026" s="1" t="s">
        <v>27</v>
      </c>
      <c r="F1026" s="1" t="s">
        <v>28</v>
      </c>
      <c r="G1026" s="1" t="s">
        <v>15</v>
      </c>
      <c r="H1026" s="2">
        <v>45227</v>
      </c>
      <c r="I1026" s="1" t="s">
        <v>1139</v>
      </c>
      <c r="J1026" s="1" t="s">
        <v>82</v>
      </c>
      <c r="K1026" s="1" t="s">
        <v>89</v>
      </c>
      <c r="L1026" s="2">
        <v>45200</v>
      </c>
      <c r="M1026" s="6">
        <f>T_SALES[[#This Row],[Profit]]/T_SALES[[#This Row],[Amount]]</f>
        <v>0.20364963503649636</v>
      </c>
    </row>
    <row r="1027" spans="1:13" x14ac:dyDescent="0.25">
      <c r="A1027" s="1" t="s">
        <v>1138</v>
      </c>
      <c r="B1027" s="7">
        <v>2740</v>
      </c>
      <c r="C1027" s="8">
        <v>558</v>
      </c>
      <c r="D1027">
        <v>8</v>
      </c>
      <c r="E1027" s="1" t="s">
        <v>27</v>
      </c>
      <c r="F1027" s="1" t="s">
        <v>28</v>
      </c>
      <c r="G1027" s="1" t="s">
        <v>15</v>
      </c>
      <c r="H1027" s="2">
        <v>45717</v>
      </c>
      <c r="I1027" s="1" t="s">
        <v>1140</v>
      </c>
      <c r="J1027" s="1" t="s">
        <v>37</v>
      </c>
      <c r="K1027" s="1" t="s">
        <v>65</v>
      </c>
      <c r="L1027" s="2">
        <v>45717</v>
      </c>
      <c r="M1027" s="6">
        <f>T_SALES[[#This Row],[Profit]]/T_SALES[[#This Row],[Amount]]</f>
        <v>0.20364963503649636</v>
      </c>
    </row>
    <row r="1028" spans="1:13" x14ac:dyDescent="0.25">
      <c r="A1028" s="1" t="s">
        <v>1141</v>
      </c>
      <c r="B1028" s="7">
        <v>5338</v>
      </c>
      <c r="C1028" s="8">
        <v>1354</v>
      </c>
      <c r="D1028">
        <v>16</v>
      </c>
      <c r="E1028" s="1" t="s">
        <v>27</v>
      </c>
      <c r="F1028" s="1" t="s">
        <v>49</v>
      </c>
      <c r="G1028" s="1" t="s">
        <v>15</v>
      </c>
      <c r="H1028" s="2">
        <v>45505</v>
      </c>
      <c r="I1028" s="1" t="s">
        <v>1142</v>
      </c>
      <c r="J1028" s="1" t="s">
        <v>20</v>
      </c>
      <c r="K1028" s="1" t="s">
        <v>137</v>
      </c>
      <c r="L1028" s="2">
        <v>45505</v>
      </c>
      <c r="M1028" s="6">
        <f>T_SALES[[#This Row],[Profit]]/T_SALES[[#This Row],[Amount]]</f>
        <v>0.25365305357811913</v>
      </c>
    </row>
    <row r="1029" spans="1:13" x14ac:dyDescent="0.25">
      <c r="A1029" s="1" t="s">
        <v>1141</v>
      </c>
      <c r="B1029" s="7">
        <v>5338</v>
      </c>
      <c r="C1029" s="8">
        <v>1354</v>
      </c>
      <c r="D1029">
        <v>16</v>
      </c>
      <c r="E1029" s="1" t="s">
        <v>27</v>
      </c>
      <c r="F1029" s="1" t="s">
        <v>49</v>
      </c>
      <c r="G1029" s="1" t="s">
        <v>15</v>
      </c>
      <c r="H1029" s="2">
        <v>45084</v>
      </c>
      <c r="I1029" s="1" t="s">
        <v>1143</v>
      </c>
      <c r="J1029" s="1" t="s">
        <v>23</v>
      </c>
      <c r="K1029" s="1" t="s">
        <v>24</v>
      </c>
      <c r="L1029" s="2">
        <v>45078</v>
      </c>
      <c r="M1029" s="6">
        <f>T_SALES[[#This Row],[Profit]]/T_SALES[[#This Row],[Amount]]</f>
        <v>0.25365305357811913</v>
      </c>
    </row>
    <row r="1030" spans="1:13" x14ac:dyDescent="0.25">
      <c r="A1030" s="1" t="s">
        <v>1141</v>
      </c>
      <c r="B1030" s="7">
        <v>5338</v>
      </c>
      <c r="C1030" s="8">
        <v>1354</v>
      </c>
      <c r="D1030">
        <v>16</v>
      </c>
      <c r="E1030" s="1" t="s">
        <v>27</v>
      </c>
      <c r="F1030" s="1" t="s">
        <v>49</v>
      </c>
      <c r="G1030" s="1" t="s">
        <v>15</v>
      </c>
      <c r="H1030" s="2">
        <v>45586</v>
      </c>
      <c r="I1030" s="1" t="s">
        <v>1144</v>
      </c>
      <c r="J1030" s="1" t="s">
        <v>17</v>
      </c>
      <c r="K1030" s="1" t="s">
        <v>31</v>
      </c>
      <c r="L1030" s="2">
        <v>45566</v>
      </c>
      <c r="M1030" s="6">
        <f>T_SALES[[#This Row],[Profit]]/T_SALES[[#This Row],[Amount]]</f>
        <v>0.25365305357811913</v>
      </c>
    </row>
    <row r="1031" spans="1:13" x14ac:dyDescent="0.25">
      <c r="A1031" s="1" t="s">
        <v>1141</v>
      </c>
      <c r="B1031" s="7">
        <v>5338</v>
      </c>
      <c r="C1031" s="8">
        <v>1354</v>
      </c>
      <c r="D1031">
        <v>16</v>
      </c>
      <c r="E1031" s="1" t="s">
        <v>27</v>
      </c>
      <c r="F1031" s="1" t="s">
        <v>49</v>
      </c>
      <c r="G1031" s="1" t="s">
        <v>15</v>
      </c>
      <c r="H1031" s="2">
        <v>44200</v>
      </c>
      <c r="I1031" s="1" t="s">
        <v>1145</v>
      </c>
      <c r="J1031" s="1" t="s">
        <v>23</v>
      </c>
      <c r="K1031" s="1" t="s">
        <v>24</v>
      </c>
      <c r="L1031" s="2">
        <v>44197</v>
      </c>
      <c r="M1031" s="6">
        <f>T_SALES[[#This Row],[Profit]]/T_SALES[[#This Row],[Amount]]</f>
        <v>0.25365305357811913</v>
      </c>
    </row>
    <row r="1032" spans="1:13" x14ac:dyDescent="0.25">
      <c r="A1032" s="1" t="s">
        <v>1146</v>
      </c>
      <c r="B1032" s="7">
        <v>3095</v>
      </c>
      <c r="C1032" s="8">
        <v>941</v>
      </c>
      <c r="D1032">
        <v>2</v>
      </c>
      <c r="E1032" s="1" t="s">
        <v>27</v>
      </c>
      <c r="F1032" s="1" t="s">
        <v>28</v>
      </c>
      <c r="G1032" s="1" t="s">
        <v>35</v>
      </c>
      <c r="H1032" s="2">
        <v>44670</v>
      </c>
      <c r="I1032" s="1" t="s">
        <v>1147</v>
      </c>
      <c r="J1032" s="1" t="s">
        <v>82</v>
      </c>
      <c r="K1032" s="1" t="s">
        <v>97</v>
      </c>
      <c r="L1032" s="2">
        <v>44652</v>
      </c>
      <c r="M1032" s="6">
        <f>T_SALES[[#This Row],[Profit]]/T_SALES[[#This Row],[Amount]]</f>
        <v>0.30403877221324715</v>
      </c>
    </row>
    <row r="1033" spans="1:13" x14ac:dyDescent="0.25">
      <c r="A1033" s="1" t="s">
        <v>1146</v>
      </c>
      <c r="B1033" s="7">
        <v>3095</v>
      </c>
      <c r="C1033" s="8">
        <v>941</v>
      </c>
      <c r="D1033">
        <v>2</v>
      </c>
      <c r="E1033" s="1" t="s">
        <v>27</v>
      </c>
      <c r="F1033" s="1" t="s">
        <v>28</v>
      </c>
      <c r="G1033" s="1" t="s">
        <v>35</v>
      </c>
      <c r="H1033" s="2">
        <v>44784</v>
      </c>
      <c r="I1033" s="1" t="s">
        <v>1148</v>
      </c>
      <c r="J1033" s="1" t="s">
        <v>62</v>
      </c>
      <c r="K1033" s="1" t="s">
        <v>74</v>
      </c>
      <c r="L1033" s="2">
        <v>44774</v>
      </c>
      <c r="M1033" s="6">
        <f>T_SALES[[#This Row],[Profit]]/T_SALES[[#This Row],[Amount]]</f>
        <v>0.30403877221324715</v>
      </c>
    </row>
    <row r="1034" spans="1:13" x14ac:dyDescent="0.25">
      <c r="A1034" s="1" t="s">
        <v>1149</v>
      </c>
      <c r="B1034" s="7">
        <v>6017</v>
      </c>
      <c r="C1034" s="8">
        <v>2230</v>
      </c>
      <c r="D1034">
        <v>13</v>
      </c>
      <c r="E1034" s="1" t="s">
        <v>13</v>
      </c>
      <c r="F1034" s="1" t="s">
        <v>25</v>
      </c>
      <c r="G1034" s="1" t="s">
        <v>29</v>
      </c>
      <c r="H1034" s="2">
        <v>45142</v>
      </c>
      <c r="I1034" s="1" t="s">
        <v>1150</v>
      </c>
      <c r="J1034" s="1" t="s">
        <v>20</v>
      </c>
      <c r="K1034" s="1" t="s">
        <v>137</v>
      </c>
      <c r="L1034" s="2">
        <v>45139</v>
      </c>
      <c r="M1034" s="6">
        <f>T_SALES[[#This Row],[Profit]]/T_SALES[[#This Row],[Amount]]</f>
        <v>0.37061658633870698</v>
      </c>
    </row>
    <row r="1035" spans="1:13" x14ac:dyDescent="0.25">
      <c r="A1035" s="1" t="s">
        <v>1151</v>
      </c>
      <c r="B1035" s="7">
        <v>4904</v>
      </c>
      <c r="C1035" s="8">
        <v>469</v>
      </c>
      <c r="D1035">
        <v>2</v>
      </c>
      <c r="E1035" s="1" t="s">
        <v>27</v>
      </c>
      <c r="F1035" s="1" t="s">
        <v>28</v>
      </c>
      <c r="G1035" s="1" t="s">
        <v>29</v>
      </c>
      <c r="H1035" s="2">
        <v>43946</v>
      </c>
      <c r="I1035" s="1" t="s">
        <v>1152</v>
      </c>
      <c r="J1035" s="1" t="s">
        <v>62</v>
      </c>
      <c r="K1035" s="1" t="s">
        <v>63</v>
      </c>
      <c r="L1035" s="2">
        <v>43922</v>
      </c>
      <c r="M1035" s="6">
        <f>T_SALES[[#This Row],[Profit]]/T_SALES[[#This Row],[Amount]]</f>
        <v>9.5636215334420877E-2</v>
      </c>
    </row>
    <row r="1036" spans="1:13" x14ac:dyDescent="0.25">
      <c r="A1036" s="1" t="s">
        <v>1151</v>
      </c>
      <c r="B1036" s="7">
        <v>3080</v>
      </c>
      <c r="C1036" s="8">
        <v>737</v>
      </c>
      <c r="D1036">
        <v>6</v>
      </c>
      <c r="E1036" s="1" t="s">
        <v>27</v>
      </c>
      <c r="F1036" s="1" t="s">
        <v>67</v>
      </c>
      <c r="G1036" s="1" t="s">
        <v>15</v>
      </c>
      <c r="H1036" s="2">
        <v>43946</v>
      </c>
      <c r="I1036" s="1" t="s">
        <v>1152</v>
      </c>
      <c r="J1036" s="1" t="s">
        <v>62</v>
      </c>
      <c r="K1036" s="1" t="s">
        <v>63</v>
      </c>
      <c r="L1036" s="2">
        <v>43922</v>
      </c>
      <c r="M1036" s="6">
        <f>T_SALES[[#This Row],[Profit]]/T_SALES[[#This Row],[Amount]]</f>
        <v>0.2392857142857143</v>
      </c>
    </row>
    <row r="1037" spans="1:13" x14ac:dyDescent="0.25">
      <c r="A1037" s="1" t="s">
        <v>1153</v>
      </c>
      <c r="B1037" s="7">
        <v>1992</v>
      </c>
      <c r="C1037" s="8">
        <v>355</v>
      </c>
      <c r="D1037">
        <v>2</v>
      </c>
      <c r="E1037" s="1" t="s">
        <v>13</v>
      </c>
      <c r="F1037" s="1" t="s">
        <v>70</v>
      </c>
      <c r="G1037" s="1" t="s">
        <v>56</v>
      </c>
      <c r="H1037" s="2">
        <v>45640</v>
      </c>
      <c r="I1037" s="1" t="s">
        <v>1154</v>
      </c>
      <c r="J1037" s="1" t="s">
        <v>17</v>
      </c>
      <c r="K1037" s="1" t="s">
        <v>121</v>
      </c>
      <c r="L1037" s="2">
        <v>45627</v>
      </c>
      <c r="M1037" s="6">
        <f>T_SALES[[#This Row],[Profit]]/T_SALES[[#This Row],[Amount]]</f>
        <v>0.17821285140562249</v>
      </c>
    </row>
    <row r="1038" spans="1:13" x14ac:dyDescent="0.25">
      <c r="A1038" s="1" t="s">
        <v>1155</v>
      </c>
      <c r="B1038" s="7">
        <v>5346</v>
      </c>
      <c r="C1038" s="8">
        <v>1246</v>
      </c>
      <c r="D1038">
        <v>17</v>
      </c>
      <c r="E1038" s="1" t="s">
        <v>39</v>
      </c>
      <c r="F1038" s="1" t="s">
        <v>51</v>
      </c>
      <c r="G1038" s="1" t="s">
        <v>35</v>
      </c>
      <c r="H1038" s="2">
        <v>44767</v>
      </c>
      <c r="I1038" s="1" t="s">
        <v>1156</v>
      </c>
      <c r="J1038" s="1" t="s">
        <v>17</v>
      </c>
      <c r="K1038" s="1" t="s">
        <v>31</v>
      </c>
      <c r="L1038" s="2">
        <v>44743</v>
      </c>
      <c r="M1038" s="6">
        <f>T_SALES[[#This Row],[Profit]]/T_SALES[[#This Row],[Amount]]</f>
        <v>0.23307145529367751</v>
      </c>
    </row>
    <row r="1039" spans="1:13" x14ac:dyDescent="0.25">
      <c r="A1039" s="1" t="s">
        <v>1155</v>
      </c>
      <c r="B1039" s="7">
        <v>5346</v>
      </c>
      <c r="C1039" s="8">
        <v>1246</v>
      </c>
      <c r="D1039">
        <v>17</v>
      </c>
      <c r="E1039" s="1" t="s">
        <v>39</v>
      </c>
      <c r="F1039" s="1" t="s">
        <v>51</v>
      </c>
      <c r="G1039" s="1" t="s">
        <v>35</v>
      </c>
      <c r="H1039" s="2">
        <v>44688</v>
      </c>
      <c r="I1039" s="1" t="s">
        <v>1157</v>
      </c>
      <c r="J1039" s="1" t="s">
        <v>17</v>
      </c>
      <c r="K1039" s="1" t="s">
        <v>18</v>
      </c>
      <c r="L1039" s="2">
        <v>44682</v>
      </c>
      <c r="M1039" s="6">
        <f>T_SALES[[#This Row],[Profit]]/T_SALES[[#This Row],[Amount]]</f>
        <v>0.23307145529367751</v>
      </c>
    </row>
    <row r="1040" spans="1:13" x14ac:dyDescent="0.25">
      <c r="A1040" s="1" t="s">
        <v>1158</v>
      </c>
      <c r="B1040" s="7">
        <v>8422</v>
      </c>
      <c r="C1040" s="8">
        <v>893</v>
      </c>
      <c r="D1040">
        <v>18</v>
      </c>
      <c r="E1040" s="1" t="s">
        <v>13</v>
      </c>
      <c r="F1040" s="1" t="s">
        <v>25</v>
      </c>
      <c r="G1040" s="1" t="s">
        <v>29</v>
      </c>
      <c r="H1040" s="2">
        <v>44784</v>
      </c>
      <c r="I1040" s="1" t="s">
        <v>1159</v>
      </c>
      <c r="J1040" s="1" t="s">
        <v>37</v>
      </c>
      <c r="K1040" s="1" t="s">
        <v>78</v>
      </c>
      <c r="L1040" s="2">
        <v>44774</v>
      </c>
      <c r="M1040" s="6">
        <f>T_SALES[[#This Row],[Profit]]/T_SALES[[#This Row],[Amount]]</f>
        <v>0.10603182142009024</v>
      </c>
    </row>
    <row r="1041" spans="1:13" x14ac:dyDescent="0.25">
      <c r="A1041" s="1" t="s">
        <v>1158</v>
      </c>
      <c r="B1041" s="7">
        <v>8422</v>
      </c>
      <c r="C1041" s="8">
        <v>893</v>
      </c>
      <c r="D1041">
        <v>18</v>
      </c>
      <c r="E1041" s="1" t="s">
        <v>13</v>
      </c>
      <c r="F1041" s="1" t="s">
        <v>25</v>
      </c>
      <c r="G1041" s="1" t="s">
        <v>29</v>
      </c>
      <c r="H1041" s="2">
        <v>44785</v>
      </c>
      <c r="I1041" s="1" t="s">
        <v>1160</v>
      </c>
      <c r="J1041" s="1" t="s">
        <v>82</v>
      </c>
      <c r="K1041" s="1" t="s">
        <v>83</v>
      </c>
      <c r="L1041" s="2">
        <v>44774</v>
      </c>
      <c r="M1041" s="6">
        <f>T_SALES[[#This Row],[Profit]]/T_SALES[[#This Row],[Amount]]</f>
        <v>0.10603182142009024</v>
      </c>
    </row>
    <row r="1042" spans="1:13" x14ac:dyDescent="0.25">
      <c r="A1042" s="1" t="s">
        <v>1158</v>
      </c>
      <c r="B1042" s="7">
        <v>6105</v>
      </c>
      <c r="C1042" s="8">
        <v>1447</v>
      </c>
      <c r="D1042">
        <v>8</v>
      </c>
      <c r="E1042" s="1" t="s">
        <v>39</v>
      </c>
      <c r="F1042" s="1" t="s">
        <v>90</v>
      </c>
      <c r="G1042" s="1" t="s">
        <v>41</v>
      </c>
      <c r="H1042" s="2">
        <v>44784</v>
      </c>
      <c r="I1042" s="1" t="s">
        <v>1159</v>
      </c>
      <c r="J1042" s="1" t="s">
        <v>37</v>
      </c>
      <c r="K1042" s="1" t="s">
        <v>78</v>
      </c>
      <c r="L1042" s="2">
        <v>44774</v>
      </c>
      <c r="M1042" s="6">
        <f>T_SALES[[#This Row],[Profit]]/T_SALES[[#This Row],[Amount]]</f>
        <v>0.23701883701883703</v>
      </c>
    </row>
    <row r="1043" spans="1:13" x14ac:dyDescent="0.25">
      <c r="A1043" s="1" t="s">
        <v>1158</v>
      </c>
      <c r="B1043" s="7">
        <v>6105</v>
      </c>
      <c r="C1043" s="8">
        <v>1447</v>
      </c>
      <c r="D1043">
        <v>8</v>
      </c>
      <c r="E1043" s="1" t="s">
        <v>39</v>
      </c>
      <c r="F1043" s="1" t="s">
        <v>90</v>
      </c>
      <c r="G1043" s="1" t="s">
        <v>41</v>
      </c>
      <c r="H1043" s="2">
        <v>44785</v>
      </c>
      <c r="I1043" s="1" t="s">
        <v>1160</v>
      </c>
      <c r="J1043" s="1" t="s">
        <v>82</v>
      </c>
      <c r="K1043" s="1" t="s">
        <v>83</v>
      </c>
      <c r="L1043" s="2">
        <v>44774</v>
      </c>
      <c r="M1043" s="6">
        <f>T_SALES[[#This Row],[Profit]]/T_SALES[[#This Row],[Amount]]</f>
        <v>0.23701883701883703</v>
      </c>
    </row>
    <row r="1044" spans="1:13" x14ac:dyDescent="0.25">
      <c r="A1044" s="1" t="s">
        <v>1161</v>
      </c>
      <c r="B1044" s="7">
        <v>670</v>
      </c>
      <c r="C1044" s="8">
        <v>85</v>
      </c>
      <c r="D1044">
        <v>9</v>
      </c>
      <c r="E1044" s="1" t="s">
        <v>27</v>
      </c>
      <c r="F1044" s="1" t="s">
        <v>28</v>
      </c>
      <c r="G1044" s="1" t="s">
        <v>35</v>
      </c>
      <c r="H1044" s="2">
        <v>45159</v>
      </c>
      <c r="I1044" s="1" t="s">
        <v>1162</v>
      </c>
      <c r="J1044" s="1" t="s">
        <v>62</v>
      </c>
      <c r="K1044" s="1" t="s">
        <v>111</v>
      </c>
      <c r="L1044" s="2">
        <v>45139</v>
      </c>
      <c r="M1044" s="6">
        <f>T_SALES[[#This Row],[Profit]]/T_SALES[[#This Row],[Amount]]</f>
        <v>0.12686567164179105</v>
      </c>
    </row>
    <row r="1045" spans="1:13" x14ac:dyDescent="0.25">
      <c r="A1045" s="1" t="s">
        <v>1163</v>
      </c>
      <c r="B1045" s="7">
        <v>4057</v>
      </c>
      <c r="C1045" s="8">
        <v>1012</v>
      </c>
      <c r="D1045">
        <v>6</v>
      </c>
      <c r="E1045" s="1" t="s">
        <v>13</v>
      </c>
      <c r="F1045" s="1" t="s">
        <v>34</v>
      </c>
      <c r="G1045" s="1" t="s">
        <v>41</v>
      </c>
      <c r="H1045" s="2">
        <v>44816</v>
      </c>
      <c r="I1045" s="1" t="s">
        <v>1164</v>
      </c>
      <c r="J1045" s="1" t="s">
        <v>37</v>
      </c>
      <c r="K1045" s="1" t="s">
        <v>65</v>
      </c>
      <c r="L1045" s="2">
        <v>44805</v>
      </c>
      <c r="M1045" s="6">
        <f>T_SALES[[#This Row],[Profit]]/T_SALES[[#This Row],[Amount]]</f>
        <v>0.24944540300714813</v>
      </c>
    </row>
    <row r="1046" spans="1:13" x14ac:dyDescent="0.25">
      <c r="A1046" s="1" t="s">
        <v>1165</v>
      </c>
      <c r="B1046" s="7">
        <v>8178</v>
      </c>
      <c r="C1046" s="8">
        <v>2462</v>
      </c>
      <c r="D1046">
        <v>10</v>
      </c>
      <c r="E1046" s="1" t="s">
        <v>27</v>
      </c>
      <c r="F1046" s="1" t="s">
        <v>28</v>
      </c>
      <c r="G1046" s="1" t="s">
        <v>15</v>
      </c>
      <c r="H1046" s="2">
        <v>45158</v>
      </c>
      <c r="I1046" s="1" t="s">
        <v>1166</v>
      </c>
      <c r="J1046" s="1" t="s">
        <v>37</v>
      </c>
      <c r="K1046" s="1" t="s">
        <v>38</v>
      </c>
      <c r="L1046" s="2">
        <v>45139</v>
      </c>
      <c r="M1046" s="6">
        <f>T_SALES[[#This Row],[Profit]]/T_SALES[[#This Row],[Amount]]</f>
        <v>0.30105160185864516</v>
      </c>
    </row>
    <row r="1047" spans="1:13" x14ac:dyDescent="0.25">
      <c r="A1047" s="1" t="s">
        <v>1167</v>
      </c>
      <c r="B1047" s="7">
        <v>8752</v>
      </c>
      <c r="C1047" s="8">
        <v>1686</v>
      </c>
      <c r="D1047">
        <v>9</v>
      </c>
      <c r="E1047" s="1" t="s">
        <v>39</v>
      </c>
      <c r="F1047" s="1" t="s">
        <v>40</v>
      </c>
      <c r="G1047" s="1" t="s">
        <v>29</v>
      </c>
      <c r="H1047" s="2">
        <v>44192</v>
      </c>
      <c r="I1047" s="1" t="s">
        <v>1168</v>
      </c>
      <c r="J1047" s="1" t="s">
        <v>82</v>
      </c>
      <c r="K1047" s="1" t="s">
        <v>89</v>
      </c>
      <c r="L1047" s="2">
        <v>44166</v>
      </c>
      <c r="M1047" s="6">
        <f>T_SALES[[#This Row],[Profit]]/T_SALES[[#This Row],[Amount]]</f>
        <v>0.1926416819012797</v>
      </c>
    </row>
    <row r="1048" spans="1:13" x14ac:dyDescent="0.25">
      <c r="A1048" s="1" t="s">
        <v>1167</v>
      </c>
      <c r="B1048" s="7">
        <v>8752</v>
      </c>
      <c r="C1048" s="8">
        <v>1686</v>
      </c>
      <c r="D1048">
        <v>9</v>
      </c>
      <c r="E1048" s="1" t="s">
        <v>39</v>
      </c>
      <c r="F1048" s="1" t="s">
        <v>40</v>
      </c>
      <c r="G1048" s="1" t="s">
        <v>29</v>
      </c>
      <c r="H1048" s="2">
        <v>45173</v>
      </c>
      <c r="I1048" s="1" t="s">
        <v>1169</v>
      </c>
      <c r="J1048" s="1" t="s">
        <v>20</v>
      </c>
      <c r="K1048" s="1" t="s">
        <v>137</v>
      </c>
      <c r="L1048" s="2">
        <v>45170</v>
      </c>
      <c r="M1048" s="6">
        <f>T_SALES[[#This Row],[Profit]]/T_SALES[[#This Row],[Amount]]</f>
        <v>0.1926416819012797</v>
      </c>
    </row>
    <row r="1049" spans="1:13" x14ac:dyDescent="0.25">
      <c r="A1049" s="1" t="s">
        <v>1167</v>
      </c>
      <c r="B1049" s="7">
        <v>8752</v>
      </c>
      <c r="C1049" s="8">
        <v>1686</v>
      </c>
      <c r="D1049">
        <v>9</v>
      </c>
      <c r="E1049" s="1" t="s">
        <v>39</v>
      </c>
      <c r="F1049" s="1" t="s">
        <v>40</v>
      </c>
      <c r="G1049" s="1" t="s">
        <v>29</v>
      </c>
      <c r="H1049" s="2">
        <v>44569</v>
      </c>
      <c r="I1049" s="1" t="s">
        <v>1170</v>
      </c>
      <c r="J1049" s="1" t="s">
        <v>20</v>
      </c>
      <c r="K1049" s="1" t="s">
        <v>21</v>
      </c>
      <c r="L1049" s="2">
        <v>44562</v>
      </c>
      <c r="M1049" s="6">
        <f>T_SALES[[#This Row],[Profit]]/T_SALES[[#This Row],[Amount]]</f>
        <v>0.1926416819012797</v>
      </c>
    </row>
    <row r="1050" spans="1:13" x14ac:dyDescent="0.25">
      <c r="A1050" s="1" t="s">
        <v>1171</v>
      </c>
      <c r="B1050" s="7">
        <v>8974</v>
      </c>
      <c r="C1050" s="8">
        <v>4441</v>
      </c>
      <c r="D1050">
        <v>16</v>
      </c>
      <c r="E1050" s="1" t="s">
        <v>13</v>
      </c>
      <c r="F1050" s="1" t="s">
        <v>25</v>
      </c>
      <c r="G1050" s="1" t="s">
        <v>35</v>
      </c>
      <c r="H1050" s="2">
        <v>45082</v>
      </c>
      <c r="I1050" s="1" t="s">
        <v>1172</v>
      </c>
      <c r="J1050" s="1" t="s">
        <v>23</v>
      </c>
      <c r="K1050" s="1" t="s">
        <v>45</v>
      </c>
      <c r="L1050" s="2">
        <v>45078</v>
      </c>
      <c r="M1050" s="6">
        <f>T_SALES[[#This Row],[Profit]]/T_SALES[[#This Row],[Amount]]</f>
        <v>0.49487408067751282</v>
      </c>
    </row>
    <row r="1051" spans="1:13" x14ac:dyDescent="0.25">
      <c r="A1051" s="1" t="s">
        <v>1173</v>
      </c>
      <c r="B1051" s="7">
        <v>9090</v>
      </c>
      <c r="C1051" s="8">
        <v>3098</v>
      </c>
      <c r="D1051">
        <v>16</v>
      </c>
      <c r="E1051" s="1" t="s">
        <v>13</v>
      </c>
      <c r="F1051" s="1" t="s">
        <v>70</v>
      </c>
      <c r="G1051" s="1" t="s">
        <v>41</v>
      </c>
      <c r="H1051" s="2">
        <v>44287</v>
      </c>
      <c r="I1051" s="1" t="s">
        <v>1174</v>
      </c>
      <c r="J1051" s="1" t="s">
        <v>62</v>
      </c>
      <c r="K1051" s="1" t="s">
        <v>63</v>
      </c>
      <c r="L1051" s="2">
        <v>44287</v>
      </c>
      <c r="M1051" s="6">
        <f>T_SALES[[#This Row],[Profit]]/T_SALES[[#This Row],[Amount]]</f>
        <v>0.34081408140814079</v>
      </c>
    </row>
    <row r="1052" spans="1:13" x14ac:dyDescent="0.25">
      <c r="A1052" s="1" t="s">
        <v>1173</v>
      </c>
      <c r="B1052" s="7">
        <v>9090</v>
      </c>
      <c r="C1052" s="8">
        <v>3098</v>
      </c>
      <c r="D1052">
        <v>16</v>
      </c>
      <c r="E1052" s="1" t="s">
        <v>13</v>
      </c>
      <c r="F1052" s="1" t="s">
        <v>70</v>
      </c>
      <c r="G1052" s="1" t="s">
        <v>41</v>
      </c>
      <c r="H1052" s="2">
        <v>45440</v>
      </c>
      <c r="I1052" s="1" t="s">
        <v>1175</v>
      </c>
      <c r="J1052" s="1" t="s">
        <v>20</v>
      </c>
      <c r="K1052" s="1" t="s">
        <v>54</v>
      </c>
      <c r="L1052" s="2">
        <v>45413</v>
      </c>
      <c r="M1052" s="6">
        <f>T_SALES[[#This Row],[Profit]]/T_SALES[[#This Row],[Amount]]</f>
        <v>0.34081408140814079</v>
      </c>
    </row>
    <row r="1053" spans="1:13" x14ac:dyDescent="0.25">
      <c r="A1053" s="1" t="s">
        <v>1173</v>
      </c>
      <c r="B1053" s="7">
        <v>851</v>
      </c>
      <c r="C1053" s="8">
        <v>356</v>
      </c>
      <c r="D1053">
        <v>11</v>
      </c>
      <c r="E1053" s="1" t="s">
        <v>13</v>
      </c>
      <c r="F1053" s="1" t="s">
        <v>14</v>
      </c>
      <c r="G1053" s="1" t="s">
        <v>41</v>
      </c>
      <c r="H1053" s="2">
        <v>44287</v>
      </c>
      <c r="I1053" s="1" t="s">
        <v>1174</v>
      </c>
      <c r="J1053" s="1" t="s">
        <v>62</v>
      </c>
      <c r="K1053" s="1" t="s">
        <v>63</v>
      </c>
      <c r="L1053" s="2">
        <v>44287</v>
      </c>
      <c r="M1053" s="6">
        <f>T_SALES[[#This Row],[Profit]]/T_SALES[[#This Row],[Amount]]</f>
        <v>0.418331374853114</v>
      </c>
    </row>
    <row r="1054" spans="1:13" x14ac:dyDescent="0.25">
      <c r="A1054" s="1" t="s">
        <v>1173</v>
      </c>
      <c r="B1054" s="7">
        <v>851</v>
      </c>
      <c r="C1054" s="8">
        <v>356</v>
      </c>
      <c r="D1054">
        <v>11</v>
      </c>
      <c r="E1054" s="1" t="s">
        <v>13</v>
      </c>
      <c r="F1054" s="1" t="s">
        <v>14</v>
      </c>
      <c r="G1054" s="1" t="s">
        <v>41</v>
      </c>
      <c r="H1054" s="2">
        <v>45440</v>
      </c>
      <c r="I1054" s="1" t="s">
        <v>1175</v>
      </c>
      <c r="J1054" s="1" t="s">
        <v>20</v>
      </c>
      <c r="K1054" s="1" t="s">
        <v>54</v>
      </c>
      <c r="L1054" s="2">
        <v>45413</v>
      </c>
      <c r="M1054" s="6">
        <f>T_SALES[[#This Row],[Profit]]/T_SALES[[#This Row],[Amount]]</f>
        <v>0.418331374853114</v>
      </c>
    </row>
    <row r="1055" spans="1:13" x14ac:dyDescent="0.25">
      <c r="A1055" s="1" t="s">
        <v>1176</v>
      </c>
      <c r="B1055" s="7">
        <v>5427</v>
      </c>
      <c r="C1055" s="8">
        <v>728</v>
      </c>
      <c r="D1055">
        <v>3</v>
      </c>
      <c r="E1055" s="1" t="s">
        <v>13</v>
      </c>
      <c r="F1055" s="1" t="s">
        <v>70</v>
      </c>
      <c r="G1055" s="1" t="s">
        <v>15</v>
      </c>
      <c r="H1055" s="2">
        <v>44994</v>
      </c>
      <c r="I1055" s="1" t="s">
        <v>1177</v>
      </c>
      <c r="J1055" s="1" t="s">
        <v>17</v>
      </c>
      <c r="K1055" s="1" t="s">
        <v>18</v>
      </c>
      <c r="L1055" s="2">
        <v>44986</v>
      </c>
      <c r="M1055" s="6">
        <f>T_SALES[[#This Row],[Profit]]/T_SALES[[#This Row],[Amount]]</f>
        <v>0.13414409434309932</v>
      </c>
    </row>
    <row r="1056" spans="1:13" x14ac:dyDescent="0.25">
      <c r="A1056" s="1" t="s">
        <v>1178</v>
      </c>
      <c r="B1056" s="7">
        <v>2695</v>
      </c>
      <c r="C1056" s="8">
        <v>914</v>
      </c>
      <c r="D1056">
        <v>15</v>
      </c>
      <c r="E1056" s="1" t="s">
        <v>39</v>
      </c>
      <c r="F1056" s="1" t="s">
        <v>90</v>
      </c>
      <c r="G1056" s="1" t="s">
        <v>29</v>
      </c>
      <c r="H1056" s="2">
        <v>44770</v>
      </c>
      <c r="I1056" s="1" t="s">
        <v>1179</v>
      </c>
      <c r="J1056" s="1" t="s">
        <v>20</v>
      </c>
      <c r="K1056" s="1" t="s">
        <v>137</v>
      </c>
      <c r="L1056" s="2">
        <v>44743</v>
      </c>
      <c r="M1056" s="6">
        <f>T_SALES[[#This Row],[Profit]]/T_SALES[[#This Row],[Amount]]</f>
        <v>0.33914656771799628</v>
      </c>
    </row>
    <row r="1057" spans="1:13" x14ac:dyDescent="0.25">
      <c r="A1057" s="1" t="s">
        <v>1178</v>
      </c>
      <c r="B1057" s="7">
        <v>2695</v>
      </c>
      <c r="C1057" s="8">
        <v>914</v>
      </c>
      <c r="D1057">
        <v>15</v>
      </c>
      <c r="E1057" s="1" t="s">
        <v>39</v>
      </c>
      <c r="F1057" s="1" t="s">
        <v>90</v>
      </c>
      <c r="G1057" s="1" t="s">
        <v>29</v>
      </c>
      <c r="H1057" s="2">
        <v>44364</v>
      </c>
      <c r="I1057" s="1" t="s">
        <v>1180</v>
      </c>
      <c r="J1057" s="1" t="s">
        <v>37</v>
      </c>
      <c r="K1057" s="1" t="s">
        <v>38</v>
      </c>
      <c r="L1057" s="2">
        <v>44348</v>
      </c>
      <c r="M1057" s="6">
        <f>T_SALES[[#This Row],[Profit]]/T_SALES[[#This Row],[Amount]]</f>
        <v>0.33914656771799628</v>
      </c>
    </row>
    <row r="1058" spans="1:13" x14ac:dyDescent="0.25">
      <c r="A1058" s="1" t="s">
        <v>1181</v>
      </c>
      <c r="B1058" s="7">
        <v>2386</v>
      </c>
      <c r="C1058" s="8">
        <v>999</v>
      </c>
      <c r="D1058">
        <v>3</v>
      </c>
      <c r="E1058" s="1" t="s">
        <v>27</v>
      </c>
      <c r="F1058" s="1" t="s">
        <v>28</v>
      </c>
      <c r="G1058" s="1" t="s">
        <v>56</v>
      </c>
      <c r="H1058" s="2">
        <v>45335</v>
      </c>
      <c r="I1058" s="1" t="s">
        <v>1182</v>
      </c>
      <c r="J1058" s="1" t="s">
        <v>17</v>
      </c>
      <c r="K1058" s="1" t="s">
        <v>18</v>
      </c>
      <c r="L1058" s="2">
        <v>45323</v>
      </c>
      <c r="M1058" s="6">
        <f>T_SALES[[#This Row],[Profit]]/T_SALES[[#This Row],[Amount]]</f>
        <v>0.41869237217099747</v>
      </c>
    </row>
    <row r="1059" spans="1:13" x14ac:dyDescent="0.25">
      <c r="A1059" s="1" t="s">
        <v>1183</v>
      </c>
      <c r="B1059" s="7">
        <v>2284</v>
      </c>
      <c r="C1059" s="8">
        <v>149</v>
      </c>
      <c r="D1059">
        <v>20</v>
      </c>
      <c r="E1059" s="1" t="s">
        <v>27</v>
      </c>
      <c r="F1059" s="1" t="s">
        <v>28</v>
      </c>
      <c r="G1059" s="1" t="s">
        <v>29</v>
      </c>
      <c r="H1059" s="2">
        <v>44414</v>
      </c>
      <c r="I1059" s="1" t="s">
        <v>1184</v>
      </c>
      <c r="J1059" s="1" t="s">
        <v>23</v>
      </c>
      <c r="K1059" s="1" t="s">
        <v>59</v>
      </c>
      <c r="L1059" s="2">
        <v>44409</v>
      </c>
      <c r="M1059" s="6">
        <f>T_SALES[[#This Row],[Profit]]/T_SALES[[#This Row],[Amount]]</f>
        <v>6.523642732049037E-2</v>
      </c>
    </row>
    <row r="1060" spans="1:13" x14ac:dyDescent="0.25">
      <c r="A1060" s="1" t="s">
        <v>1185</v>
      </c>
      <c r="B1060" s="7">
        <v>6034</v>
      </c>
      <c r="C1060" s="8">
        <v>608</v>
      </c>
      <c r="D1060">
        <v>8</v>
      </c>
      <c r="E1060" s="1" t="s">
        <v>13</v>
      </c>
      <c r="F1060" s="1" t="s">
        <v>70</v>
      </c>
      <c r="G1060" s="1" t="s">
        <v>35</v>
      </c>
      <c r="H1060" s="2">
        <v>44682</v>
      </c>
      <c r="I1060" s="1" t="s">
        <v>1186</v>
      </c>
      <c r="J1060" s="1" t="s">
        <v>62</v>
      </c>
      <c r="K1060" s="1" t="s">
        <v>111</v>
      </c>
      <c r="L1060" s="2">
        <v>44682</v>
      </c>
      <c r="M1060" s="6">
        <f>T_SALES[[#This Row],[Profit]]/T_SALES[[#This Row],[Amount]]</f>
        <v>0.10076234670202187</v>
      </c>
    </row>
    <row r="1061" spans="1:13" x14ac:dyDescent="0.25">
      <c r="A1061" s="1" t="s">
        <v>1185</v>
      </c>
      <c r="B1061" s="7">
        <v>8956</v>
      </c>
      <c r="C1061" s="8">
        <v>3359</v>
      </c>
      <c r="D1061">
        <v>13</v>
      </c>
      <c r="E1061" s="1" t="s">
        <v>39</v>
      </c>
      <c r="F1061" s="1" t="s">
        <v>90</v>
      </c>
      <c r="G1061" s="1" t="s">
        <v>41</v>
      </c>
      <c r="H1061" s="2">
        <v>44682</v>
      </c>
      <c r="I1061" s="1" t="s">
        <v>1186</v>
      </c>
      <c r="J1061" s="1" t="s">
        <v>62</v>
      </c>
      <c r="K1061" s="1" t="s">
        <v>111</v>
      </c>
      <c r="L1061" s="2">
        <v>44682</v>
      </c>
      <c r="M1061" s="6">
        <f>T_SALES[[#This Row],[Profit]]/T_SALES[[#This Row],[Amount]]</f>
        <v>0.3750558284948638</v>
      </c>
    </row>
    <row r="1062" spans="1:13" x14ac:dyDescent="0.25">
      <c r="A1062" s="1" t="s">
        <v>1187</v>
      </c>
      <c r="B1062" s="7">
        <v>7122</v>
      </c>
      <c r="C1062" s="8">
        <v>1982</v>
      </c>
      <c r="D1062">
        <v>7</v>
      </c>
      <c r="E1062" s="1" t="s">
        <v>27</v>
      </c>
      <c r="F1062" s="1" t="s">
        <v>49</v>
      </c>
      <c r="G1062" s="1" t="s">
        <v>35</v>
      </c>
      <c r="H1062" s="2">
        <v>45362</v>
      </c>
      <c r="I1062" s="1" t="s">
        <v>1188</v>
      </c>
      <c r="J1062" s="1" t="s">
        <v>20</v>
      </c>
      <c r="K1062" s="1" t="s">
        <v>137</v>
      </c>
      <c r="L1062" s="2">
        <v>45352</v>
      </c>
      <c r="M1062" s="6">
        <f>T_SALES[[#This Row],[Profit]]/T_SALES[[#This Row],[Amount]]</f>
        <v>0.27829261443414771</v>
      </c>
    </row>
    <row r="1063" spans="1:13" x14ac:dyDescent="0.25">
      <c r="A1063" s="1" t="s">
        <v>1189</v>
      </c>
      <c r="B1063" s="7">
        <v>9775</v>
      </c>
      <c r="C1063" s="8">
        <v>4507</v>
      </c>
      <c r="D1063">
        <v>5</v>
      </c>
      <c r="E1063" s="1" t="s">
        <v>27</v>
      </c>
      <c r="F1063" s="1" t="s">
        <v>49</v>
      </c>
      <c r="G1063" s="1" t="s">
        <v>15</v>
      </c>
      <c r="H1063" s="2">
        <v>44018</v>
      </c>
      <c r="I1063" s="1" t="s">
        <v>1190</v>
      </c>
      <c r="J1063" s="1" t="s">
        <v>82</v>
      </c>
      <c r="K1063" s="1" t="s">
        <v>89</v>
      </c>
      <c r="L1063" s="2">
        <v>44013</v>
      </c>
      <c r="M1063" s="6">
        <f>T_SALES[[#This Row],[Profit]]/T_SALES[[#This Row],[Amount]]</f>
        <v>0.46107416879795399</v>
      </c>
    </row>
    <row r="1064" spans="1:13" x14ac:dyDescent="0.25">
      <c r="A1064" s="1" t="s">
        <v>1191</v>
      </c>
      <c r="B1064" s="7">
        <v>3309</v>
      </c>
      <c r="C1064" s="8">
        <v>177</v>
      </c>
      <c r="D1064">
        <v>13</v>
      </c>
      <c r="E1064" s="1" t="s">
        <v>39</v>
      </c>
      <c r="F1064" s="1" t="s">
        <v>90</v>
      </c>
      <c r="G1064" s="1" t="s">
        <v>35</v>
      </c>
      <c r="H1064" s="2">
        <v>44182</v>
      </c>
      <c r="I1064" s="1" t="s">
        <v>1192</v>
      </c>
      <c r="J1064" s="1" t="s">
        <v>82</v>
      </c>
      <c r="K1064" s="1" t="s">
        <v>97</v>
      </c>
      <c r="L1064" s="2">
        <v>44166</v>
      </c>
      <c r="M1064" s="6">
        <f>T_SALES[[#This Row],[Profit]]/T_SALES[[#This Row],[Amount]]</f>
        <v>5.3490480507706259E-2</v>
      </c>
    </row>
    <row r="1065" spans="1:13" x14ac:dyDescent="0.25">
      <c r="A1065" s="1" t="s">
        <v>1193</v>
      </c>
      <c r="B1065" s="7">
        <v>4163</v>
      </c>
      <c r="C1065" s="8">
        <v>897</v>
      </c>
      <c r="D1065">
        <v>14</v>
      </c>
      <c r="E1065" s="1" t="s">
        <v>13</v>
      </c>
      <c r="F1065" s="1" t="s">
        <v>14</v>
      </c>
      <c r="G1065" s="1" t="s">
        <v>56</v>
      </c>
      <c r="H1065" s="2">
        <v>44803</v>
      </c>
      <c r="I1065" s="1" t="s">
        <v>1194</v>
      </c>
      <c r="J1065" s="1" t="s">
        <v>20</v>
      </c>
      <c r="K1065" s="1" t="s">
        <v>54</v>
      </c>
      <c r="L1065" s="2">
        <v>44774</v>
      </c>
      <c r="M1065" s="6">
        <f>T_SALES[[#This Row],[Profit]]/T_SALES[[#This Row],[Amount]]</f>
        <v>0.21546961325966851</v>
      </c>
    </row>
    <row r="1066" spans="1:13" x14ac:dyDescent="0.25">
      <c r="A1066" s="1" t="s">
        <v>1193</v>
      </c>
      <c r="B1066" s="7">
        <v>4163</v>
      </c>
      <c r="C1066" s="8">
        <v>897</v>
      </c>
      <c r="D1066">
        <v>14</v>
      </c>
      <c r="E1066" s="1" t="s">
        <v>13</v>
      </c>
      <c r="F1066" s="1" t="s">
        <v>14</v>
      </c>
      <c r="G1066" s="1" t="s">
        <v>56</v>
      </c>
      <c r="H1066" s="2">
        <v>45715</v>
      </c>
      <c r="I1066" s="1" t="s">
        <v>1195</v>
      </c>
      <c r="J1066" s="1" t="s">
        <v>82</v>
      </c>
      <c r="K1066" s="1" t="s">
        <v>97</v>
      </c>
      <c r="L1066" s="2">
        <v>45689</v>
      </c>
      <c r="M1066" s="6">
        <f>T_SALES[[#This Row],[Profit]]/T_SALES[[#This Row],[Amount]]</f>
        <v>0.21546961325966851</v>
      </c>
    </row>
    <row r="1067" spans="1:13" x14ac:dyDescent="0.25">
      <c r="A1067" s="1" t="s">
        <v>1193</v>
      </c>
      <c r="B1067" s="7">
        <v>4163</v>
      </c>
      <c r="C1067" s="8">
        <v>897</v>
      </c>
      <c r="D1067">
        <v>14</v>
      </c>
      <c r="E1067" s="1" t="s">
        <v>13</v>
      </c>
      <c r="F1067" s="1" t="s">
        <v>14</v>
      </c>
      <c r="G1067" s="1" t="s">
        <v>56</v>
      </c>
      <c r="H1067" s="2">
        <v>44352</v>
      </c>
      <c r="I1067" s="1" t="s">
        <v>1196</v>
      </c>
      <c r="J1067" s="1" t="s">
        <v>17</v>
      </c>
      <c r="K1067" s="1" t="s">
        <v>31</v>
      </c>
      <c r="L1067" s="2">
        <v>44348</v>
      </c>
      <c r="M1067" s="6">
        <f>T_SALES[[#This Row],[Profit]]/T_SALES[[#This Row],[Amount]]</f>
        <v>0.21546961325966851</v>
      </c>
    </row>
    <row r="1068" spans="1:13" x14ac:dyDescent="0.25">
      <c r="A1068" s="1" t="s">
        <v>1197</v>
      </c>
      <c r="B1068" s="7">
        <v>5518</v>
      </c>
      <c r="C1068" s="8">
        <v>867</v>
      </c>
      <c r="D1068">
        <v>7</v>
      </c>
      <c r="E1068" s="1" t="s">
        <v>39</v>
      </c>
      <c r="F1068" s="1" t="s">
        <v>51</v>
      </c>
      <c r="G1068" s="1" t="s">
        <v>15</v>
      </c>
      <c r="H1068" s="2">
        <v>44917</v>
      </c>
      <c r="I1068" s="1" t="s">
        <v>1198</v>
      </c>
      <c r="J1068" s="1" t="s">
        <v>62</v>
      </c>
      <c r="K1068" s="1" t="s">
        <v>111</v>
      </c>
      <c r="L1068" s="2">
        <v>44896</v>
      </c>
      <c r="M1068" s="6">
        <f>T_SALES[[#This Row],[Profit]]/T_SALES[[#This Row],[Amount]]</f>
        <v>0.15712214570496558</v>
      </c>
    </row>
    <row r="1069" spans="1:13" x14ac:dyDescent="0.25">
      <c r="A1069" s="1" t="s">
        <v>1199</v>
      </c>
      <c r="B1069" s="7">
        <v>7566</v>
      </c>
      <c r="C1069" s="8">
        <v>606</v>
      </c>
      <c r="D1069">
        <v>6</v>
      </c>
      <c r="E1069" s="1" t="s">
        <v>13</v>
      </c>
      <c r="F1069" s="1" t="s">
        <v>70</v>
      </c>
      <c r="G1069" s="1" t="s">
        <v>29</v>
      </c>
      <c r="H1069" s="2">
        <v>45682</v>
      </c>
      <c r="I1069" s="1" t="s">
        <v>1200</v>
      </c>
      <c r="J1069" s="1" t="s">
        <v>82</v>
      </c>
      <c r="K1069" s="1" t="s">
        <v>83</v>
      </c>
      <c r="L1069" s="2">
        <v>45658</v>
      </c>
      <c r="M1069" s="6">
        <f>T_SALES[[#This Row],[Profit]]/T_SALES[[#This Row],[Amount]]</f>
        <v>8.009516256938938E-2</v>
      </c>
    </row>
    <row r="1070" spans="1:13" x14ac:dyDescent="0.25">
      <c r="A1070" s="1" t="s">
        <v>1199</v>
      </c>
      <c r="B1070" s="7">
        <v>7566</v>
      </c>
      <c r="C1070" s="8">
        <v>606</v>
      </c>
      <c r="D1070">
        <v>6</v>
      </c>
      <c r="E1070" s="1" t="s">
        <v>13</v>
      </c>
      <c r="F1070" s="1" t="s">
        <v>70</v>
      </c>
      <c r="G1070" s="1" t="s">
        <v>29</v>
      </c>
      <c r="H1070" s="2">
        <v>45702</v>
      </c>
      <c r="I1070" s="1" t="s">
        <v>1201</v>
      </c>
      <c r="J1070" s="1" t="s">
        <v>37</v>
      </c>
      <c r="K1070" s="1" t="s">
        <v>65</v>
      </c>
      <c r="L1070" s="2">
        <v>45689</v>
      </c>
      <c r="M1070" s="6">
        <f>T_SALES[[#This Row],[Profit]]/T_SALES[[#This Row],[Amount]]</f>
        <v>8.009516256938938E-2</v>
      </c>
    </row>
    <row r="1071" spans="1:13" x14ac:dyDescent="0.25">
      <c r="A1071" s="1" t="s">
        <v>1202</v>
      </c>
      <c r="B1071" s="7">
        <v>762</v>
      </c>
      <c r="C1071" s="8">
        <v>92</v>
      </c>
      <c r="D1071">
        <v>11</v>
      </c>
      <c r="E1071" s="1" t="s">
        <v>13</v>
      </c>
      <c r="F1071" s="1" t="s">
        <v>25</v>
      </c>
      <c r="G1071" s="1" t="s">
        <v>56</v>
      </c>
      <c r="H1071" s="2">
        <v>44932</v>
      </c>
      <c r="I1071" s="1" t="s">
        <v>1203</v>
      </c>
      <c r="J1071" s="1" t="s">
        <v>20</v>
      </c>
      <c r="K1071" s="1" t="s">
        <v>54</v>
      </c>
      <c r="L1071" s="2">
        <v>44927</v>
      </c>
      <c r="M1071" s="6">
        <f>T_SALES[[#This Row],[Profit]]/T_SALES[[#This Row],[Amount]]</f>
        <v>0.12073490813648294</v>
      </c>
    </row>
    <row r="1072" spans="1:13" x14ac:dyDescent="0.25">
      <c r="A1072" s="1" t="s">
        <v>1204</v>
      </c>
      <c r="B1072" s="7">
        <v>3316</v>
      </c>
      <c r="C1072" s="8">
        <v>126</v>
      </c>
      <c r="D1072">
        <v>6</v>
      </c>
      <c r="E1072" s="1" t="s">
        <v>13</v>
      </c>
      <c r="F1072" s="1" t="s">
        <v>34</v>
      </c>
      <c r="G1072" s="1" t="s">
        <v>56</v>
      </c>
      <c r="H1072" s="2">
        <v>44115</v>
      </c>
      <c r="I1072" s="1" t="s">
        <v>1205</v>
      </c>
      <c r="J1072" s="1" t="s">
        <v>82</v>
      </c>
      <c r="K1072" s="1" t="s">
        <v>89</v>
      </c>
      <c r="L1072" s="2">
        <v>44105</v>
      </c>
      <c r="M1072" s="6">
        <f>T_SALES[[#This Row],[Profit]]/T_SALES[[#This Row],[Amount]]</f>
        <v>3.7997587454764774E-2</v>
      </c>
    </row>
    <row r="1073" spans="1:13" x14ac:dyDescent="0.25">
      <c r="A1073" s="1" t="s">
        <v>1206</v>
      </c>
      <c r="B1073" s="7">
        <v>5994</v>
      </c>
      <c r="C1073" s="8">
        <v>2826</v>
      </c>
      <c r="D1073">
        <v>9</v>
      </c>
      <c r="E1073" s="1" t="s">
        <v>39</v>
      </c>
      <c r="F1073" s="1" t="s">
        <v>90</v>
      </c>
      <c r="G1073" s="1" t="s">
        <v>35</v>
      </c>
      <c r="H1073" s="2">
        <v>45070</v>
      </c>
      <c r="I1073" s="1" t="s">
        <v>1207</v>
      </c>
      <c r="J1073" s="1" t="s">
        <v>37</v>
      </c>
      <c r="K1073" s="1" t="s">
        <v>78</v>
      </c>
      <c r="L1073" s="2">
        <v>45047</v>
      </c>
      <c r="M1073" s="6">
        <f>T_SALES[[#This Row],[Profit]]/T_SALES[[#This Row],[Amount]]</f>
        <v>0.47147147147147145</v>
      </c>
    </row>
    <row r="1074" spans="1:13" x14ac:dyDescent="0.25">
      <c r="A1074" s="1" t="s">
        <v>1206</v>
      </c>
      <c r="B1074" s="7">
        <v>5994</v>
      </c>
      <c r="C1074" s="8">
        <v>2826</v>
      </c>
      <c r="D1074">
        <v>9</v>
      </c>
      <c r="E1074" s="1" t="s">
        <v>39</v>
      </c>
      <c r="F1074" s="1" t="s">
        <v>90</v>
      </c>
      <c r="G1074" s="1" t="s">
        <v>35</v>
      </c>
      <c r="H1074" s="2">
        <v>45363</v>
      </c>
      <c r="I1074" s="1" t="s">
        <v>1208</v>
      </c>
      <c r="J1074" s="1" t="s">
        <v>37</v>
      </c>
      <c r="K1074" s="1" t="s">
        <v>38</v>
      </c>
      <c r="L1074" s="2">
        <v>45352</v>
      </c>
      <c r="M1074" s="6">
        <f>T_SALES[[#This Row],[Profit]]/T_SALES[[#This Row],[Amount]]</f>
        <v>0.47147147147147145</v>
      </c>
    </row>
    <row r="1075" spans="1:13" x14ac:dyDescent="0.25">
      <c r="A1075" s="1" t="s">
        <v>1206</v>
      </c>
      <c r="B1075" s="7">
        <v>5994</v>
      </c>
      <c r="C1075" s="8">
        <v>2826</v>
      </c>
      <c r="D1075">
        <v>9</v>
      </c>
      <c r="E1075" s="1" t="s">
        <v>39</v>
      </c>
      <c r="F1075" s="1" t="s">
        <v>90</v>
      </c>
      <c r="G1075" s="1" t="s">
        <v>35</v>
      </c>
      <c r="H1075" s="2">
        <v>45368</v>
      </c>
      <c r="I1075" s="1" t="s">
        <v>1209</v>
      </c>
      <c r="J1075" s="1" t="s">
        <v>23</v>
      </c>
      <c r="K1075" s="1" t="s">
        <v>45</v>
      </c>
      <c r="L1075" s="2">
        <v>45352</v>
      </c>
      <c r="M1075" s="6">
        <f>T_SALES[[#This Row],[Profit]]/T_SALES[[#This Row],[Amount]]</f>
        <v>0.47147147147147145</v>
      </c>
    </row>
    <row r="1076" spans="1:13" x14ac:dyDescent="0.25">
      <c r="A1076" s="1" t="s">
        <v>1210</v>
      </c>
      <c r="B1076" s="7">
        <v>3854</v>
      </c>
      <c r="C1076" s="8">
        <v>245</v>
      </c>
      <c r="D1076">
        <v>19</v>
      </c>
      <c r="E1076" s="1" t="s">
        <v>13</v>
      </c>
      <c r="F1076" s="1" t="s">
        <v>34</v>
      </c>
      <c r="G1076" s="1" t="s">
        <v>56</v>
      </c>
      <c r="H1076" s="2">
        <v>44698</v>
      </c>
      <c r="I1076" s="1" t="s">
        <v>1211</v>
      </c>
      <c r="J1076" s="1" t="s">
        <v>82</v>
      </c>
      <c r="K1076" s="1" t="s">
        <v>83</v>
      </c>
      <c r="L1076" s="2">
        <v>44682</v>
      </c>
      <c r="M1076" s="6">
        <f>T_SALES[[#This Row],[Profit]]/T_SALES[[#This Row],[Amount]]</f>
        <v>6.3570316554229372E-2</v>
      </c>
    </row>
    <row r="1077" spans="1:13" x14ac:dyDescent="0.25">
      <c r="A1077" s="1" t="s">
        <v>1212</v>
      </c>
      <c r="B1077" s="7">
        <v>7019</v>
      </c>
      <c r="C1077" s="8">
        <v>2677</v>
      </c>
      <c r="D1077">
        <v>15</v>
      </c>
      <c r="E1077" s="1" t="s">
        <v>27</v>
      </c>
      <c r="F1077" s="1" t="s">
        <v>49</v>
      </c>
      <c r="G1077" s="1" t="s">
        <v>15</v>
      </c>
      <c r="H1077" s="2">
        <v>44186</v>
      </c>
      <c r="I1077" s="1" t="s">
        <v>1213</v>
      </c>
      <c r="J1077" s="1" t="s">
        <v>17</v>
      </c>
      <c r="K1077" s="1" t="s">
        <v>18</v>
      </c>
      <c r="L1077" s="2">
        <v>44166</v>
      </c>
      <c r="M1077" s="6">
        <f>T_SALES[[#This Row],[Profit]]/T_SALES[[#This Row],[Amount]]</f>
        <v>0.38139336087761788</v>
      </c>
    </row>
    <row r="1078" spans="1:13" x14ac:dyDescent="0.25">
      <c r="A1078" s="1" t="s">
        <v>1214</v>
      </c>
      <c r="B1078" s="7">
        <v>5954</v>
      </c>
      <c r="C1078" s="8">
        <v>2640</v>
      </c>
      <c r="D1078">
        <v>14</v>
      </c>
      <c r="E1078" s="1" t="s">
        <v>13</v>
      </c>
      <c r="F1078" s="1" t="s">
        <v>34</v>
      </c>
      <c r="G1078" s="1" t="s">
        <v>41</v>
      </c>
      <c r="H1078" s="2">
        <v>44432</v>
      </c>
      <c r="I1078" s="1" t="s">
        <v>1215</v>
      </c>
      <c r="J1078" s="1" t="s">
        <v>23</v>
      </c>
      <c r="K1078" s="1" t="s">
        <v>45</v>
      </c>
      <c r="L1078" s="2">
        <v>44409</v>
      </c>
      <c r="M1078" s="6">
        <f>T_SALES[[#This Row],[Profit]]/T_SALES[[#This Row],[Amount]]</f>
        <v>0.44339939536446088</v>
      </c>
    </row>
    <row r="1079" spans="1:13" x14ac:dyDescent="0.25">
      <c r="A1079" s="1" t="s">
        <v>1214</v>
      </c>
      <c r="B1079" s="7">
        <v>5954</v>
      </c>
      <c r="C1079" s="8">
        <v>2640</v>
      </c>
      <c r="D1079">
        <v>14</v>
      </c>
      <c r="E1079" s="1" t="s">
        <v>13</v>
      </c>
      <c r="F1079" s="1" t="s">
        <v>34</v>
      </c>
      <c r="G1079" s="1" t="s">
        <v>41</v>
      </c>
      <c r="H1079" s="2">
        <v>44856</v>
      </c>
      <c r="I1079" s="1" t="s">
        <v>1216</v>
      </c>
      <c r="J1079" s="1" t="s">
        <v>62</v>
      </c>
      <c r="K1079" s="1" t="s">
        <v>63</v>
      </c>
      <c r="L1079" s="2">
        <v>44835</v>
      </c>
      <c r="M1079" s="6">
        <f>T_SALES[[#This Row],[Profit]]/T_SALES[[#This Row],[Amount]]</f>
        <v>0.44339939536446088</v>
      </c>
    </row>
    <row r="1080" spans="1:13" x14ac:dyDescent="0.25">
      <c r="A1080" s="1" t="s">
        <v>1217</v>
      </c>
      <c r="B1080" s="7">
        <v>9752</v>
      </c>
      <c r="C1080" s="8">
        <v>3618</v>
      </c>
      <c r="D1080">
        <v>5</v>
      </c>
      <c r="E1080" s="1" t="s">
        <v>39</v>
      </c>
      <c r="F1080" s="1" t="s">
        <v>90</v>
      </c>
      <c r="G1080" s="1" t="s">
        <v>29</v>
      </c>
      <c r="H1080" s="2">
        <v>45343</v>
      </c>
      <c r="I1080" s="1" t="s">
        <v>1218</v>
      </c>
      <c r="J1080" s="1" t="s">
        <v>23</v>
      </c>
      <c r="K1080" s="1" t="s">
        <v>59</v>
      </c>
      <c r="L1080" s="2">
        <v>45323</v>
      </c>
      <c r="M1080" s="6">
        <f>T_SALES[[#This Row],[Profit]]/T_SALES[[#This Row],[Amount]]</f>
        <v>0.37100082034454474</v>
      </c>
    </row>
    <row r="1081" spans="1:13" x14ac:dyDescent="0.25">
      <c r="A1081" s="1" t="s">
        <v>1217</v>
      </c>
      <c r="B1081" s="7">
        <v>9752</v>
      </c>
      <c r="C1081" s="8">
        <v>3618</v>
      </c>
      <c r="D1081">
        <v>5</v>
      </c>
      <c r="E1081" s="1" t="s">
        <v>39</v>
      </c>
      <c r="F1081" s="1" t="s">
        <v>90</v>
      </c>
      <c r="G1081" s="1" t="s">
        <v>29</v>
      </c>
      <c r="H1081" s="2">
        <v>44865</v>
      </c>
      <c r="I1081" s="1" t="s">
        <v>1219</v>
      </c>
      <c r="J1081" s="1" t="s">
        <v>20</v>
      </c>
      <c r="K1081" s="1" t="s">
        <v>137</v>
      </c>
      <c r="L1081" s="2">
        <v>44835</v>
      </c>
      <c r="M1081" s="6">
        <f>T_SALES[[#This Row],[Profit]]/T_SALES[[#This Row],[Amount]]</f>
        <v>0.37100082034454474</v>
      </c>
    </row>
    <row r="1082" spans="1:13" x14ac:dyDescent="0.25">
      <c r="A1082" s="1" t="s">
        <v>1220</v>
      </c>
      <c r="B1082" s="7">
        <v>5335</v>
      </c>
      <c r="C1082" s="8">
        <v>322</v>
      </c>
      <c r="D1082">
        <v>15</v>
      </c>
      <c r="E1082" s="1" t="s">
        <v>13</v>
      </c>
      <c r="F1082" s="1" t="s">
        <v>14</v>
      </c>
      <c r="G1082" s="1" t="s">
        <v>56</v>
      </c>
      <c r="H1082" s="2">
        <v>44696</v>
      </c>
      <c r="I1082" s="1" t="s">
        <v>1221</v>
      </c>
      <c r="J1082" s="1" t="s">
        <v>23</v>
      </c>
      <c r="K1082" s="1" t="s">
        <v>45</v>
      </c>
      <c r="L1082" s="2">
        <v>44682</v>
      </c>
      <c r="M1082" s="6">
        <f>T_SALES[[#This Row],[Profit]]/T_SALES[[#This Row],[Amount]]</f>
        <v>6.0356138706654169E-2</v>
      </c>
    </row>
    <row r="1083" spans="1:13" x14ac:dyDescent="0.25">
      <c r="A1083" s="1" t="s">
        <v>1222</v>
      </c>
      <c r="B1083" s="7">
        <v>1454</v>
      </c>
      <c r="C1083" s="8">
        <v>80</v>
      </c>
      <c r="D1083">
        <v>20</v>
      </c>
      <c r="E1083" s="1" t="s">
        <v>13</v>
      </c>
      <c r="F1083" s="1" t="s">
        <v>14</v>
      </c>
      <c r="G1083" s="1" t="s">
        <v>41</v>
      </c>
      <c r="H1083" s="2">
        <v>44764</v>
      </c>
      <c r="I1083" s="1" t="s">
        <v>1223</v>
      </c>
      <c r="J1083" s="1" t="s">
        <v>23</v>
      </c>
      <c r="K1083" s="1" t="s">
        <v>59</v>
      </c>
      <c r="L1083" s="2">
        <v>44743</v>
      </c>
      <c r="M1083" s="6">
        <f>T_SALES[[#This Row],[Profit]]/T_SALES[[#This Row],[Amount]]</f>
        <v>5.5020632737276476E-2</v>
      </c>
    </row>
    <row r="1084" spans="1:13" x14ac:dyDescent="0.25">
      <c r="A1084" s="1" t="s">
        <v>1224</v>
      </c>
      <c r="B1084" s="7">
        <v>6724</v>
      </c>
      <c r="C1084" s="8">
        <v>1539</v>
      </c>
      <c r="D1084">
        <v>19</v>
      </c>
      <c r="E1084" s="1" t="s">
        <v>39</v>
      </c>
      <c r="F1084" s="1" t="s">
        <v>90</v>
      </c>
      <c r="G1084" s="1" t="s">
        <v>56</v>
      </c>
      <c r="H1084" s="2">
        <v>44543</v>
      </c>
      <c r="I1084" s="1" t="s">
        <v>1225</v>
      </c>
      <c r="J1084" s="1" t="s">
        <v>37</v>
      </c>
      <c r="K1084" s="1" t="s">
        <v>78</v>
      </c>
      <c r="L1084" s="2">
        <v>44531</v>
      </c>
      <c r="M1084" s="6">
        <f>T_SALES[[#This Row],[Profit]]/T_SALES[[#This Row],[Amount]]</f>
        <v>0.22888161808447352</v>
      </c>
    </row>
    <row r="1085" spans="1:13" x14ac:dyDescent="0.25">
      <c r="A1085" s="1" t="s">
        <v>1224</v>
      </c>
      <c r="B1085" s="7">
        <v>6724</v>
      </c>
      <c r="C1085" s="8">
        <v>1539</v>
      </c>
      <c r="D1085">
        <v>19</v>
      </c>
      <c r="E1085" s="1" t="s">
        <v>39</v>
      </c>
      <c r="F1085" s="1" t="s">
        <v>90</v>
      </c>
      <c r="G1085" s="1" t="s">
        <v>56</v>
      </c>
      <c r="H1085" s="2">
        <v>44350</v>
      </c>
      <c r="I1085" s="1" t="s">
        <v>1226</v>
      </c>
      <c r="J1085" s="1" t="s">
        <v>62</v>
      </c>
      <c r="K1085" s="1" t="s">
        <v>63</v>
      </c>
      <c r="L1085" s="2">
        <v>44348</v>
      </c>
      <c r="M1085" s="6">
        <f>T_SALES[[#This Row],[Profit]]/T_SALES[[#This Row],[Amount]]</f>
        <v>0.22888161808447352</v>
      </c>
    </row>
    <row r="1086" spans="1:13" x14ac:dyDescent="0.25">
      <c r="A1086" s="1" t="s">
        <v>1227</v>
      </c>
      <c r="B1086" s="7">
        <v>9874</v>
      </c>
      <c r="C1086" s="8">
        <v>3895</v>
      </c>
      <c r="D1086">
        <v>4</v>
      </c>
      <c r="E1086" s="1" t="s">
        <v>27</v>
      </c>
      <c r="F1086" s="1" t="s">
        <v>67</v>
      </c>
      <c r="G1086" s="1" t="s">
        <v>35</v>
      </c>
      <c r="H1086" s="2">
        <v>45712</v>
      </c>
      <c r="I1086" s="1" t="s">
        <v>1228</v>
      </c>
      <c r="J1086" s="1" t="s">
        <v>82</v>
      </c>
      <c r="K1086" s="1" t="s">
        <v>97</v>
      </c>
      <c r="L1086" s="2">
        <v>45689</v>
      </c>
      <c r="M1086" s="6">
        <f>T_SALES[[#This Row],[Profit]]/T_SALES[[#This Row],[Amount]]</f>
        <v>0.39447032610897304</v>
      </c>
    </row>
    <row r="1087" spans="1:13" x14ac:dyDescent="0.25">
      <c r="A1087" s="1" t="s">
        <v>1229</v>
      </c>
      <c r="B1087" s="7">
        <v>4918</v>
      </c>
      <c r="C1087" s="8">
        <v>1485</v>
      </c>
      <c r="D1087">
        <v>7</v>
      </c>
      <c r="E1087" s="1" t="s">
        <v>13</v>
      </c>
      <c r="F1087" s="1" t="s">
        <v>70</v>
      </c>
      <c r="G1087" s="1" t="s">
        <v>15</v>
      </c>
      <c r="H1087" s="2">
        <v>44959</v>
      </c>
      <c r="I1087" s="1" t="s">
        <v>1230</v>
      </c>
      <c r="J1087" s="1" t="s">
        <v>17</v>
      </c>
      <c r="K1087" s="1" t="s">
        <v>121</v>
      </c>
      <c r="L1087" s="2">
        <v>44958</v>
      </c>
      <c r="M1087" s="6">
        <f>T_SALES[[#This Row],[Profit]]/T_SALES[[#This Row],[Amount]]</f>
        <v>0.30195201301342006</v>
      </c>
    </row>
    <row r="1088" spans="1:13" x14ac:dyDescent="0.25">
      <c r="A1088" s="1" t="s">
        <v>1231</v>
      </c>
      <c r="B1088" s="7">
        <v>3189</v>
      </c>
      <c r="C1088" s="8">
        <v>1180</v>
      </c>
      <c r="D1088">
        <v>19</v>
      </c>
      <c r="E1088" s="1" t="s">
        <v>27</v>
      </c>
      <c r="F1088" s="1" t="s">
        <v>55</v>
      </c>
      <c r="G1088" s="1" t="s">
        <v>41</v>
      </c>
      <c r="H1088" s="2">
        <v>44561</v>
      </c>
      <c r="I1088" s="1" t="s">
        <v>1232</v>
      </c>
      <c r="J1088" s="1" t="s">
        <v>23</v>
      </c>
      <c r="K1088" s="1" t="s">
        <v>45</v>
      </c>
      <c r="L1088" s="2">
        <v>44531</v>
      </c>
      <c r="M1088" s="6">
        <f>T_SALES[[#This Row],[Profit]]/T_SALES[[#This Row],[Amount]]</f>
        <v>0.370021950454688</v>
      </c>
    </row>
    <row r="1089" spans="1:13" x14ac:dyDescent="0.25">
      <c r="A1089" s="1" t="s">
        <v>1233</v>
      </c>
      <c r="B1089" s="7">
        <v>2684</v>
      </c>
      <c r="C1089" s="8">
        <v>713</v>
      </c>
      <c r="D1089">
        <v>2</v>
      </c>
      <c r="E1089" s="1" t="s">
        <v>13</v>
      </c>
      <c r="F1089" s="1" t="s">
        <v>14</v>
      </c>
      <c r="G1089" s="1" t="s">
        <v>15</v>
      </c>
      <c r="H1089" s="2">
        <v>45458</v>
      </c>
      <c r="I1089" s="1" t="s">
        <v>1234</v>
      </c>
      <c r="J1089" s="1" t="s">
        <v>23</v>
      </c>
      <c r="K1089" s="1" t="s">
        <v>45</v>
      </c>
      <c r="L1089" s="2">
        <v>45444</v>
      </c>
      <c r="M1089" s="6">
        <f>T_SALES[[#This Row],[Profit]]/T_SALES[[#This Row],[Amount]]</f>
        <v>0.2656482861400894</v>
      </c>
    </row>
    <row r="1090" spans="1:13" x14ac:dyDescent="0.25">
      <c r="A1090" s="1" t="s">
        <v>1233</v>
      </c>
      <c r="B1090" s="7">
        <v>2684</v>
      </c>
      <c r="C1090" s="8">
        <v>713</v>
      </c>
      <c r="D1090">
        <v>2</v>
      </c>
      <c r="E1090" s="1" t="s">
        <v>13</v>
      </c>
      <c r="F1090" s="1" t="s">
        <v>14</v>
      </c>
      <c r="G1090" s="1" t="s">
        <v>15</v>
      </c>
      <c r="H1090" s="2">
        <v>44717</v>
      </c>
      <c r="I1090" s="1" t="s">
        <v>1235</v>
      </c>
      <c r="J1090" s="1" t="s">
        <v>23</v>
      </c>
      <c r="K1090" s="1" t="s">
        <v>24</v>
      </c>
      <c r="L1090" s="2">
        <v>44713</v>
      </c>
      <c r="M1090" s="6">
        <f>T_SALES[[#This Row],[Profit]]/T_SALES[[#This Row],[Amount]]</f>
        <v>0.2656482861400894</v>
      </c>
    </row>
    <row r="1091" spans="1:13" x14ac:dyDescent="0.25">
      <c r="A1091" s="1" t="s">
        <v>1233</v>
      </c>
      <c r="B1091" s="7">
        <v>2684</v>
      </c>
      <c r="C1091" s="8">
        <v>713</v>
      </c>
      <c r="D1091">
        <v>2</v>
      </c>
      <c r="E1091" s="1" t="s">
        <v>13</v>
      </c>
      <c r="F1091" s="1" t="s">
        <v>14</v>
      </c>
      <c r="G1091" s="1" t="s">
        <v>15</v>
      </c>
      <c r="H1091" s="2">
        <v>43962</v>
      </c>
      <c r="I1091" s="1" t="s">
        <v>1236</v>
      </c>
      <c r="J1091" s="1" t="s">
        <v>62</v>
      </c>
      <c r="K1091" s="1" t="s">
        <v>63</v>
      </c>
      <c r="L1091" s="2">
        <v>43952</v>
      </c>
      <c r="M1091" s="6">
        <f>T_SALES[[#This Row],[Profit]]/T_SALES[[#This Row],[Amount]]</f>
        <v>0.2656482861400894</v>
      </c>
    </row>
    <row r="1092" spans="1:13" x14ac:dyDescent="0.25">
      <c r="A1092" s="1" t="s">
        <v>1237</v>
      </c>
      <c r="B1092" s="7">
        <v>7626</v>
      </c>
      <c r="C1092" s="8">
        <v>229</v>
      </c>
      <c r="D1092">
        <v>5</v>
      </c>
      <c r="E1092" s="1" t="s">
        <v>27</v>
      </c>
      <c r="F1092" s="1" t="s">
        <v>28</v>
      </c>
      <c r="G1092" s="1" t="s">
        <v>35</v>
      </c>
      <c r="H1092" s="2">
        <v>45333</v>
      </c>
      <c r="I1092" s="1" t="s">
        <v>1238</v>
      </c>
      <c r="J1092" s="1" t="s">
        <v>20</v>
      </c>
      <c r="K1092" s="1" t="s">
        <v>54</v>
      </c>
      <c r="L1092" s="2">
        <v>45323</v>
      </c>
      <c r="M1092" s="6">
        <f>T_SALES[[#This Row],[Profit]]/T_SALES[[#This Row],[Amount]]</f>
        <v>3.002884867558353E-2</v>
      </c>
    </row>
    <row r="1093" spans="1:13" x14ac:dyDescent="0.25">
      <c r="A1093" s="1" t="s">
        <v>1237</v>
      </c>
      <c r="B1093" s="7">
        <v>7626</v>
      </c>
      <c r="C1093" s="8">
        <v>229</v>
      </c>
      <c r="D1093">
        <v>5</v>
      </c>
      <c r="E1093" s="1" t="s">
        <v>27</v>
      </c>
      <c r="F1093" s="1" t="s">
        <v>28</v>
      </c>
      <c r="G1093" s="1" t="s">
        <v>35</v>
      </c>
      <c r="H1093" s="2">
        <v>44160</v>
      </c>
      <c r="I1093" s="1" t="s">
        <v>1239</v>
      </c>
      <c r="J1093" s="1" t="s">
        <v>82</v>
      </c>
      <c r="K1093" s="1" t="s">
        <v>83</v>
      </c>
      <c r="L1093" s="2">
        <v>44136</v>
      </c>
      <c r="M1093" s="6">
        <f>T_SALES[[#This Row],[Profit]]/T_SALES[[#This Row],[Amount]]</f>
        <v>3.002884867558353E-2</v>
      </c>
    </row>
    <row r="1094" spans="1:13" x14ac:dyDescent="0.25">
      <c r="A1094" s="1" t="s">
        <v>1240</v>
      </c>
      <c r="B1094" s="7">
        <v>6669</v>
      </c>
      <c r="C1094" s="8">
        <v>3063</v>
      </c>
      <c r="D1094">
        <v>19</v>
      </c>
      <c r="E1094" s="1" t="s">
        <v>13</v>
      </c>
      <c r="F1094" s="1" t="s">
        <v>25</v>
      </c>
      <c r="G1094" s="1" t="s">
        <v>15</v>
      </c>
      <c r="H1094" s="2">
        <v>45150</v>
      </c>
      <c r="I1094" s="1" t="s">
        <v>1241</v>
      </c>
      <c r="J1094" s="1" t="s">
        <v>82</v>
      </c>
      <c r="K1094" s="1" t="s">
        <v>89</v>
      </c>
      <c r="L1094" s="2">
        <v>45139</v>
      </c>
      <c r="M1094" s="6">
        <f>T_SALES[[#This Row],[Profit]]/T_SALES[[#This Row],[Amount]]</f>
        <v>0.45928924876293298</v>
      </c>
    </row>
    <row r="1095" spans="1:13" x14ac:dyDescent="0.25">
      <c r="A1095" s="1" t="s">
        <v>1242</v>
      </c>
      <c r="B1095" s="7">
        <v>6123</v>
      </c>
      <c r="C1095" s="8">
        <v>1686</v>
      </c>
      <c r="D1095">
        <v>3</v>
      </c>
      <c r="E1095" s="1" t="s">
        <v>27</v>
      </c>
      <c r="F1095" s="1" t="s">
        <v>49</v>
      </c>
      <c r="G1095" s="1" t="s">
        <v>41</v>
      </c>
      <c r="H1095" s="2">
        <v>44687</v>
      </c>
      <c r="I1095" s="1" t="s">
        <v>1243</v>
      </c>
      <c r="J1095" s="1" t="s">
        <v>82</v>
      </c>
      <c r="K1095" s="1" t="s">
        <v>89</v>
      </c>
      <c r="L1095" s="2">
        <v>44682</v>
      </c>
      <c r="M1095" s="6">
        <f>T_SALES[[#This Row],[Profit]]/T_SALES[[#This Row],[Amount]]</f>
        <v>0.27535521803037727</v>
      </c>
    </row>
    <row r="1096" spans="1:13" x14ac:dyDescent="0.25">
      <c r="A1096" s="1" t="s">
        <v>1244</v>
      </c>
      <c r="B1096" s="7">
        <v>3265</v>
      </c>
      <c r="C1096" s="8">
        <v>1390</v>
      </c>
      <c r="D1096">
        <v>16</v>
      </c>
      <c r="E1096" s="1" t="s">
        <v>27</v>
      </c>
      <c r="F1096" s="1" t="s">
        <v>55</v>
      </c>
      <c r="G1096" s="1" t="s">
        <v>41</v>
      </c>
      <c r="H1096" s="2">
        <v>45308</v>
      </c>
      <c r="I1096" s="1" t="s">
        <v>1245</v>
      </c>
      <c r="J1096" s="1" t="s">
        <v>37</v>
      </c>
      <c r="K1096" s="1" t="s">
        <v>38</v>
      </c>
      <c r="L1096" s="2">
        <v>45292</v>
      </c>
      <c r="M1096" s="6">
        <f>T_SALES[[#This Row],[Profit]]/T_SALES[[#This Row],[Amount]]</f>
        <v>0.42572741194486985</v>
      </c>
    </row>
    <row r="1097" spans="1:13" x14ac:dyDescent="0.25">
      <c r="A1097" s="1" t="s">
        <v>1246</v>
      </c>
      <c r="B1097" s="7">
        <v>8104</v>
      </c>
      <c r="C1097" s="8">
        <v>1039</v>
      </c>
      <c r="D1097">
        <v>6</v>
      </c>
      <c r="E1097" s="1" t="s">
        <v>27</v>
      </c>
      <c r="F1097" s="1" t="s">
        <v>49</v>
      </c>
      <c r="G1097" s="1" t="s">
        <v>56</v>
      </c>
      <c r="H1097" s="2">
        <v>44524</v>
      </c>
      <c r="I1097" s="1" t="s">
        <v>1247</v>
      </c>
      <c r="J1097" s="1" t="s">
        <v>17</v>
      </c>
      <c r="K1097" s="1" t="s">
        <v>31</v>
      </c>
      <c r="L1097" s="2">
        <v>44501</v>
      </c>
      <c r="M1097" s="6">
        <f>T_SALES[[#This Row],[Profit]]/T_SALES[[#This Row],[Amount]]</f>
        <v>0.12820829220138202</v>
      </c>
    </row>
    <row r="1098" spans="1:13" x14ac:dyDescent="0.25">
      <c r="A1098" s="1" t="s">
        <v>1246</v>
      </c>
      <c r="B1098" s="7">
        <v>8104</v>
      </c>
      <c r="C1098" s="8">
        <v>1039</v>
      </c>
      <c r="D1098">
        <v>6</v>
      </c>
      <c r="E1098" s="1" t="s">
        <v>27</v>
      </c>
      <c r="F1098" s="1" t="s">
        <v>49</v>
      </c>
      <c r="G1098" s="1" t="s">
        <v>56</v>
      </c>
      <c r="H1098" s="2">
        <v>44475</v>
      </c>
      <c r="I1098" s="1" t="s">
        <v>1248</v>
      </c>
      <c r="J1098" s="1" t="s">
        <v>17</v>
      </c>
      <c r="K1098" s="1" t="s">
        <v>18</v>
      </c>
      <c r="L1098" s="2">
        <v>44470</v>
      </c>
      <c r="M1098" s="6">
        <f>T_SALES[[#This Row],[Profit]]/T_SALES[[#This Row],[Amount]]</f>
        <v>0.12820829220138202</v>
      </c>
    </row>
    <row r="1099" spans="1:13" x14ac:dyDescent="0.25">
      <c r="A1099" s="1" t="s">
        <v>1246</v>
      </c>
      <c r="B1099" s="7">
        <v>8104</v>
      </c>
      <c r="C1099" s="8">
        <v>1039</v>
      </c>
      <c r="D1099">
        <v>6</v>
      </c>
      <c r="E1099" s="1" t="s">
        <v>27</v>
      </c>
      <c r="F1099" s="1" t="s">
        <v>49</v>
      </c>
      <c r="G1099" s="1" t="s">
        <v>56</v>
      </c>
      <c r="H1099" s="2">
        <v>45684</v>
      </c>
      <c r="I1099" s="1" t="s">
        <v>1249</v>
      </c>
      <c r="J1099" s="1" t="s">
        <v>37</v>
      </c>
      <c r="K1099" s="1" t="s">
        <v>78</v>
      </c>
      <c r="L1099" s="2">
        <v>45658</v>
      </c>
      <c r="M1099" s="6">
        <f>T_SALES[[#This Row],[Profit]]/T_SALES[[#This Row],[Amount]]</f>
        <v>0.12820829220138202</v>
      </c>
    </row>
    <row r="1100" spans="1:13" x14ac:dyDescent="0.25">
      <c r="A1100" s="1" t="s">
        <v>1250</v>
      </c>
      <c r="B1100" s="7">
        <v>847</v>
      </c>
      <c r="C1100" s="8">
        <v>355</v>
      </c>
      <c r="D1100">
        <v>17</v>
      </c>
      <c r="E1100" s="1" t="s">
        <v>39</v>
      </c>
      <c r="F1100" s="1" t="s">
        <v>40</v>
      </c>
      <c r="G1100" s="1" t="s">
        <v>56</v>
      </c>
      <c r="H1100" s="2">
        <v>44704</v>
      </c>
      <c r="I1100" s="1" t="s">
        <v>1251</v>
      </c>
      <c r="J1100" s="1" t="s">
        <v>23</v>
      </c>
      <c r="K1100" s="1" t="s">
        <v>24</v>
      </c>
      <c r="L1100" s="2">
        <v>44682</v>
      </c>
      <c r="M1100" s="6">
        <f>T_SALES[[#This Row],[Profit]]/T_SALES[[#This Row],[Amount]]</f>
        <v>0.41912632821723733</v>
      </c>
    </row>
    <row r="1101" spans="1:13" x14ac:dyDescent="0.25">
      <c r="A1101" s="1" t="s">
        <v>1250</v>
      </c>
      <c r="B1101" s="7">
        <v>847</v>
      </c>
      <c r="C1101" s="8">
        <v>355</v>
      </c>
      <c r="D1101">
        <v>17</v>
      </c>
      <c r="E1101" s="1" t="s">
        <v>39</v>
      </c>
      <c r="F1101" s="1" t="s">
        <v>40</v>
      </c>
      <c r="G1101" s="1" t="s">
        <v>56</v>
      </c>
      <c r="H1101" s="2">
        <v>45258</v>
      </c>
      <c r="I1101" s="1" t="s">
        <v>1252</v>
      </c>
      <c r="J1101" s="1" t="s">
        <v>62</v>
      </c>
      <c r="K1101" s="1" t="s">
        <v>74</v>
      </c>
      <c r="L1101" s="2">
        <v>45231</v>
      </c>
      <c r="M1101" s="6">
        <f>T_SALES[[#This Row],[Profit]]/T_SALES[[#This Row],[Amount]]</f>
        <v>0.41912632821723733</v>
      </c>
    </row>
    <row r="1102" spans="1:13" x14ac:dyDescent="0.25">
      <c r="A1102" s="1" t="s">
        <v>1250</v>
      </c>
      <c r="B1102" s="7">
        <v>847</v>
      </c>
      <c r="C1102" s="8">
        <v>355</v>
      </c>
      <c r="D1102">
        <v>17</v>
      </c>
      <c r="E1102" s="1" t="s">
        <v>39</v>
      </c>
      <c r="F1102" s="1" t="s">
        <v>40</v>
      </c>
      <c r="G1102" s="1" t="s">
        <v>56</v>
      </c>
      <c r="H1102" s="2">
        <v>44944</v>
      </c>
      <c r="I1102" s="1" t="s">
        <v>1253</v>
      </c>
      <c r="J1102" s="1" t="s">
        <v>37</v>
      </c>
      <c r="K1102" s="1" t="s">
        <v>78</v>
      </c>
      <c r="L1102" s="2">
        <v>44927</v>
      </c>
      <c r="M1102" s="6">
        <f>T_SALES[[#This Row],[Profit]]/T_SALES[[#This Row],[Amount]]</f>
        <v>0.41912632821723733</v>
      </c>
    </row>
    <row r="1103" spans="1:13" x14ac:dyDescent="0.25">
      <c r="A1103" s="1" t="s">
        <v>1254</v>
      </c>
      <c r="B1103" s="7">
        <v>3129</v>
      </c>
      <c r="C1103" s="8">
        <v>55</v>
      </c>
      <c r="D1103">
        <v>9</v>
      </c>
      <c r="E1103" s="1" t="s">
        <v>39</v>
      </c>
      <c r="F1103" s="1" t="s">
        <v>90</v>
      </c>
      <c r="G1103" s="1" t="s">
        <v>29</v>
      </c>
      <c r="H1103" s="2">
        <v>44445</v>
      </c>
      <c r="I1103" s="1" t="s">
        <v>1255</v>
      </c>
      <c r="J1103" s="1" t="s">
        <v>20</v>
      </c>
      <c r="K1103" s="1" t="s">
        <v>137</v>
      </c>
      <c r="L1103" s="2">
        <v>44440</v>
      </c>
      <c r="M1103" s="6">
        <f>T_SALES[[#This Row],[Profit]]/T_SALES[[#This Row],[Amount]]</f>
        <v>1.7577500798977311E-2</v>
      </c>
    </row>
    <row r="1104" spans="1:13" x14ac:dyDescent="0.25">
      <c r="A1104" s="1" t="s">
        <v>1254</v>
      </c>
      <c r="B1104" s="7">
        <v>7821</v>
      </c>
      <c r="C1104" s="8">
        <v>3821</v>
      </c>
      <c r="D1104">
        <v>13</v>
      </c>
      <c r="E1104" s="1" t="s">
        <v>13</v>
      </c>
      <c r="F1104" s="1" t="s">
        <v>34</v>
      </c>
      <c r="G1104" s="1" t="s">
        <v>35</v>
      </c>
      <c r="H1104" s="2">
        <v>44445</v>
      </c>
      <c r="I1104" s="1" t="s">
        <v>1255</v>
      </c>
      <c r="J1104" s="1" t="s">
        <v>20</v>
      </c>
      <c r="K1104" s="1" t="s">
        <v>137</v>
      </c>
      <c r="L1104" s="2">
        <v>44440</v>
      </c>
      <c r="M1104" s="6">
        <f>T_SALES[[#This Row],[Profit]]/T_SALES[[#This Row],[Amount]]</f>
        <v>0.48855645058176705</v>
      </c>
    </row>
    <row r="1105" spans="1:13" x14ac:dyDescent="0.25">
      <c r="A1105" s="1" t="s">
        <v>1256</v>
      </c>
      <c r="B1105" s="7">
        <v>9498</v>
      </c>
      <c r="C1105" s="8">
        <v>256</v>
      </c>
      <c r="D1105">
        <v>12</v>
      </c>
      <c r="E1105" s="1" t="s">
        <v>13</v>
      </c>
      <c r="F1105" s="1" t="s">
        <v>70</v>
      </c>
      <c r="G1105" s="1" t="s">
        <v>56</v>
      </c>
      <c r="H1105" s="2">
        <v>44249</v>
      </c>
      <c r="I1105" s="1" t="s">
        <v>1257</v>
      </c>
      <c r="J1105" s="1" t="s">
        <v>20</v>
      </c>
      <c r="K1105" s="1" t="s">
        <v>137</v>
      </c>
      <c r="L1105" s="2">
        <v>44228</v>
      </c>
      <c r="M1105" s="6">
        <f>T_SALES[[#This Row],[Profit]]/T_SALES[[#This Row],[Amount]]</f>
        <v>2.6953042745841229E-2</v>
      </c>
    </row>
    <row r="1106" spans="1:13" x14ac:dyDescent="0.25">
      <c r="A1106" s="1" t="s">
        <v>1256</v>
      </c>
      <c r="B1106" s="7">
        <v>9498</v>
      </c>
      <c r="C1106" s="8">
        <v>256</v>
      </c>
      <c r="D1106">
        <v>12</v>
      </c>
      <c r="E1106" s="1" t="s">
        <v>13</v>
      </c>
      <c r="F1106" s="1" t="s">
        <v>70</v>
      </c>
      <c r="G1106" s="1" t="s">
        <v>56</v>
      </c>
      <c r="H1106" s="2">
        <v>44475</v>
      </c>
      <c r="I1106" s="1" t="s">
        <v>1258</v>
      </c>
      <c r="J1106" s="1" t="s">
        <v>23</v>
      </c>
      <c r="K1106" s="1" t="s">
        <v>45</v>
      </c>
      <c r="L1106" s="2">
        <v>44470</v>
      </c>
      <c r="M1106" s="6">
        <f>T_SALES[[#This Row],[Profit]]/T_SALES[[#This Row],[Amount]]</f>
        <v>2.6953042745841229E-2</v>
      </c>
    </row>
    <row r="1107" spans="1:13" x14ac:dyDescent="0.25">
      <c r="A1107" s="1" t="s">
        <v>1259</v>
      </c>
      <c r="B1107" s="7">
        <v>5461</v>
      </c>
      <c r="C1107" s="8">
        <v>1214</v>
      </c>
      <c r="D1107">
        <v>7</v>
      </c>
      <c r="E1107" s="1" t="s">
        <v>39</v>
      </c>
      <c r="F1107" s="1" t="s">
        <v>51</v>
      </c>
      <c r="G1107" s="1" t="s">
        <v>41</v>
      </c>
      <c r="H1107" s="2">
        <v>43989</v>
      </c>
      <c r="I1107" s="1" t="s">
        <v>1260</v>
      </c>
      <c r="J1107" s="1" t="s">
        <v>23</v>
      </c>
      <c r="K1107" s="1" t="s">
        <v>59</v>
      </c>
      <c r="L1107" s="2">
        <v>43983</v>
      </c>
      <c r="M1107" s="6">
        <f>T_SALES[[#This Row],[Profit]]/T_SALES[[#This Row],[Amount]]</f>
        <v>0.22230360739791247</v>
      </c>
    </row>
    <row r="1108" spans="1:13" x14ac:dyDescent="0.25">
      <c r="A1108" s="1" t="s">
        <v>1261</v>
      </c>
      <c r="B1108" s="7">
        <v>3084</v>
      </c>
      <c r="C1108" s="8">
        <v>611</v>
      </c>
      <c r="D1108">
        <v>19</v>
      </c>
      <c r="E1108" s="1" t="s">
        <v>39</v>
      </c>
      <c r="F1108" s="1" t="s">
        <v>90</v>
      </c>
      <c r="G1108" s="1" t="s">
        <v>15</v>
      </c>
      <c r="H1108" s="2">
        <v>45433</v>
      </c>
      <c r="I1108" s="1" t="s">
        <v>1262</v>
      </c>
      <c r="J1108" s="1" t="s">
        <v>62</v>
      </c>
      <c r="K1108" s="1" t="s">
        <v>63</v>
      </c>
      <c r="L1108" s="2">
        <v>45413</v>
      </c>
      <c r="M1108" s="6">
        <f>T_SALES[[#This Row],[Profit]]/T_SALES[[#This Row],[Amount]]</f>
        <v>0.19811932555123216</v>
      </c>
    </row>
    <row r="1109" spans="1:13" x14ac:dyDescent="0.25">
      <c r="A1109" s="1" t="s">
        <v>1263</v>
      </c>
      <c r="B1109" s="7">
        <v>6087</v>
      </c>
      <c r="C1109" s="8">
        <v>3043</v>
      </c>
      <c r="D1109">
        <v>1</v>
      </c>
      <c r="E1109" s="1" t="s">
        <v>39</v>
      </c>
      <c r="F1109" s="1" t="s">
        <v>51</v>
      </c>
      <c r="G1109" s="1" t="s">
        <v>56</v>
      </c>
      <c r="H1109" s="2">
        <v>44048</v>
      </c>
      <c r="I1109" s="1" t="s">
        <v>1264</v>
      </c>
      <c r="J1109" s="1" t="s">
        <v>23</v>
      </c>
      <c r="K1109" s="1" t="s">
        <v>24</v>
      </c>
      <c r="L1109" s="2">
        <v>44044</v>
      </c>
      <c r="M1109" s="6">
        <f>T_SALES[[#This Row],[Profit]]/T_SALES[[#This Row],[Amount]]</f>
        <v>0.49991785772958763</v>
      </c>
    </row>
    <row r="1110" spans="1:13" x14ac:dyDescent="0.25">
      <c r="A1110" s="1" t="s">
        <v>1265</v>
      </c>
      <c r="B1110" s="7">
        <v>611</v>
      </c>
      <c r="C1110" s="8">
        <v>300</v>
      </c>
      <c r="D1110">
        <v>3</v>
      </c>
      <c r="E1110" s="1" t="s">
        <v>39</v>
      </c>
      <c r="F1110" s="1" t="s">
        <v>90</v>
      </c>
      <c r="G1110" s="1" t="s">
        <v>41</v>
      </c>
      <c r="H1110" s="2">
        <v>44119</v>
      </c>
      <c r="I1110" s="1" t="s">
        <v>1266</v>
      </c>
      <c r="J1110" s="1" t="s">
        <v>20</v>
      </c>
      <c r="K1110" s="1" t="s">
        <v>137</v>
      </c>
      <c r="L1110" s="2">
        <v>44105</v>
      </c>
      <c r="M1110" s="6">
        <f>T_SALES[[#This Row],[Profit]]/T_SALES[[#This Row],[Amount]]</f>
        <v>0.49099836333878888</v>
      </c>
    </row>
    <row r="1111" spans="1:13" x14ac:dyDescent="0.25">
      <c r="A1111" s="1" t="s">
        <v>1267</v>
      </c>
      <c r="B1111" s="7">
        <v>9909</v>
      </c>
      <c r="C1111" s="8">
        <v>2999</v>
      </c>
      <c r="D1111">
        <v>18</v>
      </c>
      <c r="E1111" s="1" t="s">
        <v>27</v>
      </c>
      <c r="F1111" s="1" t="s">
        <v>49</v>
      </c>
      <c r="G1111" s="1" t="s">
        <v>56</v>
      </c>
      <c r="H1111" s="2">
        <v>44331</v>
      </c>
      <c r="I1111" s="1" t="s">
        <v>1268</v>
      </c>
      <c r="J1111" s="1" t="s">
        <v>82</v>
      </c>
      <c r="K1111" s="1" t="s">
        <v>97</v>
      </c>
      <c r="L1111" s="2">
        <v>44317</v>
      </c>
      <c r="M1111" s="6">
        <f>T_SALES[[#This Row],[Profit]]/T_SALES[[#This Row],[Amount]]</f>
        <v>0.30265415279039259</v>
      </c>
    </row>
    <row r="1112" spans="1:13" x14ac:dyDescent="0.25">
      <c r="A1112" s="1" t="s">
        <v>1267</v>
      </c>
      <c r="B1112" s="7">
        <v>9909</v>
      </c>
      <c r="C1112" s="8">
        <v>2999</v>
      </c>
      <c r="D1112">
        <v>18</v>
      </c>
      <c r="E1112" s="1" t="s">
        <v>27</v>
      </c>
      <c r="F1112" s="1" t="s">
        <v>49</v>
      </c>
      <c r="G1112" s="1" t="s">
        <v>56</v>
      </c>
      <c r="H1112" s="2">
        <v>44574</v>
      </c>
      <c r="I1112" s="1" t="s">
        <v>1269</v>
      </c>
      <c r="J1112" s="1" t="s">
        <v>62</v>
      </c>
      <c r="K1112" s="1" t="s">
        <v>74</v>
      </c>
      <c r="L1112" s="2">
        <v>44562</v>
      </c>
      <c r="M1112" s="6">
        <f>T_SALES[[#This Row],[Profit]]/T_SALES[[#This Row],[Amount]]</f>
        <v>0.30265415279039259</v>
      </c>
    </row>
    <row r="1113" spans="1:13" x14ac:dyDescent="0.25">
      <c r="A1113" s="1" t="s">
        <v>1270</v>
      </c>
      <c r="B1113" s="7">
        <v>6485</v>
      </c>
      <c r="C1113" s="8">
        <v>3178</v>
      </c>
      <c r="D1113">
        <v>18</v>
      </c>
      <c r="E1113" s="1" t="s">
        <v>39</v>
      </c>
      <c r="F1113" s="1" t="s">
        <v>51</v>
      </c>
      <c r="G1113" s="1" t="s">
        <v>15</v>
      </c>
      <c r="H1113" s="2">
        <v>45125</v>
      </c>
      <c r="I1113" s="1" t="s">
        <v>1271</v>
      </c>
      <c r="J1113" s="1" t="s">
        <v>82</v>
      </c>
      <c r="K1113" s="1" t="s">
        <v>83</v>
      </c>
      <c r="L1113" s="2">
        <v>45108</v>
      </c>
      <c r="M1113" s="6">
        <f>T_SALES[[#This Row],[Profit]]/T_SALES[[#This Row],[Amount]]</f>
        <v>0.4900539707016191</v>
      </c>
    </row>
    <row r="1114" spans="1:13" x14ac:dyDescent="0.25">
      <c r="A1114" s="1" t="s">
        <v>1272</v>
      </c>
      <c r="B1114" s="7">
        <v>7259</v>
      </c>
      <c r="C1114" s="8">
        <v>1969</v>
      </c>
      <c r="D1114">
        <v>10</v>
      </c>
      <c r="E1114" s="1" t="s">
        <v>13</v>
      </c>
      <c r="F1114" s="1" t="s">
        <v>34</v>
      </c>
      <c r="G1114" s="1" t="s">
        <v>41</v>
      </c>
      <c r="H1114" s="2">
        <v>44903</v>
      </c>
      <c r="I1114" s="1" t="s">
        <v>1273</v>
      </c>
      <c r="J1114" s="1" t="s">
        <v>20</v>
      </c>
      <c r="K1114" s="1" t="s">
        <v>54</v>
      </c>
      <c r="L1114" s="2">
        <v>44896</v>
      </c>
      <c r="M1114" s="6">
        <f>T_SALES[[#This Row],[Profit]]/T_SALES[[#This Row],[Amount]]</f>
        <v>0.27124948339991733</v>
      </c>
    </row>
    <row r="1115" spans="1:13" x14ac:dyDescent="0.25">
      <c r="A1115" s="1" t="s">
        <v>1274</v>
      </c>
      <c r="B1115" s="7">
        <v>3333</v>
      </c>
      <c r="C1115" s="8">
        <v>700</v>
      </c>
      <c r="D1115">
        <v>18</v>
      </c>
      <c r="E1115" s="1" t="s">
        <v>13</v>
      </c>
      <c r="F1115" s="1" t="s">
        <v>25</v>
      </c>
      <c r="G1115" s="1" t="s">
        <v>56</v>
      </c>
      <c r="H1115" s="2">
        <v>45033</v>
      </c>
      <c r="I1115" s="1" t="s">
        <v>1275</v>
      </c>
      <c r="J1115" s="1" t="s">
        <v>17</v>
      </c>
      <c r="K1115" s="1" t="s">
        <v>18</v>
      </c>
      <c r="L1115" s="2">
        <v>45017</v>
      </c>
      <c r="M1115" s="6">
        <f>T_SALES[[#This Row],[Profit]]/T_SALES[[#This Row],[Amount]]</f>
        <v>0.21002100210021002</v>
      </c>
    </row>
    <row r="1116" spans="1:13" x14ac:dyDescent="0.25">
      <c r="A1116" s="1" t="s">
        <v>1276</v>
      </c>
      <c r="B1116" s="7">
        <v>7786</v>
      </c>
      <c r="C1116" s="8">
        <v>1202</v>
      </c>
      <c r="D1116">
        <v>4</v>
      </c>
      <c r="E1116" s="1" t="s">
        <v>39</v>
      </c>
      <c r="F1116" s="1" t="s">
        <v>51</v>
      </c>
      <c r="G1116" s="1" t="s">
        <v>35</v>
      </c>
      <c r="H1116" s="2">
        <v>44005</v>
      </c>
      <c r="I1116" s="1" t="s">
        <v>1277</v>
      </c>
      <c r="J1116" s="1" t="s">
        <v>20</v>
      </c>
      <c r="K1116" s="1" t="s">
        <v>137</v>
      </c>
      <c r="L1116" s="2">
        <v>43983</v>
      </c>
      <c r="M1116" s="6">
        <f>T_SALES[[#This Row],[Profit]]/T_SALES[[#This Row],[Amount]]</f>
        <v>0.15437965579244797</v>
      </c>
    </row>
    <row r="1117" spans="1:13" x14ac:dyDescent="0.25">
      <c r="A1117" s="1" t="s">
        <v>1278</v>
      </c>
      <c r="B1117" s="7">
        <v>7644</v>
      </c>
      <c r="C1117" s="8">
        <v>2428</v>
      </c>
      <c r="D1117">
        <v>6</v>
      </c>
      <c r="E1117" s="1" t="s">
        <v>13</v>
      </c>
      <c r="F1117" s="1" t="s">
        <v>70</v>
      </c>
      <c r="G1117" s="1" t="s">
        <v>29</v>
      </c>
      <c r="H1117" s="2">
        <v>44581</v>
      </c>
      <c r="I1117" s="1" t="s">
        <v>1279</v>
      </c>
      <c r="J1117" s="1" t="s">
        <v>20</v>
      </c>
      <c r="K1117" s="1" t="s">
        <v>54</v>
      </c>
      <c r="L1117" s="2">
        <v>44562</v>
      </c>
      <c r="M1117" s="6">
        <f>T_SALES[[#This Row],[Profit]]/T_SALES[[#This Row],[Amount]]</f>
        <v>0.31763474620617477</v>
      </c>
    </row>
    <row r="1118" spans="1:13" x14ac:dyDescent="0.25">
      <c r="A1118" s="1" t="s">
        <v>1280</v>
      </c>
      <c r="B1118" s="7">
        <v>1476</v>
      </c>
      <c r="C1118" s="8">
        <v>247</v>
      </c>
      <c r="D1118">
        <v>5</v>
      </c>
      <c r="E1118" s="1" t="s">
        <v>39</v>
      </c>
      <c r="F1118" s="1" t="s">
        <v>90</v>
      </c>
      <c r="G1118" s="1" t="s">
        <v>56</v>
      </c>
      <c r="H1118" s="2">
        <v>45248</v>
      </c>
      <c r="I1118" s="1" t="s">
        <v>1281</v>
      </c>
      <c r="J1118" s="1" t="s">
        <v>37</v>
      </c>
      <c r="K1118" s="1" t="s">
        <v>38</v>
      </c>
      <c r="L1118" s="2">
        <v>45231</v>
      </c>
      <c r="M1118" s="6">
        <f>T_SALES[[#This Row],[Profit]]/T_SALES[[#This Row],[Amount]]</f>
        <v>0.16734417344173441</v>
      </c>
    </row>
    <row r="1119" spans="1:13" x14ac:dyDescent="0.25">
      <c r="A1119" s="1" t="s">
        <v>1280</v>
      </c>
      <c r="B1119" s="7">
        <v>1476</v>
      </c>
      <c r="C1119" s="8">
        <v>247</v>
      </c>
      <c r="D1119">
        <v>5</v>
      </c>
      <c r="E1119" s="1" t="s">
        <v>39</v>
      </c>
      <c r="F1119" s="1" t="s">
        <v>90</v>
      </c>
      <c r="G1119" s="1" t="s">
        <v>56</v>
      </c>
      <c r="H1119" s="2">
        <v>44580</v>
      </c>
      <c r="I1119" s="1" t="s">
        <v>1282</v>
      </c>
      <c r="J1119" s="1" t="s">
        <v>37</v>
      </c>
      <c r="K1119" s="1" t="s">
        <v>65</v>
      </c>
      <c r="L1119" s="2">
        <v>44562</v>
      </c>
      <c r="M1119" s="6">
        <f>T_SALES[[#This Row],[Profit]]/T_SALES[[#This Row],[Amount]]</f>
        <v>0.16734417344173441</v>
      </c>
    </row>
    <row r="1120" spans="1:13" x14ac:dyDescent="0.25">
      <c r="A1120" s="1" t="s">
        <v>1283</v>
      </c>
      <c r="B1120" s="7">
        <v>3445</v>
      </c>
      <c r="C1120" s="8">
        <v>1405</v>
      </c>
      <c r="D1120">
        <v>16</v>
      </c>
      <c r="E1120" s="1" t="s">
        <v>39</v>
      </c>
      <c r="F1120" s="1" t="s">
        <v>51</v>
      </c>
      <c r="G1120" s="1" t="s">
        <v>35</v>
      </c>
      <c r="H1120" s="2">
        <v>44095</v>
      </c>
      <c r="I1120" s="1" t="s">
        <v>1284</v>
      </c>
      <c r="J1120" s="1" t="s">
        <v>37</v>
      </c>
      <c r="K1120" s="1" t="s">
        <v>78</v>
      </c>
      <c r="L1120" s="2">
        <v>44075</v>
      </c>
      <c r="M1120" s="6">
        <f>T_SALES[[#This Row],[Profit]]/T_SALES[[#This Row],[Amount]]</f>
        <v>0.40783744557329465</v>
      </c>
    </row>
    <row r="1121" spans="1:13" x14ac:dyDescent="0.25">
      <c r="A1121" s="1" t="s">
        <v>1283</v>
      </c>
      <c r="B1121" s="7">
        <v>9837</v>
      </c>
      <c r="C1121" s="8">
        <v>384</v>
      </c>
      <c r="D1121">
        <v>1</v>
      </c>
      <c r="E1121" s="1" t="s">
        <v>13</v>
      </c>
      <c r="F1121" s="1" t="s">
        <v>34</v>
      </c>
      <c r="G1121" s="1" t="s">
        <v>15</v>
      </c>
      <c r="H1121" s="2">
        <v>44095</v>
      </c>
      <c r="I1121" s="1" t="s">
        <v>1284</v>
      </c>
      <c r="J1121" s="1" t="s">
        <v>37</v>
      </c>
      <c r="K1121" s="1" t="s">
        <v>78</v>
      </c>
      <c r="L1121" s="2">
        <v>44075</v>
      </c>
      <c r="M1121" s="6">
        <f>T_SALES[[#This Row],[Profit]]/T_SALES[[#This Row],[Amount]]</f>
        <v>3.9036291552302531E-2</v>
      </c>
    </row>
    <row r="1122" spans="1:13" x14ac:dyDescent="0.25">
      <c r="A1122" s="1" t="s">
        <v>1285</v>
      </c>
      <c r="B1122" s="7">
        <v>1314</v>
      </c>
      <c r="C1122" s="8">
        <v>457</v>
      </c>
      <c r="D1122">
        <v>8</v>
      </c>
      <c r="E1122" s="1" t="s">
        <v>39</v>
      </c>
      <c r="F1122" s="1" t="s">
        <v>51</v>
      </c>
      <c r="G1122" s="1" t="s">
        <v>35</v>
      </c>
      <c r="H1122" s="2">
        <v>44358</v>
      </c>
      <c r="I1122" s="1" t="s">
        <v>1286</v>
      </c>
      <c r="J1122" s="1" t="s">
        <v>37</v>
      </c>
      <c r="K1122" s="1" t="s">
        <v>65</v>
      </c>
      <c r="L1122" s="2">
        <v>44348</v>
      </c>
      <c r="M1122" s="6">
        <f>T_SALES[[#This Row],[Profit]]/T_SALES[[#This Row],[Amount]]</f>
        <v>0.34779299847792999</v>
      </c>
    </row>
    <row r="1123" spans="1:13" x14ac:dyDescent="0.25">
      <c r="A1123" s="1" t="s">
        <v>1287</v>
      </c>
      <c r="B1123" s="7">
        <v>5951</v>
      </c>
      <c r="C1123" s="8">
        <v>936</v>
      </c>
      <c r="D1123">
        <v>6</v>
      </c>
      <c r="E1123" s="1" t="s">
        <v>13</v>
      </c>
      <c r="F1123" s="1" t="s">
        <v>34</v>
      </c>
      <c r="G1123" s="1" t="s">
        <v>29</v>
      </c>
      <c r="H1123" s="2">
        <v>45511</v>
      </c>
      <c r="I1123" s="1" t="s">
        <v>1288</v>
      </c>
      <c r="J1123" s="1" t="s">
        <v>62</v>
      </c>
      <c r="K1123" s="1" t="s">
        <v>63</v>
      </c>
      <c r="L1123" s="2">
        <v>45505</v>
      </c>
      <c r="M1123" s="6">
        <f>T_SALES[[#This Row],[Profit]]/T_SALES[[#This Row],[Amount]]</f>
        <v>0.15728449000168038</v>
      </c>
    </row>
    <row r="1124" spans="1:13" x14ac:dyDescent="0.25">
      <c r="A1124" s="1" t="s">
        <v>1287</v>
      </c>
      <c r="B1124" s="7">
        <v>5951</v>
      </c>
      <c r="C1124" s="8">
        <v>936</v>
      </c>
      <c r="D1124">
        <v>6</v>
      </c>
      <c r="E1124" s="1" t="s">
        <v>13</v>
      </c>
      <c r="F1124" s="1" t="s">
        <v>34</v>
      </c>
      <c r="G1124" s="1" t="s">
        <v>29</v>
      </c>
      <c r="H1124" s="2">
        <v>44768</v>
      </c>
      <c r="I1124" s="1" t="s">
        <v>1289</v>
      </c>
      <c r="J1124" s="1" t="s">
        <v>82</v>
      </c>
      <c r="K1124" s="1" t="s">
        <v>83</v>
      </c>
      <c r="L1124" s="2">
        <v>44743</v>
      </c>
      <c r="M1124" s="6">
        <f>T_SALES[[#This Row],[Profit]]/T_SALES[[#This Row],[Amount]]</f>
        <v>0.15728449000168038</v>
      </c>
    </row>
    <row r="1125" spans="1:13" x14ac:dyDescent="0.25">
      <c r="A1125" s="1" t="s">
        <v>1290</v>
      </c>
      <c r="B1125" s="7">
        <v>992</v>
      </c>
      <c r="C1125" s="8">
        <v>177</v>
      </c>
      <c r="D1125">
        <v>6</v>
      </c>
      <c r="E1125" s="1" t="s">
        <v>13</v>
      </c>
      <c r="F1125" s="1" t="s">
        <v>70</v>
      </c>
      <c r="G1125" s="1" t="s">
        <v>15</v>
      </c>
      <c r="H1125" s="2">
        <v>45304</v>
      </c>
      <c r="I1125" s="1" t="s">
        <v>1291</v>
      </c>
      <c r="J1125" s="1" t="s">
        <v>37</v>
      </c>
      <c r="K1125" s="1" t="s">
        <v>38</v>
      </c>
      <c r="L1125" s="2">
        <v>45292</v>
      </c>
      <c r="M1125" s="6">
        <f>T_SALES[[#This Row],[Profit]]/T_SALES[[#This Row],[Amount]]</f>
        <v>0.17842741935483872</v>
      </c>
    </row>
    <row r="1126" spans="1:13" x14ac:dyDescent="0.25">
      <c r="A1126" s="1" t="s">
        <v>1290</v>
      </c>
      <c r="B1126" s="7">
        <v>4699</v>
      </c>
      <c r="C1126" s="8">
        <v>625</v>
      </c>
      <c r="D1126">
        <v>18</v>
      </c>
      <c r="E1126" s="1" t="s">
        <v>27</v>
      </c>
      <c r="F1126" s="1" t="s">
        <v>49</v>
      </c>
      <c r="G1126" s="1" t="s">
        <v>35</v>
      </c>
      <c r="H1126" s="2">
        <v>45304</v>
      </c>
      <c r="I1126" s="1" t="s">
        <v>1291</v>
      </c>
      <c r="J1126" s="1" t="s">
        <v>37</v>
      </c>
      <c r="K1126" s="1" t="s">
        <v>38</v>
      </c>
      <c r="L1126" s="2">
        <v>45292</v>
      </c>
      <c r="M1126" s="6">
        <f>T_SALES[[#This Row],[Profit]]/T_SALES[[#This Row],[Amount]]</f>
        <v>0.13300702277080229</v>
      </c>
    </row>
    <row r="1127" spans="1:13" x14ac:dyDescent="0.25">
      <c r="A1127" s="1" t="s">
        <v>1292</v>
      </c>
      <c r="B1127" s="7">
        <v>5557</v>
      </c>
      <c r="C1127" s="8">
        <v>2114</v>
      </c>
      <c r="D1127">
        <v>17</v>
      </c>
      <c r="E1127" s="1" t="s">
        <v>13</v>
      </c>
      <c r="F1127" s="1" t="s">
        <v>34</v>
      </c>
      <c r="G1127" s="1" t="s">
        <v>35</v>
      </c>
      <c r="H1127" s="2">
        <v>44344</v>
      </c>
      <c r="I1127" s="1" t="s">
        <v>1293</v>
      </c>
      <c r="J1127" s="1" t="s">
        <v>82</v>
      </c>
      <c r="K1127" s="1" t="s">
        <v>97</v>
      </c>
      <c r="L1127" s="2">
        <v>44317</v>
      </c>
      <c r="M1127" s="6">
        <f>T_SALES[[#This Row],[Profit]]/T_SALES[[#This Row],[Amount]]</f>
        <v>0.38042109051646572</v>
      </c>
    </row>
    <row r="1128" spans="1:13" x14ac:dyDescent="0.25">
      <c r="A1128" s="1" t="s">
        <v>1294</v>
      </c>
      <c r="B1128" s="7">
        <v>3436</v>
      </c>
      <c r="C1128" s="8">
        <v>933</v>
      </c>
      <c r="D1128">
        <v>3</v>
      </c>
      <c r="E1128" s="1" t="s">
        <v>13</v>
      </c>
      <c r="F1128" s="1" t="s">
        <v>14</v>
      </c>
      <c r="G1128" s="1" t="s">
        <v>41</v>
      </c>
      <c r="H1128" s="2">
        <v>44360</v>
      </c>
      <c r="I1128" s="1" t="s">
        <v>1295</v>
      </c>
      <c r="J1128" s="1" t="s">
        <v>62</v>
      </c>
      <c r="K1128" s="1" t="s">
        <v>63</v>
      </c>
      <c r="L1128" s="2">
        <v>44348</v>
      </c>
      <c r="M1128" s="6">
        <f>T_SALES[[#This Row],[Profit]]/T_SALES[[#This Row],[Amount]]</f>
        <v>0.27153667054714786</v>
      </c>
    </row>
    <row r="1129" spans="1:13" x14ac:dyDescent="0.25">
      <c r="A1129" s="1" t="s">
        <v>1296</v>
      </c>
      <c r="B1129" s="7">
        <v>9840</v>
      </c>
      <c r="C1129" s="8">
        <v>3870</v>
      </c>
      <c r="D1129">
        <v>11</v>
      </c>
      <c r="E1129" s="1" t="s">
        <v>13</v>
      </c>
      <c r="F1129" s="1" t="s">
        <v>25</v>
      </c>
      <c r="G1129" s="1" t="s">
        <v>29</v>
      </c>
      <c r="H1129" s="2">
        <v>45041</v>
      </c>
      <c r="I1129" s="1" t="s">
        <v>1297</v>
      </c>
      <c r="J1129" s="1" t="s">
        <v>62</v>
      </c>
      <c r="K1129" s="1" t="s">
        <v>74</v>
      </c>
      <c r="L1129" s="2">
        <v>45017</v>
      </c>
      <c r="M1129" s="6">
        <f>T_SALES[[#This Row],[Profit]]/T_SALES[[#This Row],[Amount]]</f>
        <v>0.39329268292682928</v>
      </c>
    </row>
    <row r="1130" spans="1:13" x14ac:dyDescent="0.25">
      <c r="A1130" s="1" t="s">
        <v>1298</v>
      </c>
      <c r="B1130" s="7">
        <v>7620</v>
      </c>
      <c r="C1130" s="8">
        <v>125</v>
      </c>
      <c r="D1130">
        <v>4</v>
      </c>
      <c r="E1130" s="1" t="s">
        <v>27</v>
      </c>
      <c r="F1130" s="1" t="s">
        <v>55</v>
      </c>
      <c r="G1130" s="1" t="s">
        <v>35</v>
      </c>
      <c r="H1130" s="2">
        <v>44382</v>
      </c>
      <c r="I1130" s="1" t="s">
        <v>1299</v>
      </c>
      <c r="J1130" s="1" t="s">
        <v>37</v>
      </c>
      <c r="K1130" s="1" t="s">
        <v>78</v>
      </c>
      <c r="L1130" s="2">
        <v>44378</v>
      </c>
      <c r="M1130" s="6">
        <f>T_SALES[[#This Row],[Profit]]/T_SALES[[#This Row],[Amount]]</f>
        <v>1.6404199475065617E-2</v>
      </c>
    </row>
    <row r="1131" spans="1:13" x14ac:dyDescent="0.25">
      <c r="A1131" s="1" t="s">
        <v>1298</v>
      </c>
      <c r="B1131" s="7">
        <v>7620</v>
      </c>
      <c r="C1131" s="8">
        <v>125</v>
      </c>
      <c r="D1131">
        <v>4</v>
      </c>
      <c r="E1131" s="1" t="s">
        <v>27</v>
      </c>
      <c r="F1131" s="1" t="s">
        <v>55</v>
      </c>
      <c r="G1131" s="1" t="s">
        <v>35</v>
      </c>
      <c r="H1131" s="2">
        <v>45577</v>
      </c>
      <c r="I1131" s="1" t="s">
        <v>1300</v>
      </c>
      <c r="J1131" s="1" t="s">
        <v>37</v>
      </c>
      <c r="K1131" s="1" t="s">
        <v>78</v>
      </c>
      <c r="L1131" s="2">
        <v>45566</v>
      </c>
      <c r="M1131" s="6">
        <f>T_SALES[[#This Row],[Profit]]/T_SALES[[#This Row],[Amount]]</f>
        <v>1.6404199475065617E-2</v>
      </c>
    </row>
    <row r="1132" spans="1:13" x14ac:dyDescent="0.25">
      <c r="A1132" s="1" t="s">
        <v>1301</v>
      </c>
      <c r="B1132" s="7">
        <v>4314</v>
      </c>
      <c r="C1132" s="8">
        <v>1591</v>
      </c>
      <c r="D1132">
        <v>5</v>
      </c>
      <c r="E1132" s="1" t="s">
        <v>39</v>
      </c>
      <c r="F1132" s="1" t="s">
        <v>40</v>
      </c>
      <c r="G1132" s="1" t="s">
        <v>29</v>
      </c>
      <c r="H1132" s="2">
        <v>44473</v>
      </c>
      <c r="I1132" s="1" t="s">
        <v>1302</v>
      </c>
      <c r="J1132" s="1" t="s">
        <v>23</v>
      </c>
      <c r="K1132" s="1" t="s">
        <v>24</v>
      </c>
      <c r="L1132" s="2">
        <v>44470</v>
      </c>
      <c r="M1132" s="6">
        <f>T_SALES[[#This Row],[Profit]]/T_SALES[[#This Row],[Amount]]</f>
        <v>0.36879925822902176</v>
      </c>
    </row>
    <row r="1133" spans="1:13" x14ac:dyDescent="0.25">
      <c r="A1133" s="1" t="s">
        <v>1303</v>
      </c>
      <c r="B1133" s="7">
        <v>8851</v>
      </c>
      <c r="C1133" s="8">
        <v>999</v>
      </c>
      <c r="D1133">
        <v>12</v>
      </c>
      <c r="E1133" s="1" t="s">
        <v>13</v>
      </c>
      <c r="F1133" s="1" t="s">
        <v>34</v>
      </c>
      <c r="G1133" s="1" t="s">
        <v>15</v>
      </c>
      <c r="H1133" s="2">
        <v>45329</v>
      </c>
      <c r="I1133" s="1" t="s">
        <v>1304</v>
      </c>
      <c r="J1133" s="1" t="s">
        <v>82</v>
      </c>
      <c r="K1133" s="1" t="s">
        <v>89</v>
      </c>
      <c r="L1133" s="2">
        <v>45323</v>
      </c>
      <c r="M1133" s="6">
        <f>T_SALES[[#This Row],[Profit]]/T_SALES[[#This Row],[Amount]]</f>
        <v>0.1128686024178059</v>
      </c>
    </row>
    <row r="1134" spans="1:13" x14ac:dyDescent="0.25">
      <c r="A1134" s="1" t="s">
        <v>1305</v>
      </c>
      <c r="B1134" s="7">
        <v>544</v>
      </c>
      <c r="C1134" s="8">
        <v>272</v>
      </c>
      <c r="D1134">
        <v>2</v>
      </c>
      <c r="E1134" s="1" t="s">
        <v>13</v>
      </c>
      <c r="F1134" s="1" t="s">
        <v>34</v>
      </c>
      <c r="G1134" s="1" t="s">
        <v>29</v>
      </c>
      <c r="H1134" s="2">
        <v>44260</v>
      </c>
      <c r="I1134" s="1" t="s">
        <v>1306</v>
      </c>
      <c r="J1134" s="1" t="s">
        <v>62</v>
      </c>
      <c r="K1134" s="1" t="s">
        <v>111</v>
      </c>
      <c r="L1134" s="2">
        <v>44256</v>
      </c>
      <c r="M1134" s="6">
        <f>T_SALES[[#This Row],[Profit]]/T_SALES[[#This Row],[Amount]]</f>
        <v>0.5</v>
      </c>
    </row>
    <row r="1135" spans="1:13" x14ac:dyDescent="0.25">
      <c r="A1135" s="1" t="s">
        <v>1305</v>
      </c>
      <c r="B1135" s="7">
        <v>544</v>
      </c>
      <c r="C1135" s="8">
        <v>272</v>
      </c>
      <c r="D1135">
        <v>2</v>
      </c>
      <c r="E1135" s="1" t="s">
        <v>13</v>
      </c>
      <c r="F1135" s="1" t="s">
        <v>34</v>
      </c>
      <c r="G1135" s="1" t="s">
        <v>29</v>
      </c>
      <c r="H1135" s="2">
        <v>45102</v>
      </c>
      <c r="I1135" s="1" t="s">
        <v>1307</v>
      </c>
      <c r="J1135" s="1" t="s">
        <v>23</v>
      </c>
      <c r="K1135" s="1" t="s">
        <v>24</v>
      </c>
      <c r="L1135" s="2">
        <v>45078</v>
      </c>
      <c r="M1135" s="6">
        <f>T_SALES[[#This Row],[Profit]]/T_SALES[[#This Row],[Amount]]</f>
        <v>0.5</v>
      </c>
    </row>
    <row r="1136" spans="1:13" x14ac:dyDescent="0.25">
      <c r="A1136" s="1" t="s">
        <v>1308</v>
      </c>
      <c r="B1136" s="7">
        <v>537</v>
      </c>
      <c r="C1136" s="8">
        <v>142</v>
      </c>
      <c r="D1136">
        <v>20</v>
      </c>
      <c r="E1136" s="1" t="s">
        <v>27</v>
      </c>
      <c r="F1136" s="1" t="s">
        <v>49</v>
      </c>
      <c r="G1136" s="1" t="s">
        <v>35</v>
      </c>
      <c r="H1136" s="2">
        <v>44410</v>
      </c>
      <c r="I1136" s="1" t="s">
        <v>1309</v>
      </c>
      <c r="J1136" s="1" t="s">
        <v>20</v>
      </c>
      <c r="K1136" s="1" t="s">
        <v>137</v>
      </c>
      <c r="L1136" s="2">
        <v>44409</v>
      </c>
      <c r="M1136" s="6">
        <f>T_SALES[[#This Row],[Profit]]/T_SALES[[#This Row],[Amount]]</f>
        <v>0.26443202979515829</v>
      </c>
    </row>
    <row r="1137" spans="1:13" x14ac:dyDescent="0.25">
      <c r="A1137" s="1" t="s">
        <v>1310</v>
      </c>
      <c r="B1137" s="7">
        <v>5944</v>
      </c>
      <c r="C1137" s="8">
        <v>2661</v>
      </c>
      <c r="D1137">
        <v>7</v>
      </c>
      <c r="E1137" s="1" t="s">
        <v>13</v>
      </c>
      <c r="F1137" s="1" t="s">
        <v>34</v>
      </c>
      <c r="G1137" s="1" t="s">
        <v>35</v>
      </c>
      <c r="H1137" s="2">
        <v>44637</v>
      </c>
      <c r="I1137" s="1" t="s">
        <v>1311</v>
      </c>
      <c r="J1137" s="1" t="s">
        <v>62</v>
      </c>
      <c r="K1137" s="1" t="s">
        <v>74</v>
      </c>
      <c r="L1137" s="2">
        <v>44621</v>
      </c>
      <c r="M1137" s="6">
        <f>T_SALES[[#This Row],[Profit]]/T_SALES[[#This Row],[Amount]]</f>
        <v>0.44767833109017496</v>
      </c>
    </row>
    <row r="1138" spans="1:13" x14ac:dyDescent="0.25">
      <c r="A1138" s="1" t="s">
        <v>1312</v>
      </c>
      <c r="B1138" s="7">
        <v>2258</v>
      </c>
      <c r="C1138" s="8">
        <v>135</v>
      </c>
      <c r="D1138">
        <v>18</v>
      </c>
      <c r="E1138" s="1" t="s">
        <v>13</v>
      </c>
      <c r="F1138" s="1" t="s">
        <v>25</v>
      </c>
      <c r="G1138" s="1" t="s">
        <v>41</v>
      </c>
      <c r="H1138" s="2">
        <v>45329</v>
      </c>
      <c r="I1138" s="1" t="s">
        <v>1313</v>
      </c>
      <c r="J1138" s="1" t="s">
        <v>17</v>
      </c>
      <c r="K1138" s="1" t="s">
        <v>18</v>
      </c>
      <c r="L1138" s="2">
        <v>45323</v>
      </c>
      <c r="M1138" s="6">
        <f>T_SALES[[#This Row],[Profit]]/T_SALES[[#This Row],[Amount]]</f>
        <v>5.9787422497785653E-2</v>
      </c>
    </row>
    <row r="1139" spans="1:13" x14ac:dyDescent="0.25">
      <c r="A1139" s="1" t="s">
        <v>1312</v>
      </c>
      <c r="B1139" s="7">
        <v>2258</v>
      </c>
      <c r="C1139" s="8">
        <v>135</v>
      </c>
      <c r="D1139">
        <v>18</v>
      </c>
      <c r="E1139" s="1" t="s">
        <v>13</v>
      </c>
      <c r="F1139" s="1" t="s">
        <v>25</v>
      </c>
      <c r="G1139" s="1" t="s">
        <v>41</v>
      </c>
      <c r="H1139" s="2">
        <v>44792</v>
      </c>
      <c r="I1139" s="1" t="s">
        <v>1314</v>
      </c>
      <c r="J1139" s="1" t="s">
        <v>37</v>
      </c>
      <c r="K1139" s="1" t="s">
        <v>65</v>
      </c>
      <c r="L1139" s="2">
        <v>44774</v>
      </c>
      <c r="M1139" s="6">
        <f>T_SALES[[#This Row],[Profit]]/T_SALES[[#This Row],[Amount]]</f>
        <v>5.9787422497785653E-2</v>
      </c>
    </row>
    <row r="1140" spans="1:13" x14ac:dyDescent="0.25">
      <c r="A1140" s="1" t="s">
        <v>1315</v>
      </c>
      <c r="B1140" s="7">
        <v>9609</v>
      </c>
      <c r="C1140" s="8">
        <v>4339</v>
      </c>
      <c r="D1140">
        <v>3</v>
      </c>
      <c r="E1140" s="1" t="s">
        <v>39</v>
      </c>
      <c r="F1140" s="1" t="s">
        <v>51</v>
      </c>
      <c r="G1140" s="1" t="s">
        <v>29</v>
      </c>
      <c r="H1140" s="2">
        <v>45554</v>
      </c>
      <c r="I1140" s="1" t="s">
        <v>1316</v>
      </c>
      <c r="J1140" s="1" t="s">
        <v>62</v>
      </c>
      <c r="K1140" s="1" t="s">
        <v>111</v>
      </c>
      <c r="L1140" s="2">
        <v>45536</v>
      </c>
      <c r="M1140" s="6">
        <f>T_SALES[[#This Row],[Profit]]/T_SALES[[#This Row],[Amount]]</f>
        <v>0.45155583307316061</v>
      </c>
    </row>
    <row r="1141" spans="1:13" x14ac:dyDescent="0.25">
      <c r="A1141" s="1" t="s">
        <v>1315</v>
      </c>
      <c r="B1141" s="7">
        <v>9609</v>
      </c>
      <c r="C1141" s="8">
        <v>4339</v>
      </c>
      <c r="D1141">
        <v>3</v>
      </c>
      <c r="E1141" s="1" t="s">
        <v>39</v>
      </c>
      <c r="F1141" s="1" t="s">
        <v>51</v>
      </c>
      <c r="G1141" s="1" t="s">
        <v>29</v>
      </c>
      <c r="H1141" s="2">
        <v>43926</v>
      </c>
      <c r="I1141" s="1" t="s">
        <v>1317</v>
      </c>
      <c r="J1141" s="1" t="s">
        <v>82</v>
      </c>
      <c r="K1141" s="1" t="s">
        <v>89</v>
      </c>
      <c r="L1141" s="2">
        <v>43922</v>
      </c>
      <c r="M1141" s="6">
        <f>T_SALES[[#This Row],[Profit]]/T_SALES[[#This Row],[Amount]]</f>
        <v>0.45155583307316061</v>
      </c>
    </row>
    <row r="1142" spans="1:13" x14ac:dyDescent="0.25">
      <c r="A1142" s="1" t="s">
        <v>1318</v>
      </c>
      <c r="B1142" s="7">
        <v>9952</v>
      </c>
      <c r="C1142" s="8">
        <v>3301</v>
      </c>
      <c r="D1142">
        <v>15</v>
      </c>
      <c r="E1142" s="1" t="s">
        <v>13</v>
      </c>
      <c r="F1142" s="1" t="s">
        <v>14</v>
      </c>
      <c r="G1142" s="1" t="s">
        <v>29</v>
      </c>
      <c r="H1142" s="2">
        <v>44995</v>
      </c>
      <c r="I1142" s="1" t="s">
        <v>1319</v>
      </c>
      <c r="J1142" s="1" t="s">
        <v>62</v>
      </c>
      <c r="K1142" s="1" t="s">
        <v>63</v>
      </c>
      <c r="L1142" s="2">
        <v>44986</v>
      </c>
      <c r="M1142" s="6">
        <f>T_SALES[[#This Row],[Profit]]/T_SALES[[#This Row],[Amount]]</f>
        <v>0.33169212218649519</v>
      </c>
    </row>
    <row r="1143" spans="1:13" x14ac:dyDescent="0.25">
      <c r="A1143" s="1" t="s">
        <v>1320</v>
      </c>
      <c r="B1143" s="7">
        <v>9873</v>
      </c>
      <c r="C1143" s="8">
        <v>4585</v>
      </c>
      <c r="D1143">
        <v>7</v>
      </c>
      <c r="E1143" s="1" t="s">
        <v>27</v>
      </c>
      <c r="F1143" s="1" t="s">
        <v>55</v>
      </c>
      <c r="G1143" s="1" t="s">
        <v>41</v>
      </c>
      <c r="H1143" s="2">
        <v>44053</v>
      </c>
      <c r="I1143" s="1" t="s">
        <v>1321</v>
      </c>
      <c r="J1143" s="1" t="s">
        <v>82</v>
      </c>
      <c r="K1143" s="1" t="s">
        <v>83</v>
      </c>
      <c r="L1143" s="2">
        <v>44044</v>
      </c>
      <c r="M1143" s="6">
        <f>T_SALES[[#This Row],[Profit]]/T_SALES[[#This Row],[Amount]]</f>
        <v>0.46439785272966677</v>
      </c>
    </row>
    <row r="1144" spans="1:13" x14ac:dyDescent="0.25">
      <c r="A1144" s="1" t="s">
        <v>1322</v>
      </c>
      <c r="B1144" s="7">
        <v>3560</v>
      </c>
      <c r="C1144" s="8">
        <v>1335</v>
      </c>
      <c r="D1144">
        <v>15</v>
      </c>
      <c r="E1144" s="1" t="s">
        <v>13</v>
      </c>
      <c r="F1144" s="1" t="s">
        <v>14</v>
      </c>
      <c r="G1144" s="1" t="s">
        <v>56</v>
      </c>
      <c r="H1144" s="2">
        <v>43950</v>
      </c>
      <c r="I1144" s="1" t="s">
        <v>1323</v>
      </c>
      <c r="J1144" s="1" t="s">
        <v>23</v>
      </c>
      <c r="K1144" s="1" t="s">
        <v>45</v>
      </c>
      <c r="L1144" s="2">
        <v>43922</v>
      </c>
      <c r="M1144" s="6">
        <f>T_SALES[[#This Row],[Profit]]/T_SALES[[#This Row],[Amount]]</f>
        <v>0.375</v>
      </c>
    </row>
    <row r="1145" spans="1:13" x14ac:dyDescent="0.25">
      <c r="A1145" s="1" t="s">
        <v>1322</v>
      </c>
      <c r="B1145" s="7">
        <v>3560</v>
      </c>
      <c r="C1145" s="8">
        <v>1335</v>
      </c>
      <c r="D1145">
        <v>15</v>
      </c>
      <c r="E1145" s="1" t="s">
        <v>13</v>
      </c>
      <c r="F1145" s="1" t="s">
        <v>14</v>
      </c>
      <c r="G1145" s="1" t="s">
        <v>56</v>
      </c>
      <c r="H1145" s="2">
        <v>45001</v>
      </c>
      <c r="I1145" s="1" t="s">
        <v>1324</v>
      </c>
      <c r="J1145" s="1" t="s">
        <v>20</v>
      </c>
      <c r="K1145" s="1" t="s">
        <v>54</v>
      </c>
      <c r="L1145" s="2">
        <v>44986</v>
      </c>
      <c r="M1145" s="6">
        <f>T_SALES[[#This Row],[Profit]]/T_SALES[[#This Row],[Amount]]</f>
        <v>0.375</v>
      </c>
    </row>
    <row r="1146" spans="1:13" x14ac:dyDescent="0.25">
      <c r="A1146" s="1" t="s">
        <v>1325</v>
      </c>
      <c r="B1146" s="7">
        <v>6528</v>
      </c>
      <c r="C1146" s="8">
        <v>76</v>
      </c>
      <c r="D1146">
        <v>9</v>
      </c>
      <c r="E1146" s="1" t="s">
        <v>13</v>
      </c>
      <c r="F1146" s="1" t="s">
        <v>70</v>
      </c>
      <c r="G1146" s="1" t="s">
        <v>29</v>
      </c>
      <c r="H1146" s="2">
        <v>43955</v>
      </c>
      <c r="I1146" s="1" t="s">
        <v>1326</v>
      </c>
      <c r="J1146" s="1" t="s">
        <v>23</v>
      </c>
      <c r="K1146" s="1" t="s">
        <v>24</v>
      </c>
      <c r="L1146" s="2">
        <v>43952</v>
      </c>
      <c r="M1146" s="6">
        <f>T_SALES[[#This Row],[Profit]]/T_SALES[[#This Row],[Amount]]</f>
        <v>1.1642156862745098E-2</v>
      </c>
    </row>
    <row r="1147" spans="1:13" x14ac:dyDescent="0.25">
      <c r="A1147" s="1" t="s">
        <v>1325</v>
      </c>
      <c r="B1147" s="7">
        <v>8930</v>
      </c>
      <c r="C1147" s="8">
        <v>3374</v>
      </c>
      <c r="D1147">
        <v>12</v>
      </c>
      <c r="E1147" s="1" t="s">
        <v>39</v>
      </c>
      <c r="F1147" s="1" t="s">
        <v>51</v>
      </c>
      <c r="G1147" s="1" t="s">
        <v>29</v>
      </c>
      <c r="H1147" s="2">
        <v>43955</v>
      </c>
      <c r="I1147" s="1" t="s">
        <v>1326</v>
      </c>
      <c r="J1147" s="1" t="s">
        <v>23</v>
      </c>
      <c r="K1147" s="1" t="s">
        <v>24</v>
      </c>
      <c r="L1147" s="2">
        <v>43952</v>
      </c>
      <c r="M1147" s="6">
        <f>T_SALES[[#This Row],[Profit]]/T_SALES[[#This Row],[Amount]]</f>
        <v>0.37782754759238524</v>
      </c>
    </row>
    <row r="1148" spans="1:13" x14ac:dyDescent="0.25">
      <c r="A1148" s="1" t="s">
        <v>1327</v>
      </c>
      <c r="B1148" s="7">
        <v>4521</v>
      </c>
      <c r="C1148" s="8">
        <v>1778</v>
      </c>
      <c r="D1148">
        <v>9</v>
      </c>
      <c r="E1148" s="1" t="s">
        <v>27</v>
      </c>
      <c r="F1148" s="1" t="s">
        <v>55</v>
      </c>
      <c r="G1148" s="1" t="s">
        <v>29</v>
      </c>
      <c r="H1148" s="2">
        <v>45580</v>
      </c>
      <c r="I1148" s="1" t="s">
        <v>1328</v>
      </c>
      <c r="J1148" s="1" t="s">
        <v>17</v>
      </c>
      <c r="K1148" s="1" t="s">
        <v>121</v>
      </c>
      <c r="L1148" s="2">
        <v>45566</v>
      </c>
      <c r="M1148" s="6">
        <f>T_SALES[[#This Row],[Profit]]/T_SALES[[#This Row],[Amount]]</f>
        <v>0.39327582393275823</v>
      </c>
    </row>
    <row r="1149" spans="1:13" x14ac:dyDescent="0.25">
      <c r="A1149" s="1" t="s">
        <v>1329</v>
      </c>
      <c r="B1149" s="7">
        <v>7091</v>
      </c>
      <c r="C1149" s="8">
        <v>2317</v>
      </c>
      <c r="D1149">
        <v>10</v>
      </c>
      <c r="E1149" s="1" t="s">
        <v>39</v>
      </c>
      <c r="F1149" s="1" t="s">
        <v>51</v>
      </c>
      <c r="G1149" s="1" t="s">
        <v>41</v>
      </c>
      <c r="H1149" s="2">
        <v>44721</v>
      </c>
      <c r="I1149" s="1" t="s">
        <v>1330</v>
      </c>
      <c r="J1149" s="1" t="s">
        <v>37</v>
      </c>
      <c r="K1149" s="1" t="s">
        <v>65</v>
      </c>
      <c r="L1149" s="2">
        <v>44713</v>
      </c>
      <c r="M1149" s="6">
        <f>T_SALES[[#This Row],[Profit]]/T_SALES[[#This Row],[Amount]]</f>
        <v>0.32675222112537017</v>
      </c>
    </row>
    <row r="1150" spans="1:13" x14ac:dyDescent="0.25">
      <c r="A1150" s="1" t="s">
        <v>1331</v>
      </c>
      <c r="B1150" s="7">
        <v>2101</v>
      </c>
      <c r="C1150" s="8">
        <v>287</v>
      </c>
      <c r="D1150">
        <v>8</v>
      </c>
      <c r="E1150" s="1" t="s">
        <v>27</v>
      </c>
      <c r="F1150" s="1" t="s">
        <v>28</v>
      </c>
      <c r="G1150" s="1" t="s">
        <v>56</v>
      </c>
      <c r="H1150" s="2">
        <v>44016</v>
      </c>
      <c r="I1150" s="1" t="s">
        <v>642</v>
      </c>
      <c r="J1150" s="1" t="s">
        <v>82</v>
      </c>
      <c r="K1150" s="1" t="s">
        <v>97</v>
      </c>
      <c r="L1150" s="2">
        <v>44013</v>
      </c>
      <c r="M1150" s="6">
        <f>T_SALES[[#This Row],[Profit]]/T_SALES[[#This Row],[Amount]]</f>
        <v>0.13660161827701095</v>
      </c>
    </row>
    <row r="1151" spans="1:13" x14ac:dyDescent="0.25">
      <c r="A1151" s="1" t="s">
        <v>1331</v>
      </c>
      <c r="B1151" s="7">
        <v>2101</v>
      </c>
      <c r="C1151" s="8">
        <v>287</v>
      </c>
      <c r="D1151">
        <v>8</v>
      </c>
      <c r="E1151" s="1" t="s">
        <v>27</v>
      </c>
      <c r="F1151" s="1" t="s">
        <v>28</v>
      </c>
      <c r="G1151" s="1" t="s">
        <v>56</v>
      </c>
      <c r="H1151" s="2">
        <v>45025</v>
      </c>
      <c r="I1151" s="1" t="s">
        <v>1332</v>
      </c>
      <c r="J1151" s="1" t="s">
        <v>20</v>
      </c>
      <c r="K1151" s="1" t="s">
        <v>21</v>
      </c>
      <c r="L1151" s="2">
        <v>45017</v>
      </c>
      <c r="M1151" s="6">
        <f>T_SALES[[#This Row],[Profit]]/T_SALES[[#This Row],[Amount]]</f>
        <v>0.13660161827701095</v>
      </c>
    </row>
    <row r="1152" spans="1:13" x14ac:dyDescent="0.25">
      <c r="A1152" s="1" t="s">
        <v>1333</v>
      </c>
      <c r="B1152" s="7">
        <v>8644</v>
      </c>
      <c r="C1152" s="8">
        <v>1968</v>
      </c>
      <c r="D1152">
        <v>9</v>
      </c>
      <c r="E1152" s="1" t="s">
        <v>27</v>
      </c>
      <c r="F1152" s="1" t="s">
        <v>55</v>
      </c>
      <c r="G1152" s="1" t="s">
        <v>29</v>
      </c>
      <c r="H1152" s="2">
        <v>45254</v>
      </c>
      <c r="I1152" s="1" t="s">
        <v>1334</v>
      </c>
      <c r="J1152" s="1" t="s">
        <v>20</v>
      </c>
      <c r="K1152" s="1" t="s">
        <v>21</v>
      </c>
      <c r="L1152" s="2">
        <v>45231</v>
      </c>
      <c r="M1152" s="6">
        <f>T_SALES[[#This Row],[Profit]]/T_SALES[[#This Row],[Amount]]</f>
        <v>0.22767237390097178</v>
      </c>
    </row>
    <row r="1153" spans="1:13" x14ac:dyDescent="0.25">
      <c r="A1153" s="1" t="s">
        <v>1335</v>
      </c>
      <c r="B1153" s="7">
        <v>6672</v>
      </c>
      <c r="C1153" s="8">
        <v>3319</v>
      </c>
      <c r="D1153">
        <v>4</v>
      </c>
      <c r="E1153" s="1" t="s">
        <v>39</v>
      </c>
      <c r="F1153" s="1" t="s">
        <v>40</v>
      </c>
      <c r="G1153" s="1" t="s">
        <v>15</v>
      </c>
      <c r="H1153" s="2">
        <v>45259</v>
      </c>
      <c r="I1153" s="1" t="s">
        <v>1336</v>
      </c>
      <c r="J1153" s="1" t="s">
        <v>62</v>
      </c>
      <c r="K1153" s="1" t="s">
        <v>63</v>
      </c>
      <c r="L1153" s="2">
        <v>45231</v>
      </c>
      <c r="M1153" s="6">
        <f>T_SALES[[#This Row],[Profit]]/T_SALES[[#This Row],[Amount]]</f>
        <v>0.49745203836930457</v>
      </c>
    </row>
    <row r="1154" spans="1:13" x14ac:dyDescent="0.25">
      <c r="A1154" s="1" t="s">
        <v>1335</v>
      </c>
      <c r="B1154" s="7">
        <v>6672</v>
      </c>
      <c r="C1154" s="8">
        <v>3319</v>
      </c>
      <c r="D1154">
        <v>4</v>
      </c>
      <c r="E1154" s="1" t="s">
        <v>39</v>
      </c>
      <c r="F1154" s="1" t="s">
        <v>40</v>
      </c>
      <c r="G1154" s="1" t="s">
        <v>15</v>
      </c>
      <c r="H1154" s="2">
        <v>45432</v>
      </c>
      <c r="I1154" s="1" t="s">
        <v>1337</v>
      </c>
      <c r="J1154" s="1" t="s">
        <v>37</v>
      </c>
      <c r="K1154" s="1" t="s">
        <v>65</v>
      </c>
      <c r="L1154" s="2">
        <v>45413</v>
      </c>
      <c r="M1154" s="6">
        <f>T_SALES[[#This Row],[Profit]]/T_SALES[[#This Row],[Amount]]</f>
        <v>0.49745203836930457</v>
      </c>
    </row>
    <row r="1155" spans="1:13" x14ac:dyDescent="0.25">
      <c r="A1155" s="1" t="s">
        <v>1338</v>
      </c>
      <c r="B1155" s="7">
        <v>4699</v>
      </c>
      <c r="C1155" s="8">
        <v>103</v>
      </c>
      <c r="D1155">
        <v>12</v>
      </c>
      <c r="E1155" s="1" t="s">
        <v>27</v>
      </c>
      <c r="F1155" s="1" t="s">
        <v>67</v>
      </c>
      <c r="G1155" s="1" t="s">
        <v>15</v>
      </c>
      <c r="H1155" s="2">
        <v>45433</v>
      </c>
      <c r="I1155" s="1" t="s">
        <v>1339</v>
      </c>
      <c r="J1155" s="1" t="s">
        <v>82</v>
      </c>
      <c r="K1155" s="1" t="s">
        <v>89</v>
      </c>
      <c r="L1155" s="2">
        <v>45413</v>
      </c>
      <c r="M1155" s="6">
        <f>T_SALES[[#This Row],[Profit]]/T_SALES[[#This Row],[Amount]]</f>
        <v>2.1919557352628218E-2</v>
      </c>
    </row>
    <row r="1156" spans="1:13" x14ac:dyDescent="0.25">
      <c r="A1156" s="1" t="s">
        <v>1340</v>
      </c>
      <c r="B1156" s="7">
        <v>4897</v>
      </c>
      <c r="C1156" s="8">
        <v>1001</v>
      </c>
      <c r="D1156">
        <v>14</v>
      </c>
      <c r="E1156" s="1" t="s">
        <v>39</v>
      </c>
      <c r="F1156" s="1" t="s">
        <v>51</v>
      </c>
      <c r="G1156" s="1" t="s">
        <v>29</v>
      </c>
      <c r="H1156" s="2">
        <v>44537</v>
      </c>
      <c r="I1156" s="1" t="s">
        <v>1341</v>
      </c>
      <c r="J1156" s="1" t="s">
        <v>62</v>
      </c>
      <c r="K1156" s="1" t="s">
        <v>111</v>
      </c>
      <c r="L1156" s="2">
        <v>44531</v>
      </c>
      <c r="M1156" s="6">
        <f>T_SALES[[#This Row],[Profit]]/T_SALES[[#This Row],[Amount]]</f>
        <v>0.20441086379415968</v>
      </c>
    </row>
    <row r="1157" spans="1:13" x14ac:dyDescent="0.25">
      <c r="A1157" s="1" t="s">
        <v>1340</v>
      </c>
      <c r="B1157" s="7">
        <v>4897</v>
      </c>
      <c r="C1157" s="8">
        <v>1001</v>
      </c>
      <c r="D1157">
        <v>14</v>
      </c>
      <c r="E1157" s="1" t="s">
        <v>39</v>
      </c>
      <c r="F1157" s="1" t="s">
        <v>51</v>
      </c>
      <c r="G1157" s="1" t="s">
        <v>29</v>
      </c>
      <c r="H1157" s="2">
        <v>45663</v>
      </c>
      <c r="I1157" s="1" t="s">
        <v>1342</v>
      </c>
      <c r="J1157" s="1" t="s">
        <v>82</v>
      </c>
      <c r="K1157" s="1" t="s">
        <v>89</v>
      </c>
      <c r="L1157" s="2">
        <v>45658</v>
      </c>
      <c r="M1157" s="6">
        <f>T_SALES[[#This Row],[Profit]]/T_SALES[[#This Row],[Amount]]</f>
        <v>0.20441086379415968</v>
      </c>
    </row>
    <row r="1158" spans="1:13" x14ac:dyDescent="0.25">
      <c r="A1158" s="1" t="s">
        <v>1343</v>
      </c>
      <c r="B1158" s="7">
        <v>5460</v>
      </c>
      <c r="C1158" s="8">
        <v>2088</v>
      </c>
      <c r="D1158">
        <v>14</v>
      </c>
      <c r="E1158" s="1" t="s">
        <v>39</v>
      </c>
      <c r="F1158" s="1" t="s">
        <v>40</v>
      </c>
      <c r="G1158" s="1" t="s">
        <v>29</v>
      </c>
      <c r="H1158" s="2">
        <v>44755</v>
      </c>
      <c r="I1158" s="1" t="s">
        <v>1344</v>
      </c>
      <c r="J1158" s="1" t="s">
        <v>23</v>
      </c>
      <c r="K1158" s="1" t="s">
        <v>24</v>
      </c>
      <c r="L1158" s="2">
        <v>44743</v>
      </c>
      <c r="M1158" s="6">
        <f>T_SALES[[#This Row],[Profit]]/T_SALES[[#This Row],[Amount]]</f>
        <v>0.38241758241758239</v>
      </c>
    </row>
    <row r="1159" spans="1:13" x14ac:dyDescent="0.25">
      <c r="A1159" s="1" t="s">
        <v>1343</v>
      </c>
      <c r="B1159" s="7">
        <v>5460</v>
      </c>
      <c r="C1159" s="8">
        <v>2088</v>
      </c>
      <c r="D1159">
        <v>14</v>
      </c>
      <c r="E1159" s="1" t="s">
        <v>39</v>
      </c>
      <c r="F1159" s="1" t="s">
        <v>40</v>
      </c>
      <c r="G1159" s="1" t="s">
        <v>29</v>
      </c>
      <c r="H1159" s="2">
        <v>43940</v>
      </c>
      <c r="I1159" s="1" t="s">
        <v>1345</v>
      </c>
      <c r="J1159" s="1" t="s">
        <v>82</v>
      </c>
      <c r="K1159" s="1" t="s">
        <v>89</v>
      </c>
      <c r="L1159" s="2">
        <v>43922</v>
      </c>
      <c r="M1159" s="6">
        <f>T_SALES[[#This Row],[Profit]]/T_SALES[[#This Row],[Amount]]</f>
        <v>0.38241758241758239</v>
      </c>
    </row>
    <row r="1160" spans="1:13" x14ac:dyDescent="0.25">
      <c r="A1160" s="1" t="s">
        <v>1346</v>
      </c>
      <c r="B1160" s="7">
        <v>9272</v>
      </c>
      <c r="C1160" s="8">
        <v>1771</v>
      </c>
      <c r="D1160">
        <v>19</v>
      </c>
      <c r="E1160" s="1" t="s">
        <v>27</v>
      </c>
      <c r="F1160" s="1" t="s">
        <v>49</v>
      </c>
      <c r="G1160" s="1" t="s">
        <v>15</v>
      </c>
      <c r="H1160" s="2">
        <v>45610</v>
      </c>
      <c r="I1160" s="1" t="s">
        <v>1347</v>
      </c>
      <c r="J1160" s="1" t="s">
        <v>20</v>
      </c>
      <c r="K1160" s="1" t="s">
        <v>54</v>
      </c>
      <c r="L1160" s="2">
        <v>45597</v>
      </c>
      <c r="M1160" s="6">
        <f>T_SALES[[#This Row],[Profit]]/T_SALES[[#This Row],[Amount]]</f>
        <v>0.19100517687661778</v>
      </c>
    </row>
    <row r="1161" spans="1:13" x14ac:dyDescent="0.25">
      <c r="A1161" s="1" t="s">
        <v>1346</v>
      </c>
      <c r="B1161" s="7">
        <v>9272</v>
      </c>
      <c r="C1161" s="8">
        <v>1771</v>
      </c>
      <c r="D1161">
        <v>19</v>
      </c>
      <c r="E1161" s="1" t="s">
        <v>27</v>
      </c>
      <c r="F1161" s="1" t="s">
        <v>49</v>
      </c>
      <c r="G1161" s="1" t="s">
        <v>15</v>
      </c>
      <c r="H1161" s="2">
        <v>43939</v>
      </c>
      <c r="I1161" s="1" t="s">
        <v>1348</v>
      </c>
      <c r="J1161" s="1" t="s">
        <v>62</v>
      </c>
      <c r="K1161" s="1" t="s">
        <v>63</v>
      </c>
      <c r="L1161" s="2">
        <v>43922</v>
      </c>
      <c r="M1161" s="6">
        <f>T_SALES[[#This Row],[Profit]]/T_SALES[[#This Row],[Amount]]</f>
        <v>0.19100517687661778</v>
      </c>
    </row>
    <row r="1162" spans="1:13" x14ac:dyDescent="0.25">
      <c r="A1162" s="1" t="s">
        <v>1349</v>
      </c>
      <c r="B1162" s="7">
        <v>7870</v>
      </c>
      <c r="C1162" s="8">
        <v>1057</v>
      </c>
      <c r="D1162">
        <v>15</v>
      </c>
      <c r="E1162" s="1" t="s">
        <v>27</v>
      </c>
      <c r="F1162" s="1" t="s">
        <v>28</v>
      </c>
      <c r="G1162" s="1" t="s">
        <v>41</v>
      </c>
      <c r="H1162" s="2">
        <v>45217</v>
      </c>
      <c r="I1162" s="1" t="s">
        <v>1350</v>
      </c>
      <c r="J1162" s="1" t="s">
        <v>62</v>
      </c>
      <c r="K1162" s="1" t="s">
        <v>111</v>
      </c>
      <c r="L1162" s="2">
        <v>45200</v>
      </c>
      <c r="M1162" s="6">
        <f>T_SALES[[#This Row],[Profit]]/T_SALES[[#This Row],[Amount]]</f>
        <v>0.13430749682337992</v>
      </c>
    </row>
    <row r="1163" spans="1:13" x14ac:dyDescent="0.25">
      <c r="A1163" s="1" t="s">
        <v>1349</v>
      </c>
      <c r="B1163" s="7">
        <v>7870</v>
      </c>
      <c r="C1163" s="8">
        <v>1057</v>
      </c>
      <c r="D1163">
        <v>15</v>
      </c>
      <c r="E1163" s="1" t="s">
        <v>27</v>
      </c>
      <c r="F1163" s="1" t="s">
        <v>28</v>
      </c>
      <c r="G1163" s="1" t="s">
        <v>41</v>
      </c>
      <c r="H1163" s="2">
        <v>44276</v>
      </c>
      <c r="I1163" s="1" t="s">
        <v>1351</v>
      </c>
      <c r="J1163" s="1" t="s">
        <v>82</v>
      </c>
      <c r="K1163" s="1" t="s">
        <v>97</v>
      </c>
      <c r="L1163" s="2">
        <v>44256</v>
      </c>
      <c r="M1163" s="6">
        <f>T_SALES[[#This Row],[Profit]]/T_SALES[[#This Row],[Amount]]</f>
        <v>0.13430749682337992</v>
      </c>
    </row>
    <row r="1164" spans="1:13" x14ac:dyDescent="0.25">
      <c r="A1164" s="1" t="s">
        <v>1352</v>
      </c>
      <c r="B1164" s="7">
        <v>7992</v>
      </c>
      <c r="C1164" s="8">
        <v>893</v>
      </c>
      <c r="D1164">
        <v>12</v>
      </c>
      <c r="E1164" s="1" t="s">
        <v>13</v>
      </c>
      <c r="F1164" s="1" t="s">
        <v>34</v>
      </c>
      <c r="G1164" s="1" t="s">
        <v>41</v>
      </c>
      <c r="H1164" s="2">
        <v>45548</v>
      </c>
      <c r="I1164" s="1" t="s">
        <v>1353</v>
      </c>
      <c r="J1164" s="1" t="s">
        <v>82</v>
      </c>
      <c r="K1164" s="1" t="s">
        <v>97</v>
      </c>
      <c r="L1164" s="2">
        <v>45536</v>
      </c>
      <c r="M1164" s="6">
        <f>T_SALES[[#This Row],[Profit]]/T_SALES[[#This Row],[Amount]]</f>
        <v>0.11173673673673673</v>
      </c>
    </row>
    <row r="1165" spans="1:13" x14ac:dyDescent="0.25">
      <c r="A1165" s="1" t="s">
        <v>1352</v>
      </c>
      <c r="B1165" s="7">
        <v>7992</v>
      </c>
      <c r="C1165" s="8">
        <v>893</v>
      </c>
      <c r="D1165">
        <v>12</v>
      </c>
      <c r="E1165" s="1" t="s">
        <v>13</v>
      </c>
      <c r="F1165" s="1" t="s">
        <v>34</v>
      </c>
      <c r="G1165" s="1" t="s">
        <v>41</v>
      </c>
      <c r="H1165" s="2">
        <v>45050</v>
      </c>
      <c r="I1165" s="1" t="s">
        <v>1354</v>
      </c>
      <c r="J1165" s="1" t="s">
        <v>23</v>
      </c>
      <c r="K1165" s="1" t="s">
        <v>45</v>
      </c>
      <c r="L1165" s="2">
        <v>45047</v>
      </c>
      <c r="M1165" s="6">
        <f>T_SALES[[#This Row],[Profit]]/T_SALES[[#This Row],[Amount]]</f>
        <v>0.11173673673673673</v>
      </c>
    </row>
    <row r="1166" spans="1:13" x14ac:dyDescent="0.25">
      <c r="A1166" s="1" t="s">
        <v>1352</v>
      </c>
      <c r="B1166" s="7">
        <v>7992</v>
      </c>
      <c r="C1166" s="8">
        <v>893</v>
      </c>
      <c r="D1166">
        <v>12</v>
      </c>
      <c r="E1166" s="1" t="s">
        <v>13</v>
      </c>
      <c r="F1166" s="1" t="s">
        <v>34</v>
      </c>
      <c r="G1166" s="1" t="s">
        <v>41</v>
      </c>
      <c r="H1166" s="2">
        <v>45077</v>
      </c>
      <c r="I1166" s="1" t="s">
        <v>1355</v>
      </c>
      <c r="J1166" s="1" t="s">
        <v>20</v>
      </c>
      <c r="K1166" s="1" t="s">
        <v>21</v>
      </c>
      <c r="L1166" s="2">
        <v>45047</v>
      </c>
      <c r="M1166" s="6">
        <f>T_SALES[[#This Row],[Profit]]/T_SALES[[#This Row],[Amount]]</f>
        <v>0.11173673673673673</v>
      </c>
    </row>
    <row r="1167" spans="1:13" x14ac:dyDescent="0.25">
      <c r="A1167" s="1" t="s">
        <v>1356</v>
      </c>
      <c r="B1167" s="7">
        <v>6499</v>
      </c>
      <c r="C1167" s="8">
        <v>2189</v>
      </c>
      <c r="D1167">
        <v>18</v>
      </c>
      <c r="E1167" s="1" t="s">
        <v>13</v>
      </c>
      <c r="F1167" s="1" t="s">
        <v>14</v>
      </c>
      <c r="G1167" s="1" t="s">
        <v>35</v>
      </c>
      <c r="H1167" s="2">
        <v>45458</v>
      </c>
      <c r="I1167" s="1" t="s">
        <v>1357</v>
      </c>
      <c r="J1167" s="1" t="s">
        <v>23</v>
      </c>
      <c r="K1167" s="1" t="s">
        <v>45</v>
      </c>
      <c r="L1167" s="2">
        <v>45444</v>
      </c>
      <c r="M1167" s="6">
        <f>T_SALES[[#This Row],[Profit]]/T_SALES[[#This Row],[Amount]]</f>
        <v>0.33682104939221419</v>
      </c>
    </row>
    <row r="1168" spans="1:13" x14ac:dyDescent="0.25">
      <c r="A1168" s="1" t="s">
        <v>1356</v>
      </c>
      <c r="B1168" s="7">
        <v>6499</v>
      </c>
      <c r="C1168" s="8">
        <v>2189</v>
      </c>
      <c r="D1168">
        <v>18</v>
      </c>
      <c r="E1168" s="1" t="s">
        <v>13</v>
      </c>
      <c r="F1168" s="1" t="s">
        <v>14</v>
      </c>
      <c r="G1168" s="1" t="s">
        <v>35</v>
      </c>
      <c r="H1168" s="2">
        <v>44289</v>
      </c>
      <c r="I1168" s="1" t="s">
        <v>1358</v>
      </c>
      <c r="J1168" s="1" t="s">
        <v>17</v>
      </c>
      <c r="K1168" s="1" t="s">
        <v>31</v>
      </c>
      <c r="L1168" s="2">
        <v>44287</v>
      </c>
      <c r="M1168" s="6">
        <f>T_SALES[[#This Row],[Profit]]/T_SALES[[#This Row],[Amount]]</f>
        <v>0.33682104939221419</v>
      </c>
    </row>
    <row r="1169" spans="1:13" x14ac:dyDescent="0.25">
      <c r="A1169" s="1" t="s">
        <v>1359</v>
      </c>
      <c r="B1169" s="7">
        <v>8848</v>
      </c>
      <c r="C1169" s="8">
        <v>2090</v>
      </c>
      <c r="D1169">
        <v>9</v>
      </c>
      <c r="E1169" s="1" t="s">
        <v>27</v>
      </c>
      <c r="F1169" s="1" t="s">
        <v>28</v>
      </c>
      <c r="G1169" s="1" t="s">
        <v>29</v>
      </c>
      <c r="H1169" s="2">
        <v>45671</v>
      </c>
      <c r="I1169" s="1" t="s">
        <v>1360</v>
      </c>
      <c r="J1169" s="1" t="s">
        <v>37</v>
      </c>
      <c r="K1169" s="1" t="s">
        <v>65</v>
      </c>
      <c r="L1169" s="2">
        <v>45658</v>
      </c>
      <c r="M1169" s="6">
        <f>T_SALES[[#This Row],[Profit]]/T_SALES[[#This Row],[Amount]]</f>
        <v>0.23621157323688968</v>
      </c>
    </row>
    <row r="1170" spans="1:13" x14ac:dyDescent="0.25">
      <c r="A1170" s="1" t="s">
        <v>1361</v>
      </c>
      <c r="B1170" s="7">
        <v>8044</v>
      </c>
      <c r="C1170" s="8">
        <v>3634</v>
      </c>
      <c r="D1170">
        <v>3</v>
      </c>
      <c r="E1170" s="1" t="s">
        <v>27</v>
      </c>
      <c r="F1170" s="1" t="s">
        <v>49</v>
      </c>
      <c r="G1170" s="1" t="s">
        <v>56</v>
      </c>
      <c r="H1170" s="2">
        <v>44189</v>
      </c>
      <c r="I1170" s="1" t="s">
        <v>1362</v>
      </c>
      <c r="J1170" s="1" t="s">
        <v>17</v>
      </c>
      <c r="K1170" s="1" t="s">
        <v>31</v>
      </c>
      <c r="L1170" s="2">
        <v>44166</v>
      </c>
      <c r="M1170" s="6">
        <f>T_SALES[[#This Row],[Profit]]/T_SALES[[#This Row],[Amount]]</f>
        <v>0.45176529090004974</v>
      </c>
    </row>
    <row r="1171" spans="1:13" x14ac:dyDescent="0.25">
      <c r="A1171" s="1" t="s">
        <v>1361</v>
      </c>
      <c r="B1171" s="7">
        <v>8044</v>
      </c>
      <c r="C1171" s="8">
        <v>3634</v>
      </c>
      <c r="D1171">
        <v>3</v>
      </c>
      <c r="E1171" s="1" t="s">
        <v>27</v>
      </c>
      <c r="F1171" s="1" t="s">
        <v>49</v>
      </c>
      <c r="G1171" s="1" t="s">
        <v>56</v>
      </c>
      <c r="H1171" s="2">
        <v>44841</v>
      </c>
      <c r="I1171" s="1" t="s">
        <v>1363</v>
      </c>
      <c r="J1171" s="1" t="s">
        <v>37</v>
      </c>
      <c r="K1171" s="1" t="s">
        <v>65</v>
      </c>
      <c r="L1171" s="2">
        <v>44835</v>
      </c>
      <c r="M1171" s="6">
        <f>T_SALES[[#This Row],[Profit]]/T_SALES[[#This Row],[Amount]]</f>
        <v>0.45176529090004974</v>
      </c>
    </row>
    <row r="1172" spans="1:13" x14ac:dyDescent="0.25">
      <c r="A1172" s="1" t="s">
        <v>1364</v>
      </c>
      <c r="B1172" s="7">
        <v>7417</v>
      </c>
      <c r="C1172" s="8">
        <v>1334</v>
      </c>
      <c r="D1172">
        <v>16</v>
      </c>
      <c r="E1172" s="1" t="s">
        <v>39</v>
      </c>
      <c r="F1172" s="1" t="s">
        <v>90</v>
      </c>
      <c r="G1172" s="1" t="s">
        <v>56</v>
      </c>
      <c r="H1172" s="2">
        <v>44474</v>
      </c>
      <c r="I1172" s="1" t="s">
        <v>1365</v>
      </c>
      <c r="J1172" s="1" t="s">
        <v>17</v>
      </c>
      <c r="K1172" s="1" t="s">
        <v>121</v>
      </c>
      <c r="L1172" s="2">
        <v>44470</v>
      </c>
      <c r="M1172" s="6">
        <f>T_SALES[[#This Row],[Profit]]/T_SALES[[#This Row],[Amount]]</f>
        <v>0.17985708507482809</v>
      </c>
    </row>
    <row r="1173" spans="1:13" x14ac:dyDescent="0.25">
      <c r="A1173" s="1" t="s">
        <v>1366</v>
      </c>
      <c r="B1173" s="7">
        <v>3451</v>
      </c>
      <c r="C1173" s="8">
        <v>658</v>
      </c>
      <c r="D1173">
        <v>3</v>
      </c>
      <c r="E1173" s="1" t="s">
        <v>27</v>
      </c>
      <c r="F1173" s="1" t="s">
        <v>49</v>
      </c>
      <c r="G1173" s="1" t="s">
        <v>15</v>
      </c>
      <c r="H1173" s="2">
        <v>45654</v>
      </c>
      <c r="I1173" s="1" t="s">
        <v>1367</v>
      </c>
      <c r="J1173" s="1" t="s">
        <v>20</v>
      </c>
      <c r="K1173" s="1" t="s">
        <v>21</v>
      </c>
      <c r="L1173" s="2">
        <v>45627</v>
      </c>
      <c r="M1173" s="6">
        <f>T_SALES[[#This Row],[Profit]]/T_SALES[[#This Row],[Amount]]</f>
        <v>0.19066937119675456</v>
      </c>
    </row>
    <row r="1174" spans="1:13" x14ac:dyDescent="0.25">
      <c r="A1174" s="1" t="s">
        <v>1368</v>
      </c>
      <c r="B1174" s="7">
        <v>8531</v>
      </c>
      <c r="C1174" s="8">
        <v>2555</v>
      </c>
      <c r="D1174">
        <v>4</v>
      </c>
      <c r="E1174" s="1" t="s">
        <v>13</v>
      </c>
      <c r="F1174" s="1" t="s">
        <v>34</v>
      </c>
      <c r="G1174" s="1" t="s">
        <v>35</v>
      </c>
      <c r="H1174" s="2">
        <v>44695</v>
      </c>
      <c r="I1174" s="1" t="s">
        <v>1369</v>
      </c>
      <c r="J1174" s="1" t="s">
        <v>62</v>
      </c>
      <c r="K1174" s="1" t="s">
        <v>74</v>
      </c>
      <c r="L1174" s="2">
        <v>44682</v>
      </c>
      <c r="M1174" s="6">
        <f>T_SALES[[#This Row],[Profit]]/T_SALES[[#This Row],[Amount]]</f>
        <v>0.29949595592544836</v>
      </c>
    </row>
    <row r="1175" spans="1:13" x14ac:dyDescent="0.25">
      <c r="A1175" s="1" t="s">
        <v>1370</v>
      </c>
      <c r="B1175" s="7">
        <v>6646</v>
      </c>
      <c r="C1175" s="8">
        <v>848</v>
      </c>
      <c r="D1175">
        <v>15</v>
      </c>
      <c r="E1175" s="1" t="s">
        <v>39</v>
      </c>
      <c r="F1175" s="1" t="s">
        <v>51</v>
      </c>
      <c r="G1175" s="1" t="s">
        <v>29</v>
      </c>
      <c r="H1175" s="2">
        <v>45157</v>
      </c>
      <c r="I1175" s="1" t="s">
        <v>1371</v>
      </c>
      <c r="J1175" s="1" t="s">
        <v>23</v>
      </c>
      <c r="K1175" s="1" t="s">
        <v>45</v>
      </c>
      <c r="L1175" s="2">
        <v>45139</v>
      </c>
      <c r="M1175" s="6">
        <f>T_SALES[[#This Row],[Profit]]/T_SALES[[#This Row],[Amount]]</f>
        <v>0.12759554619319891</v>
      </c>
    </row>
    <row r="1176" spans="1:13" x14ac:dyDescent="0.25">
      <c r="A1176" s="1" t="s">
        <v>1370</v>
      </c>
      <c r="B1176" s="7">
        <v>6646</v>
      </c>
      <c r="C1176" s="8">
        <v>848</v>
      </c>
      <c r="D1176">
        <v>15</v>
      </c>
      <c r="E1176" s="1" t="s">
        <v>39</v>
      </c>
      <c r="F1176" s="1" t="s">
        <v>51</v>
      </c>
      <c r="G1176" s="1" t="s">
        <v>29</v>
      </c>
      <c r="H1176" s="2">
        <v>45121</v>
      </c>
      <c r="I1176" s="1" t="s">
        <v>1372</v>
      </c>
      <c r="J1176" s="1" t="s">
        <v>23</v>
      </c>
      <c r="K1176" s="1" t="s">
        <v>24</v>
      </c>
      <c r="L1176" s="2">
        <v>45108</v>
      </c>
      <c r="M1176" s="6">
        <f>T_SALES[[#This Row],[Profit]]/T_SALES[[#This Row],[Amount]]</f>
        <v>0.12759554619319891</v>
      </c>
    </row>
    <row r="1177" spans="1:13" x14ac:dyDescent="0.25">
      <c r="A1177" s="1" t="s">
        <v>1373</v>
      </c>
      <c r="B1177" s="7">
        <v>2553</v>
      </c>
      <c r="C1177" s="8">
        <v>907</v>
      </c>
      <c r="D1177">
        <v>6</v>
      </c>
      <c r="E1177" s="1" t="s">
        <v>13</v>
      </c>
      <c r="F1177" s="1" t="s">
        <v>34</v>
      </c>
      <c r="G1177" s="1" t="s">
        <v>41</v>
      </c>
      <c r="H1177" s="2">
        <v>45099</v>
      </c>
      <c r="I1177" s="1" t="s">
        <v>1374</v>
      </c>
      <c r="J1177" s="1" t="s">
        <v>62</v>
      </c>
      <c r="K1177" s="1" t="s">
        <v>63</v>
      </c>
      <c r="L1177" s="2">
        <v>45078</v>
      </c>
      <c r="M1177" s="6">
        <f>T_SALES[[#This Row],[Profit]]/T_SALES[[#This Row],[Amount]]</f>
        <v>0.35526831179005092</v>
      </c>
    </row>
    <row r="1178" spans="1:13" x14ac:dyDescent="0.25">
      <c r="A1178" s="1" t="s">
        <v>1375</v>
      </c>
      <c r="B1178" s="7">
        <v>8490</v>
      </c>
      <c r="C1178" s="8">
        <v>3485</v>
      </c>
      <c r="D1178">
        <v>3</v>
      </c>
      <c r="E1178" s="1" t="s">
        <v>13</v>
      </c>
      <c r="F1178" s="1" t="s">
        <v>70</v>
      </c>
      <c r="G1178" s="1" t="s">
        <v>41</v>
      </c>
      <c r="H1178" s="2">
        <v>45006</v>
      </c>
      <c r="I1178" s="1" t="s">
        <v>1376</v>
      </c>
      <c r="J1178" s="1" t="s">
        <v>23</v>
      </c>
      <c r="K1178" s="1" t="s">
        <v>45</v>
      </c>
      <c r="L1178" s="2">
        <v>44986</v>
      </c>
      <c r="M1178" s="6">
        <f>T_SALES[[#This Row],[Profit]]/T_SALES[[#This Row],[Amount]]</f>
        <v>0.41048292108362777</v>
      </c>
    </row>
    <row r="1179" spans="1:13" x14ac:dyDescent="0.25">
      <c r="A1179" s="1" t="s">
        <v>1377</v>
      </c>
      <c r="B1179" s="7">
        <v>2689</v>
      </c>
      <c r="C1179" s="8">
        <v>1330</v>
      </c>
      <c r="D1179">
        <v>3</v>
      </c>
      <c r="E1179" s="1" t="s">
        <v>39</v>
      </c>
      <c r="F1179" s="1" t="s">
        <v>40</v>
      </c>
      <c r="G1179" s="1" t="s">
        <v>15</v>
      </c>
      <c r="H1179" s="2">
        <v>44178</v>
      </c>
      <c r="I1179" s="1" t="s">
        <v>1378</v>
      </c>
      <c r="J1179" s="1" t="s">
        <v>37</v>
      </c>
      <c r="K1179" s="1" t="s">
        <v>38</v>
      </c>
      <c r="L1179" s="2">
        <v>44166</v>
      </c>
      <c r="M1179" s="6">
        <f>T_SALES[[#This Row],[Profit]]/T_SALES[[#This Row],[Amount]]</f>
        <v>0.49460766084046115</v>
      </c>
    </row>
    <row r="1180" spans="1:13" x14ac:dyDescent="0.25">
      <c r="A1180" s="1" t="s">
        <v>1377</v>
      </c>
      <c r="B1180" s="7">
        <v>2689</v>
      </c>
      <c r="C1180" s="8">
        <v>1330</v>
      </c>
      <c r="D1180">
        <v>3</v>
      </c>
      <c r="E1180" s="1" t="s">
        <v>39</v>
      </c>
      <c r="F1180" s="1" t="s">
        <v>40</v>
      </c>
      <c r="G1180" s="1" t="s">
        <v>15</v>
      </c>
      <c r="H1180" s="2">
        <v>45441</v>
      </c>
      <c r="I1180" s="1" t="s">
        <v>1379</v>
      </c>
      <c r="J1180" s="1" t="s">
        <v>17</v>
      </c>
      <c r="K1180" s="1" t="s">
        <v>18</v>
      </c>
      <c r="L1180" s="2">
        <v>45413</v>
      </c>
      <c r="M1180" s="6">
        <f>T_SALES[[#This Row],[Profit]]/T_SALES[[#This Row],[Amount]]</f>
        <v>0.49460766084046115</v>
      </c>
    </row>
    <row r="1181" spans="1:13" x14ac:dyDescent="0.25">
      <c r="A1181" s="1" t="s">
        <v>1380</v>
      </c>
      <c r="B1181" s="7">
        <v>815</v>
      </c>
      <c r="C1181" s="8">
        <v>54</v>
      </c>
      <c r="D1181">
        <v>14</v>
      </c>
      <c r="E1181" s="1" t="s">
        <v>39</v>
      </c>
      <c r="F1181" s="1" t="s">
        <v>40</v>
      </c>
      <c r="G1181" s="1" t="s">
        <v>29</v>
      </c>
      <c r="H1181" s="2">
        <v>44341</v>
      </c>
      <c r="I1181" s="1" t="s">
        <v>1381</v>
      </c>
      <c r="J1181" s="1" t="s">
        <v>37</v>
      </c>
      <c r="K1181" s="1" t="s">
        <v>78</v>
      </c>
      <c r="L1181" s="2">
        <v>44317</v>
      </c>
      <c r="M1181" s="6">
        <f>T_SALES[[#This Row],[Profit]]/T_SALES[[#This Row],[Amount]]</f>
        <v>6.6257668711656448E-2</v>
      </c>
    </row>
    <row r="1182" spans="1:13" x14ac:dyDescent="0.25">
      <c r="A1182" s="1" t="s">
        <v>1382</v>
      </c>
      <c r="B1182" s="7">
        <v>5024</v>
      </c>
      <c r="C1182" s="8">
        <v>379</v>
      </c>
      <c r="D1182">
        <v>2</v>
      </c>
      <c r="E1182" s="1" t="s">
        <v>27</v>
      </c>
      <c r="F1182" s="1" t="s">
        <v>55</v>
      </c>
      <c r="G1182" s="1" t="s">
        <v>15</v>
      </c>
      <c r="H1182" s="2">
        <v>45384</v>
      </c>
      <c r="I1182" s="1" t="s">
        <v>1383</v>
      </c>
      <c r="J1182" s="1" t="s">
        <v>62</v>
      </c>
      <c r="K1182" s="1" t="s">
        <v>63</v>
      </c>
      <c r="L1182" s="2">
        <v>45383</v>
      </c>
      <c r="M1182" s="6">
        <f>T_SALES[[#This Row],[Profit]]/T_SALES[[#This Row],[Amount]]</f>
        <v>7.5437898089171979E-2</v>
      </c>
    </row>
    <row r="1183" spans="1:13" x14ac:dyDescent="0.25">
      <c r="A1183" s="1" t="s">
        <v>1382</v>
      </c>
      <c r="B1183" s="7">
        <v>5024</v>
      </c>
      <c r="C1183" s="8">
        <v>379</v>
      </c>
      <c r="D1183">
        <v>2</v>
      </c>
      <c r="E1183" s="1" t="s">
        <v>27</v>
      </c>
      <c r="F1183" s="1" t="s">
        <v>55</v>
      </c>
      <c r="G1183" s="1" t="s">
        <v>15</v>
      </c>
      <c r="H1183" s="2">
        <v>44898</v>
      </c>
      <c r="I1183" s="1" t="s">
        <v>1384</v>
      </c>
      <c r="J1183" s="1" t="s">
        <v>20</v>
      </c>
      <c r="K1183" s="1" t="s">
        <v>137</v>
      </c>
      <c r="L1183" s="2">
        <v>44896</v>
      </c>
      <c r="M1183" s="6">
        <f>T_SALES[[#This Row],[Profit]]/T_SALES[[#This Row],[Amount]]</f>
        <v>7.5437898089171979E-2</v>
      </c>
    </row>
    <row r="1184" spans="1:13" x14ac:dyDescent="0.25">
      <c r="A1184" s="1" t="s">
        <v>1385</v>
      </c>
      <c r="B1184" s="7">
        <v>8962</v>
      </c>
      <c r="C1184" s="8">
        <v>2444</v>
      </c>
      <c r="D1184">
        <v>18</v>
      </c>
      <c r="E1184" s="1" t="s">
        <v>13</v>
      </c>
      <c r="F1184" s="1" t="s">
        <v>14</v>
      </c>
      <c r="G1184" s="1" t="s">
        <v>29</v>
      </c>
      <c r="H1184" s="2">
        <v>44389</v>
      </c>
      <c r="I1184" s="1" t="s">
        <v>1386</v>
      </c>
      <c r="J1184" s="1" t="s">
        <v>82</v>
      </c>
      <c r="K1184" s="1" t="s">
        <v>97</v>
      </c>
      <c r="L1184" s="2">
        <v>44378</v>
      </c>
      <c r="M1184" s="6">
        <f>T_SALES[[#This Row],[Profit]]/T_SALES[[#This Row],[Amount]]</f>
        <v>0.27270698504798035</v>
      </c>
    </row>
    <row r="1185" spans="1:13" x14ac:dyDescent="0.25">
      <c r="A1185" s="1" t="s">
        <v>1385</v>
      </c>
      <c r="B1185" s="7">
        <v>8962</v>
      </c>
      <c r="C1185" s="8">
        <v>2444</v>
      </c>
      <c r="D1185">
        <v>18</v>
      </c>
      <c r="E1185" s="1" t="s">
        <v>13</v>
      </c>
      <c r="F1185" s="1" t="s">
        <v>14</v>
      </c>
      <c r="G1185" s="1" t="s">
        <v>29</v>
      </c>
      <c r="H1185" s="2">
        <v>43912</v>
      </c>
      <c r="I1185" s="1" t="s">
        <v>1387</v>
      </c>
      <c r="J1185" s="1" t="s">
        <v>20</v>
      </c>
      <c r="K1185" s="1" t="s">
        <v>137</v>
      </c>
      <c r="L1185" s="2">
        <v>43891</v>
      </c>
      <c r="M1185" s="6">
        <f>T_SALES[[#This Row],[Profit]]/T_SALES[[#This Row],[Amount]]</f>
        <v>0.27270698504798035</v>
      </c>
    </row>
    <row r="1186" spans="1:13" x14ac:dyDescent="0.25">
      <c r="A1186" s="1" t="s">
        <v>1388</v>
      </c>
      <c r="B1186" s="7">
        <v>1961</v>
      </c>
      <c r="C1186" s="8">
        <v>59</v>
      </c>
      <c r="D1186">
        <v>12</v>
      </c>
      <c r="E1186" s="1" t="s">
        <v>27</v>
      </c>
      <c r="F1186" s="1" t="s">
        <v>67</v>
      </c>
      <c r="G1186" s="1" t="s">
        <v>15</v>
      </c>
      <c r="H1186" s="2">
        <v>44052</v>
      </c>
      <c r="I1186" s="1" t="s">
        <v>1389</v>
      </c>
      <c r="J1186" s="1" t="s">
        <v>17</v>
      </c>
      <c r="K1186" s="1" t="s">
        <v>31</v>
      </c>
      <c r="L1186" s="2">
        <v>44044</v>
      </c>
      <c r="M1186" s="6">
        <f>T_SALES[[#This Row],[Profit]]/T_SALES[[#This Row],[Amount]]</f>
        <v>3.0086690464048955E-2</v>
      </c>
    </row>
    <row r="1187" spans="1:13" x14ac:dyDescent="0.25">
      <c r="A1187" s="1" t="s">
        <v>1390</v>
      </c>
      <c r="B1187" s="7">
        <v>526</v>
      </c>
      <c r="C1187" s="8">
        <v>83</v>
      </c>
      <c r="D1187">
        <v>4</v>
      </c>
      <c r="E1187" s="1" t="s">
        <v>39</v>
      </c>
      <c r="F1187" s="1" t="s">
        <v>51</v>
      </c>
      <c r="G1187" s="1" t="s">
        <v>41</v>
      </c>
      <c r="H1187" s="2">
        <v>44610</v>
      </c>
      <c r="I1187" s="1" t="s">
        <v>1391</v>
      </c>
      <c r="J1187" s="1" t="s">
        <v>20</v>
      </c>
      <c r="K1187" s="1" t="s">
        <v>21</v>
      </c>
      <c r="L1187" s="2">
        <v>44593</v>
      </c>
      <c r="M1187" s="6">
        <f>T_SALES[[#This Row],[Profit]]/T_SALES[[#This Row],[Amount]]</f>
        <v>0.15779467680608364</v>
      </c>
    </row>
    <row r="1188" spans="1:13" x14ac:dyDescent="0.25">
      <c r="A1188" s="1" t="s">
        <v>1392</v>
      </c>
      <c r="B1188" s="7">
        <v>6093</v>
      </c>
      <c r="C1188" s="8">
        <v>3042</v>
      </c>
      <c r="D1188">
        <v>9</v>
      </c>
      <c r="E1188" s="1" t="s">
        <v>39</v>
      </c>
      <c r="F1188" s="1" t="s">
        <v>90</v>
      </c>
      <c r="G1188" s="1" t="s">
        <v>29</v>
      </c>
      <c r="H1188" s="2">
        <v>44361</v>
      </c>
      <c r="I1188" s="1" t="s">
        <v>1393</v>
      </c>
      <c r="J1188" s="1" t="s">
        <v>37</v>
      </c>
      <c r="K1188" s="1" t="s">
        <v>78</v>
      </c>
      <c r="L1188" s="2">
        <v>44348</v>
      </c>
      <c r="M1188" s="6">
        <f>T_SALES[[#This Row],[Profit]]/T_SALES[[#This Row],[Amount]]</f>
        <v>0.49926144756277696</v>
      </c>
    </row>
    <row r="1189" spans="1:13" x14ac:dyDescent="0.25">
      <c r="A1189" s="1" t="s">
        <v>1392</v>
      </c>
      <c r="B1189" s="7">
        <v>6093</v>
      </c>
      <c r="C1189" s="8">
        <v>3042</v>
      </c>
      <c r="D1189">
        <v>9</v>
      </c>
      <c r="E1189" s="1" t="s">
        <v>39</v>
      </c>
      <c r="F1189" s="1" t="s">
        <v>90</v>
      </c>
      <c r="G1189" s="1" t="s">
        <v>29</v>
      </c>
      <c r="H1189" s="2">
        <v>44256</v>
      </c>
      <c r="I1189" s="1" t="s">
        <v>1394</v>
      </c>
      <c r="J1189" s="1" t="s">
        <v>37</v>
      </c>
      <c r="K1189" s="1" t="s">
        <v>65</v>
      </c>
      <c r="L1189" s="2">
        <v>44256</v>
      </c>
      <c r="M1189" s="6">
        <f>T_SALES[[#This Row],[Profit]]/T_SALES[[#This Row],[Amount]]</f>
        <v>0.49926144756277696</v>
      </c>
    </row>
    <row r="1190" spans="1:13" x14ac:dyDescent="0.25">
      <c r="A1190" s="1" t="s">
        <v>1395</v>
      </c>
      <c r="B1190" s="7">
        <v>7699</v>
      </c>
      <c r="C1190" s="8">
        <v>246</v>
      </c>
      <c r="D1190">
        <v>5</v>
      </c>
      <c r="E1190" s="1" t="s">
        <v>13</v>
      </c>
      <c r="F1190" s="1" t="s">
        <v>14</v>
      </c>
      <c r="G1190" s="1" t="s">
        <v>29</v>
      </c>
      <c r="H1190" s="2">
        <v>45192</v>
      </c>
      <c r="I1190" s="1" t="s">
        <v>1396</v>
      </c>
      <c r="J1190" s="1" t="s">
        <v>62</v>
      </c>
      <c r="K1190" s="1" t="s">
        <v>74</v>
      </c>
      <c r="L1190" s="2">
        <v>45170</v>
      </c>
      <c r="M1190" s="6">
        <f>T_SALES[[#This Row],[Profit]]/T_SALES[[#This Row],[Amount]]</f>
        <v>3.1952201584621379E-2</v>
      </c>
    </row>
    <row r="1191" spans="1:13" x14ac:dyDescent="0.25">
      <c r="A1191" s="1" t="s">
        <v>1397</v>
      </c>
      <c r="B1191" s="7">
        <v>8825</v>
      </c>
      <c r="C1191" s="8">
        <v>3594</v>
      </c>
      <c r="D1191">
        <v>15</v>
      </c>
      <c r="E1191" s="1" t="s">
        <v>39</v>
      </c>
      <c r="F1191" s="1" t="s">
        <v>40</v>
      </c>
      <c r="G1191" s="1" t="s">
        <v>29</v>
      </c>
      <c r="H1191" s="2">
        <v>45504</v>
      </c>
      <c r="I1191" s="1" t="s">
        <v>1398</v>
      </c>
      <c r="J1191" s="1" t="s">
        <v>23</v>
      </c>
      <c r="K1191" s="1" t="s">
        <v>45</v>
      </c>
      <c r="L1191" s="2">
        <v>45474</v>
      </c>
      <c r="M1191" s="6">
        <f>T_SALES[[#This Row],[Profit]]/T_SALES[[#This Row],[Amount]]</f>
        <v>0.40725212464589233</v>
      </c>
    </row>
    <row r="1192" spans="1:13" x14ac:dyDescent="0.25">
      <c r="A1192" s="1" t="s">
        <v>1399</v>
      </c>
      <c r="B1192" s="7">
        <v>2082</v>
      </c>
      <c r="C1192" s="8">
        <v>642</v>
      </c>
      <c r="D1192">
        <v>8</v>
      </c>
      <c r="E1192" s="1" t="s">
        <v>13</v>
      </c>
      <c r="F1192" s="1" t="s">
        <v>70</v>
      </c>
      <c r="G1192" s="1" t="s">
        <v>35</v>
      </c>
      <c r="H1192" s="2">
        <v>43984</v>
      </c>
      <c r="I1192" s="1" t="s">
        <v>1400</v>
      </c>
      <c r="J1192" s="1" t="s">
        <v>23</v>
      </c>
      <c r="K1192" s="1" t="s">
        <v>59</v>
      </c>
      <c r="L1192" s="2">
        <v>43983</v>
      </c>
      <c r="M1192" s="6">
        <f>T_SALES[[#This Row],[Profit]]/T_SALES[[#This Row],[Amount]]</f>
        <v>0.30835734870317005</v>
      </c>
    </row>
    <row r="1193" spans="1:13" x14ac:dyDescent="0.25">
      <c r="A1193" s="1" t="s">
        <v>1399</v>
      </c>
      <c r="B1193" s="7">
        <v>2082</v>
      </c>
      <c r="C1193" s="8">
        <v>642</v>
      </c>
      <c r="D1193">
        <v>8</v>
      </c>
      <c r="E1193" s="1" t="s">
        <v>13</v>
      </c>
      <c r="F1193" s="1" t="s">
        <v>70</v>
      </c>
      <c r="G1193" s="1" t="s">
        <v>35</v>
      </c>
      <c r="H1193" s="2">
        <v>44910</v>
      </c>
      <c r="I1193" s="1" t="s">
        <v>1401</v>
      </c>
      <c r="J1193" s="1" t="s">
        <v>62</v>
      </c>
      <c r="K1193" s="1" t="s">
        <v>74</v>
      </c>
      <c r="L1193" s="2">
        <v>44896</v>
      </c>
      <c r="M1193" s="6">
        <f>T_SALES[[#This Row],[Profit]]/T_SALES[[#This Row],[Amount]]</f>
        <v>0.30835734870317005</v>
      </c>
    </row>
    <row r="1194" spans="1:13" x14ac:dyDescent="0.25">
      <c r="A1194" s="1" t="s">
        <v>1399</v>
      </c>
      <c r="B1194" s="7">
        <v>2082</v>
      </c>
      <c r="C1194" s="8">
        <v>642</v>
      </c>
      <c r="D1194">
        <v>8</v>
      </c>
      <c r="E1194" s="1" t="s">
        <v>13</v>
      </c>
      <c r="F1194" s="1" t="s">
        <v>70</v>
      </c>
      <c r="G1194" s="1" t="s">
        <v>35</v>
      </c>
      <c r="H1194" s="2">
        <v>44050</v>
      </c>
      <c r="I1194" s="1" t="s">
        <v>1402</v>
      </c>
      <c r="J1194" s="1" t="s">
        <v>23</v>
      </c>
      <c r="K1194" s="1" t="s">
        <v>24</v>
      </c>
      <c r="L1194" s="2">
        <v>44044</v>
      </c>
      <c r="M1194" s="6">
        <f>T_SALES[[#This Row],[Profit]]/T_SALES[[#This Row],[Amount]]</f>
        <v>0.30835734870317005</v>
      </c>
    </row>
    <row r="1195" spans="1:13" x14ac:dyDescent="0.25">
      <c r="A1195" s="1" t="s">
        <v>1403</v>
      </c>
      <c r="B1195" s="7">
        <v>914</v>
      </c>
      <c r="C1195" s="8">
        <v>163</v>
      </c>
      <c r="D1195">
        <v>13</v>
      </c>
      <c r="E1195" s="1" t="s">
        <v>27</v>
      </c>
      <c r="F1195" s="1" t="s">
        <v>49</v>
      </c>
      <c r="G1195" s="1" t="s">
        <v>15</v>
      </c>
      <c r="H1195" s="2">
        <v>45591</v>
      </c>
      <c r="I1195" s="1" t="s">
        <v>1404</v>
      </c>
      <c r="J1195" s="1" t="s">
        <v>20</v>
      </c>
      <c r="K1195" s="1" t="s">
        <v>21</v>
      </c>
      <c r="L1195" s="2">
        <v>45566</v>
      </c>
      <c r="M1195" s="6">
        <f>T_SALES[[#This Row],[Profit]]/T_SALES[[#This Row],[Amount]]</f>
        <v>0.17833698030634573</v>
      </c>
    </row>
    <row r="1196" spans="1:13" x14ac:dyDescent="0.25">
      <c r="A1196" t="s">
        <v>1424</v>
      </c>
      <c r="B1196" s="7">
        <f>SUBTOTAL(109,T_SALES[Amount])</f>
        <v>6182639</v>
      </c>
      <c r="C1196" s="8">
        <f>SUBTOTAL(109,T_SALES[Profit])</f>
        <v>1610697</v>
      </c>
      <c r="D1196">
        <f>SUBTOTAL(109,T_SALES[Quantity])</f>
        <v>12745</v>
      </c>
      <c r="M1196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292C-A80A-42FB-B068-5B34136AEE73}">
  <dimension ref="A4:O38"/>
  <sheetViews>
    <sheetView showGridLines="0" tabSelected="1" topLeftCell="A2" zoomScale="55" zoomScaleNormal="55" workbookViewId="0">
      <selection activeCell="AD19" sqref="AD19"/>
    </sheetView>
  </sheetViews>
  <sheetFormatPr baseColWidth="10" defaultRowHeight="15" x14ac:dyDescent="0.25"/>
  <cols>
    <col min="1" max="11" width="11.42578125" style="15"/>
    <col min="12" max="12" width="16.42578125" style="15" bestFit="1" customWidth="1"/>
    <col min="13" max="16384" width="11.42578125" style="15"/>
  </cols>
  <sheetData>
    <row r="4" spans="1:12" x14ac:dyDescent="0.25">
      <c r="A4" s="16"/>
      <c r="F4" s="15" t="s">
        <v>1423</v>
      </c>
    </row>
    <row r="5" spans="1:12" x14ac:dyDescent="0.25">
      <c r="L5" s="18"/>
    </row>
    <row r="8" spans="1:12" x14ac:dyDescent="0.25">
      <c r="L8" s="18"/>
    </row>
    <row r="38" spans="15:15" x14ac:dyDescent="0.25">
      <c r="O38" s="15" t="s">
        <v>1422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opLeftCell="A112" workbookViewId="0">
      <selection activeCell="A131" sqref="A131"/>
    </sheetView>
  </sheetViews>
  <sheetFormatPr baseColWidth="10" defaultColWidth="9.140625" defaultRowHeight="15" x14ac:dyDescent="0.25"/>
  <cols>
    <col min="1" max="1" width="17.5703125" bestFit="1" customWidth="1"/>
    <col min="2" max="2" width="18" bestFit="1" customWidth="1"/>
    <col min="3" max="3" width="16.28515625" bestFit="1" customWidth="1"/>
    <col min="4" max="4" width="16.140625" bestFit="1" customWidth="1"/>
    <col min="5" max="5" width="13.85546875" bestFit="1" customWidth="1"/>
    <col min="6" max="6" width="8" bestFit="1" customWidth="1"/>
    <col min="7" max="7" width="12.5703125" bestFit="1" customWidth="1"/>
  </cols>
  <sheetData>
    <row r="1" spans="1:4" x14ac:dyDescent="0.25">
      <c r="A1" s="3" t="s">
        <v>1405</v>
      </c>
      <c r="B1" t="s">
        <v>1407</v>
      </c>
      <c r="C1" t="s">
        <v>1408</v>
      </c>
      <c r="D1" t="s">
        <v>1415</v>
      </c>
    </row>
    <row r="2" spans="1:4" x14ac:dyDescent="0.25">
      <c r="A2" s="4" t="s">
        <v>13</v>
      </c>
      <c r="B2" s="8">
        <v>2054456</v>
      </c>
      <c r="C2" s="8">
        <v>518580</v>
      </c>
      <c r="D2" s="9">
        <v>0.25241718488981996</v>
      </c>
    </row>
    <row r="3" spans="1:4" x14ac:dyDescent="0.25">
      <c r="A3" s="5" t="s">
        <v>14</v>
      </c>
      <c r="B3" s="8">
        <v>565092</v>
      </c>
      <c r="C3" s="8">
        <v>148454</v>
      </c>
      <c r="D3" s="9">
        <v>0.26270766530051742</v>
      </c>
    </row>
    <row r="4" spans="1:4" x14ac:dyDescent="0.25">
      <c r="A4" s="5" t="s">
        <v>34</v>
      </c>
      <c r="B4" s="8">
        <v>419950</v>
      </c>
      <c r="C4" s="8">
        <v>110260</v>
      </c>
      <c r="D4" s="9">
        <v>0.26255506607929513</v>
      </c>
    </row>
    <row r="5" spans="1:4" x14ac:dyDescent="0.25">
      <c r="A5" s="5" t="s">
        <v>70</v>
      </c>
      <c r="B5" s="8">
        <v>503055</v>
      </c>
      <c r="C5" s="8">
        <v>113607</v>
      </c>
      <c r="D5" s="9">
        <v>0.22583415332319529</v>
      </c>
    </row>
    <row r="6" spans="1:4" x14ac:dyDescent="0.25">
      <c r="A6" s="5" t="s">
        <v>25</v>
      </c>
      <c r="B6" s="8">
        <v>566359</v>
      </c>
      <c r="C6" s="8">
        <v>146259</v>
      </c>
      <c r="D6" s="9">
        <v>0.25824432912693185</v>
      </c>
    </row>
    <row r="7" spans="1:4" x14ac:dyDescent="0.25">
      <c r="A7" s="4" t="s">
        <v>27</v>
      </c>
      <c r="B7" s="8">
        <v>2089510</v>
      </c>
      <c r="C7" s="8">
        <v>551575</v>
      </c>
      <c r="D7" s="9">
        <v>0.26397337174744318</v>
      </c>
    </row>
    <row r="8" spans="1:4" x14ac:dyDescent="0.25">
      <c r="A8" s="5" t="s">
        <v>67</v>
      </c>
      <c r="B8" s="8">
        <v>384611</v>
      </c>
      <c r="C8" s="8">
        <v>97257</v>
      </c>
      <c r="D8" s="9">
        <v>0.25287108273034314</v>
      </c>
    </row>
    <row r="9" spans="1:4" x14ac:dyDescent="0.25">
      <c r="A9" s="5" t="s">
        <v>49</v>
      </c>
      <c r="B9" s="8">
        <v>627875</v>
      </c>
      <c r="C9" s="8">
        <v>174749</v>
      </c>
      <c r="D9" s="9">
        <v>0.27831813657176985</v>
      </c>
    </row>
    <row r="10" spans="1:4" x14ac:dyDescent="0.25">
      <c r="A10" s="5" t="s">
        <v>55</v>
      </c>
      <c r="B10" s="8">
        <v>524755</v>
      </c>
      <c r="C10" s="8">
        <v>149723</v>
      </c>
      <c r="D10" s="9">
        <v>0.28531981591409322</v>
      </c>
    </row>
    <row r="11" spans="1:4" x14ac:dyDescent="0.25">
      <c r="A11" s="5" t="s">
        <v>28</v>
      </c>
      <c r="B11" s="8">
        <v>552269</v>
      </c>
      <c r="C11" s="8">
        <v>129846</v>
      </c>
      <c r="D11" s="9">
        <v>0.23511368554092299</v>
      </c>
    </row>
    <row r="12" spans="1:4" x14ac:dyDescent="0.25">
      <c r="A12" s="4" t="s">
        <v>39</v>
      </c>
      <c r="B12" s="8">
        <v>2038673</v>
      </c>
      <c r="C12" s="8">
        <v>540542</v>
      </c>
      <c r="D12" s="9">
        <v>0.26514404222746857</v>
      </c>
    </row>
    <row r="13" spans="1:4" x14ac:dyDescent="0.25">
      <c r="A13" s="5" t="s">
        <v>90</v>
      </c>
      <c r="B13" s="8">
        <v>413165</v>
      </c>
      <c r="C13" s="8">
        <v>118000</v>
      </c>
      <c r="D13" s="9">
        <v>0.28560018394588116</v>
      </c>
    </row>
    <row r="14" spans="1:4" x14ac:dyDescent="0.25">
      <c r="A14" s="5" t="s">
        <v>43</v>
      </c>
      <c r="B14" s="8">
        <v>431964</v>
      </c>
      <c r="C14" s="8">
        <v>122892</v>
      </c>
      <c r="D14" s="9">
        <v>0.2844959302164069</v>
      </c>
    </row>
    <row r="15" spans="1:4" x14ac:dyDescent="0.25">
      <c r="A15" s="5" t="s">
        <v>51</v>
      </c>
      <c r="B15" s="8">
        <v>568367</v>
      </c>
      <c r="C15" s="8">
        <v>142854</v>
      </c>
      <c r="D15" s="9">
        <v>0.25134112290122401</v>
      </c>
    </row>
    <row r="16" spans="1:4" x14ac:dyDescent="0.25">
      <c r="A16" s="5" t="s">
        <v>40</v>
      </c>
      <c r="B16" s="8">
        <v>625177</v>
      </c>
      <c r="C16" s="8">
        <v>156796</v>
      </c>
      <c r="D16" s="9">
        <v>0.25080257271140816</v>
      </c>
    </row>
    <row r="17" spans="1:5" x14ac:dyDescent="0.25">
      <c r="A17" s="4" t="s">
        <v>1406</v>
      </c>
      <c r="B17" s="8">
        <v>6182639</v>
      </c>
      <c r="C17" s="8">
        <v>1610697</v>
      </c>
      <c r="D17" s="9">
        <v>0.26051933486655132</v>
      </c>
    </row>
    <row r="20" spans="1:5" x14ac:dyDescent="0.25">
      <c r="A20" s="3" t="s">
        <v>1405</v>
      </c>
      <c r="B20" t="s">
        <v>1407</v>
      </c>
    </row>
    <row r="21" spans="1:5" x14ac:dyDescent="0.25">
      <c r="A21" s="4" t="s">
        <v>82</v>
      </c>
      <c r="B21" s="8">
        <v>884768</v>
      </c>
      <c r="D21" t="str" cm="1">
        <f t="array" ref="D21:E26">_xlfn._xlws.FILTER(A21:B26, A21:A26&lt;&gt;"")</f>
        <v>Ohio</v>
      </c>
      <c r="E21">
        <v>884768</v>
      </c>
    </row>
    <row r="22" spans="1:5" x14ac:dyDescent="0.25">
      <c r="A22" s="4" t="s">
        <v>20</v>
      </c>
      <c r="B22" s="8">
        <v>978738</v>
      </c>
      <c r="D22" t="str">
        <v>Illinois</v>
      </c>
      <c r="E22">
        <v>978738</v>
      </c>
    </row>
    <row r="23" spans="1:5" x14ac:dyDescent="0.25">
      <c r="A23" s="4" t="s">
        <v>62</v>
      </c>
      <c r="B23" s="8">
        <v>1011475</v>
      </c>
      <c r="D23" t="str">
        <v>Texas</v>
      </c>
      <c r="E23">
        <v>1011475</v>
      </c>
    </row>
    <row r="24" spans="1:5" x14ac:dyDescent="0.25">
      <c r="A24" s="4" t="s">
        <v>37</v>
      </c>
      <c r="B24" s="8">
        <v>1086436</v>
      </c>
      <c r="D24" t="str">
        <v>California</v>
      </c>
      <c r="E24">
        <v>1086436</v>
      </c>
    </row>
    <row r="25" spans="1:5" x14ac:dyDescent="0.25">
      <c r="A25" s="4" t="s">
        <v>17</v>
      </c>
      <c r="B25" s="8">
        <v>1091174</v>
      </c>
      <c r="D25" t="str">
        <v>Florida</v>
      </c>
      <c r="E25">
        <v>1091174</v>
      </c>
    </row>
    <row r="26" spans="1:5" x14ac:dyDescent="0.25">
      <c r="A26" s="4" t="s">
        <v>23</v>
      </c>
      <c r="B26" s="8">
        <v>1130048</v>
      </c>
      <c r="D26" t="str">
        <v>New York</v>
      </c>
      <c r="E26">
        <v>1130048</v>
      </c>
    </row>
    <row r="30" spans="1:5" x14ac:dyDescent="0.25">
      <c r="A30" s="3" t="s">
        <v>1405</v>
      </c>
      <c r="B30" t="s">
        <v>1408</v>
      </c>
    </row>
    <row r="31" spans="1:5" x14ac:dyDescent="0.25">
      <c r="A31" s="4" t="s">
        <v>1409</v>
      </c>
      <c r="B31" s="8">
        <v>88489</v>
      </c>
    </row>
    <row r="32" spans="1:5" x14ac:dyDescent="0.25">
      <c r="A32" s="5" t="s">
        <v>1419</v>
      </c>
      <c r="B32" s="8">
        <v>36156</v>
      </c>
    </row>
    <row r="33" spans="1:5" x14ac:dyDescent="0.25">
      <c r="A33" s="5" t="s">
        <v>1420</v>
      </c>
      <c r="B33" s="8">
        <v>27824</v>
      </c>
    </row>
    <row r="34" spans="1:5" x14ac:dyDescent="0.25">
      <c r="A34" s="5" t="s">
        <v>1421</v>
      </c>
      <c r="B34" s="8">
        <v>24509</v>
      </c>
    </row>
    <row r="35" spans="1:5" x14ac:dyDescent="0.25">
      <c r="A35" s="4" t="s">
        <v>1410</v>
      </c>
      <c r="B35" s="8">
        <v>67531</v>
      </c>
    </row>
    <row r="36" spans="1:5" x14ac:dyDescent="0.25">
      <c r="A36" s="5" t="s">
        <v>1419</v>
      </c>
      <c r="B36" s="8">
        <v>18777</v>
      </c>
    </row>
    <row r="37" spans="1:5" x14ac:dyDescent="0.25">
      <c r="A37" s="5" t="s">
        <v>1420</v>
      </c>
      <c r="B37" s="8">
        <v>15947</v>
      </c>
    </row>
    <row r="38" spans="1:5" x14ac:dyDescent="0.25">
      <c r="A38" s="5" t="s">
        <v>1421</v>
      </c>
      <c r="B38" s="8">
        <v>32807</v>
      </c>
    </row>
    <row r="39" spans="1:5" x14ac:dyDescent="0.25">
      <c r="A39" s="4" t="s">
        <v>1411</v>
      </c>
      <c r="B39" s="8">
        <v>135989</v>
      </c>
    </row>
    <row r="40" spans="1:5" x14ac:dyDescent="0.25">
      <c r="A40" s="5" t="s">
        <v>1419</v>
      </c>
      <c r="B40" s="8">
        <v>28156</v>
      </c>
    </row>
    <row r="41" spans="1:5" x14ac:dyDescent="0.25">
      <c r="A41" s="5" t="s">
        <v>1420</v>
      </c>
      <c r="B41" s="8">
        <v>58918</v>
      </c>
    </row>
    <row r="42" spans="1:5" x14ac:dyDescent="0.25">
      <c r="A42" s="5" t="s">
        <v>1421</v>
      </c>
      <c r="B42" s="8">
        <v>48915</v>
      </c>
    </row>
    <row r="43" spans="1:5" x14ac:dyDescent="0.25">
      <c r="A43" s="4" t="s">
        <v>1412</v>
      </c>
      <c r="B43" s="8">
        <v>74464</v>
      </c>
    </row>
    <row r="44" spans="1:5" x14ac:dyDescent="0.25">
      <c r="A44" s="5" t="s">
        <v>1419</v>
      </c>
      <c r="B44" s="8">
        <v>22102</v>
      </c>
    </row>
    <row r="45" spans="1:5" x14ac:dyDescent="0.25">
      <c r="A45" s="5" t="s">
        <v>1420</v>
      </c>
      <c r="B45" s="8">
        <v>19758</v>
      </c>
    </row>
    <row r="46" spans="1:5" x14ac:dyDescent="0.25">
      <c r="A46" s="5" t="s">
        <v>1421</v>
      </c>
      <c r="B46" s="8">
        <v>32604</v>
      </c>
    </row>
    <row r="47" spans="1:5" x14ac:dyDescent="0.25">
      <c r="A47" s="4" t="s">
        <v>1413</v>
      </c>
      <c r="B47" s="8">
        <v>76005</v>
      </c>
      <c r="D47" s="14"/>
      <c r="E47" s="13"/>
    </row>
    <row r="48" spans="1:5" x14ac:dyDescent="0.25">
      <c r="A48" s="5" t="s">
        <v>1419</v>
      </c>
      <c r="B48" s="8">
        <v>34182</v>
      </c>
      <c r="D48" s="14"/>
      <c r="E48" s="13"/>
    </row>
    <row r="49" spans="1:5" x14ac:dyDescent="0.25">
      <c r="A49" s="5" t="s">
        <v>1420</v>
      </c>
      <c r="B49" s="8">
        <v>20842</v>
      </c>
      <c r="D49" s="14"/>
      <c r="E49" s="13"/>
    </row>
    <row r="50" spans="1:5" x14ac:dyDescent="0.25">
      <c r="A50" s="5" t="s">
        <v>1421</v>
      </c>
      <c r="B50" s="8">
        <v>20981</v>
      </c>
      <c r="D50" s="14"/>
      <c r="E50" s="13"/>
    </row>
    <row r="51" spans="1:5" x14ac:dyDescent="0.25">
      <c r="A51" s="4" t="s">
        <v>1406</v>
      </c>
      <c r="B51" s="8">
        <v>442478</v>
      </c>
    </row>
    <row r="59" spans="1:5" x14ac:dyDescent="0.25">
      <c r="D59" s="14"/>
      <c r="E59" s="13"/>
    </row>
    <row r="60" spans="1:5" x14ac:dyDescent="0.25">
      <c r="D60" s="14"/>
      <c r="E60" s="13"/>
    </row>
    <row r="89" spans="1:5" x14ac:dyDescent="0.25">
      <c r="A89" s="3" t="s">
        <v>1405</v>
      </c>
      <c r="B89" t="s">
        <v>1416</v>
      </c>
      <c r="D89" s="14"/>
      <c r="E89" s="13"/>
    </row>
    <row r="90" spans="1:5" x14ac:dyDescent="0.25">
      <c r="A90" s="4" t="s">
        <v>37</v>
      </c>
      <c r="B90" s="1">
        <v>2319</v>
      </c>
      <c r="D90" s="11" t="str" cm="1">
        <f t="array" ref="D90:E95">_xlfn._xlws.FILTER(A90:B95, A90:A95&lt;&gt;"")</f>
        <v>California</v>
      </c>
      <c r="E90" s="12">
        <v>2319</v>
      </c>
    </row>
    <row r="91" spans="1:5" x14ac:dyDescent="0.25">
      <c r="A91" s="4" t="s">
        <v>17</v>
      </c>
      <c r="B91" s="1">
        <v>2145</v>
      </c>
      <c r="D91" s="11" t="str">
        <v>Florida</v>
      </c>
      <c r="E91" s="12">
        <v>2145</v>
      </c>
    </row>
    <row r="92" spans="1:5" x14ac:dyDescent="0.25">
      <c r="A92" s="4" t="s">
        <v>20</v>
      </c>
      <c r="B92" s="1">
        <v>1820</v>
      </c>
      <c r="D92" s="11" t="str">
        <v>Illinois</v>
      </c>
      <c r="E92" s="12">
        <v>1820</v>
      </c>
    </row>
    <row r="93" spans="1:5" x14ac:dyDescent="0.25">
      <c r="A93" s="4" t="s">
        <v>23</v>
      </c>
      <c r="B93" s="1">
        <v>2479</v>
      </c>
      <c r="D93" s="11" t="str">
        <v>New York</v>
      </c>
      <c r="E93" s="12">
        <v>2479</v>
      </c>
    </row>
    <row r="94" spans="1:5" x14ac:dyDescent="0.25">
      <c r="A94" s="4" t="s">
        <v>82</v>
      </c>
      <c r="B94" s="1">
        <v>2041</v>
      </c>
      <c r="D94" s="11" t="str">
        <v>Ohio</v>
      </c>
      <c r="E94" s="12">
        <v>2041</v>
      </c>
    </row>
    <row r="95" spans="1:5" x14ac:dyDescent="0.25">
      <c r="A95" s="4" t="s">
        <v>62</v>
      </c>
      <c r="B95" s="1">
        <v>1941</v>
      </c>
      <c r="D95" s="11" t="str">
        <v>Texas</v>
      </c>
      <c r="E95" s="12">
        <v>1941</v>
      </c>
    </row>
    <row r="96" spans="1:5" x14ac:dyDescent="0.25">
      <c r="D96" s="14"/>
      <c r="E96" s="13"/>
    </row>
    <row r="100" spans="1:4" x14ac:dyDescent="0.25">
      <c r="A100" s="3" t="s">
        <v>1405</v>
      </c>
      <c r="B100" t="s">
        <v>1407</v>
      </c>
      <c r="C100" s="8" t="s">
        <v>1408</v>
      </c>
      <c r="D100" t="s">
        <v>1418</v>
      </c>
    </row>
    <row r="101" spans="1:4" x14ac:dyDescent="0.25">
      <c r="A101" s="4" t="s">
        <v>988</v>
      </c>
      <c r="B101" s="8">
        <v>21116</v>
      </c>
      <c r="C101" s="8">
        <v>8840</v>
      </c>
      <c r="D101" s="10">
        <v>0.18752253876667868</v>
      </c>
    </row>
    <row r="102" spans="1:4" x14ac:dyDescent="0.25">
      <c r="A102" s="4" t="s">
        <v>987</v>
      </c>
      <c r="B102" s="8">
        <v>21116</v>
      </c>
      <c r="C102" s="8">
        <v>8840</v>
      </c>
      <c r="D102" s="10">
        <v>0.18752253876667868</v>
      </c>
    </row>
    <row r="103" spans="1:4" x14ac:dyDescent="0.25">
      <c r="A103" s="4" t="s">
        <v>392</v>
      </c>
      <c r="B103" s="8">
        <v>28557</v>
      </c>
      <c r="C103" s="8">
        <v>7790</v>
      </c>
      <c r="D103" s="10">
        <v>0.16524893404891708</v>
      </c>
    </row>
    <row r="104" spans="1:4" x14ac:dyDescent="0.25">
      <c r="A104" s="4" t="s">
        <v>871</v>
      </c>
      <c r="B104" s="8">
        <v>22589</v>
      </c>
      <c r="C104" s="8">
        <v>7275</v>
      </c>
      <c r="D104" s="10">
        <v>0.15432426125877685</v>
      </c>
    </row>
    <row r="105" spans="1:4" x14ac:dyDescent="0.25">
      <c r="A105" s="4" t="s">
        <v>255</v>
      </c>
      <c r="B105" s="8">
        <v>15280</v>
      </c>
      <c r="C105" s="8">
        <v>7198</v>
      </c>
      <c r="D105" s="10">
        <v>0.15269086357947434</v>
      </c>
    </row>
    <row r="106" spans="1:4" x14ac:dyDescent="0.25">
      <c r="A106" s="4" t="s">
        <v>254</v>
      </c>
      <c r="B106" s="8">
        <v>15280</v>
      </c>
      <c r="C106" s="8">
        <v>7198</v>
      </c>
      <c r="D106" s="10">
        <v>0.15269086357947434</v>
      </c>
    </row>
    <row r="107" spans="1:4" x14ac:dyDescent="0.25">
      <c r="A107" s="4" t="s">
        <v>1406</v>
      </c>
      <c r="B107" s="8">
        <v>123938</v>
      </c>
      <c r="C107" s="8">
        <v>47141</v>
      </c>
      <c r="D107" s="10">
        <v>1</v>
      </c>
    </row>
    <row r="115" spans="1:3" x14ac:dyDescent="0.25">
      <c r="A115" s="3" t="s">
        <v>1405</v>
      </c>
      <c r="B115" t="s">
        <v>1417</v>
      </c>
      <c r="C115" t="s">
        <v>1407</v>
      </c>
    </row>
    <row r="116" spans="1:3" x14ac:dyDescent="0.25">
      <c r="A116" s="4" t="s">
        <v>56</v>
      </c>
      <c r="B116" s="1">
        <v>206</v>
      </c>
      <c r="C116" s="8">
        <v>1141790</v>
      </c>
    </row>
    <row r="117" spans="1:3" x14ac:dyDescent="0.25">
      <c r="A117" s="4" t="s">
        <v>41</v>
      </c>
      <c r="B117" s="1">
        <v>258</v>
      </c>
      <c r="C117" s="8">
        <v>1281044</v>
      </c>
    </row>
    <row r="118" spans="1:3" x14ac:dyDescent="0.25">
      <c r="A118" s="4" t="s">
        <v>29</v>
      </c>
      <c r="B118" s="1">
        <v>260</v>
      </c>
      <c r="C118" s="8">
        <v>1395035</v>
      </c>
    </row>
    <row r="119" spans="1:3" x14ac:dyDescent="0.25">
      <c r="A119" s="4" t="s">
        <v>35</v>
      </c>
      <c r="B119" s="1">
        <v>218</v>
      </c>
      <c r="C119" s="8">
        <v>1114297</v>
      </c>
    </row>
    <row r="120" spans="1:3" x14ac:dyDescent="0.25">
      <c r="A120" s="4" t="s">
        <v>15</v>
      </c>
      <c r="B120" s="1">
        <v>252</v>
      </c>
      <c r="C120" s="8">
        <v>1250473</v>
      </c>
    </row>
    <row r="121" spans="1:3" x14ac:dyDescent="0.25">
      <c r="A121" s="4" t="s">
        <v>1406</v>
      </c>
      <c r="B121" s="1">
        <v>1194</v>
      </c>
      <c r="C121" s="8">
        <v>6182639</v>
      </c>
    </row>
    <row r="127" spans="1:3" x14ac:dyDescent="0.25">
      <c r="A127" s="7">
        <f>T_SALES[[#Totals],[Amount]]</f>
        <v>6182639</v>
      </c>
    </row>
    <row r="129" spans="1:1" x14ac:dyDescent="0.25">
      <c r="A129" s="8">
        <f>T_SALES[[#Totals],[Profit]]</f>
        <v>1610697</v>
      </c>
    </row>
    <row r="131" spans="1:1" x14ac:dyDescent="0.25">
      <c r="A131">
        <f>T_SALES[[#Totals],[Quantity]]</f>
        <v>12745</v>
      </c>
    </row>
  </sheetData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E4C240-753B-443F-81A6-8AEB8046A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DASHBOARD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</dc:creator>
  <cp:lastModifiedBy>Imanol Obispo</cp:lastModifiedBy>
  <dcterms:created xsi:type="dcterms:W3CDTF">2015-06-05T18:17:20Z</dcterms:created>
  <dcterms:modified xsi:type="dcterms:W3CDTF">2026-06-22T01:46:02Z</dcterms:modified>
</cp:coreProperties>
</file>